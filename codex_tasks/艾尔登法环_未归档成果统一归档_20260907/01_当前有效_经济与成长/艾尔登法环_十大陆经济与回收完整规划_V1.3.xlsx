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4816fb5fe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决策摘要" sheetId="1" r:id="Rcb1218c5a93c42ad"/>
    <x:sheet xmlns:r="http://schemas.openxmlformats.org/officeDocument/2006/relationships" name="01_大陆经济总览" sheetId="2" r:id="R1c5431014f0f4b8d"/>
    <x:sheet xmlns:r="http://schemas.openxmlformats.org/officeDocument/2006/relationships" name="02_NPC配方数值" sheetId="3" r:id="R1dd9f38381304307"/>
    <x:sheet xmlns:r="http://schemas.openxmlformats.org/officeDocument/2006/relationships" name="03_追加成长系统" sheetId="4" r:id="Rb2561a5ce2e24b31"/>
    <x:sheet xmlns:r="http://schemas.openxmlformats.org/officeDocument/2006/relationships" name="04_材料需求与产量" sheetId="5" r:id="R99daf383262b4425"/>
    <x:sheet xmlns:r="http://schemas.openxmlformats.org/officeDocument/2006/relationships" name="05_材料回收价格" sheetId="6" r:id="Rf23b0c4edae54876"/>
    <x:sheet xmlns:r="http://schemas.openxmlformats.org/officeDocument/2006/relationships" name="06_制式装备回收" sheetId="7" r:id="R2d6922ade5c74a66"/>
    <x:sheet xmlns:r="http://schemas.openxmlformats.org/officeDocument/2006/relationships" name="07_专属分解明细" sheetId="8" r:id="Ra9a99216682b4f43"/>
    <x:sheet xmlns:r="http://schemas.openxmlformats.org/officeDocument/2006/relationships" name="08_高价值回收" sheetId="9" r:id="R83f8633ce2fb4855"/>
    <x:sheet xmlns:r="http://schemas.openxmlformats.org/officeDocument/2006/relationships" name="09_合成装备残值" sheetId="10" r:id="R02269a471c7c4ed8"/>
    <x:sheet xmlns:r="http://schemas.openxmlformats.org/officeDocument/2006/relationships" name="10_神印255档" sheetId="11" r:id="Rc6e0f8b893e84bc2"/>
    <x:sheet xmlns:r="http://schemas.openxmlformats.org/officeDocument/2006/relationships" name="11_部署与校验" sheetId="12" r:id="Rd893c162a7c44393"/>
    <x:sheet xmlns:r="http://schemas.openxmlformats.org/officeDocument/2006/relationships" name="12_洗练与称号修订" sheetId="13" r:id="Re36b0cffeb4a481c"/>
    <x:sheet xmlns:r="http://schemas.openxmlformats.org/officeDocument/2006/relationships" name="13_材料消耗明细" sheetId="14" r:id="R5f2b9d8ac12c4371"/>
    <x:sheet xmlns:r="http://schemas.openxmlformats.org/officeDocument/2006/relationships" name="14_费用阶段对账" sheetId="15" r:id="Rd0c252e4d83b4061"/>
    <x:sheet xmlns:r="http://schemas.openxmlformats.org/officeDocument/2006/relationships" name="15_数值尺度修订" sheetId="16" r:id="Rf50c34f14841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%"/>
    <x:numFmt numFmtId="201" formatCode="0.00&quot;x&quot;"/>
    <x:numFmt numFmtId="202" formatCode="#,##0"/>
    <x:numFmt numFmtId="203" formatCode="#,##0,,&quot;百万&quot;"/>
    <x:numFmt numFmtId="204" formatCode="#,##0,&quot;千&quot;"/>
    <x:numFmt numFmtId="205" formatCode="0"/>
    <x:numFmt numFmtId="206" formatCode="0.0&quot;x&quot;"/>
    <x:numFmt numFmtId="207" formatCode="#,##0.00"/>
    <x:numFmt numFmtId="208" formatCode="0.00"/>
    <x:numFmt numFmtId="209" formatCode="0.0&quot;小时&quot;"/>
    <x:numFmt numFmtId="210" formatCode="0.0%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1F4E78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  <x:font>
      <x:b/>
      <x:sz val="11"/>
      <x:color rgb="FF7F6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405666"/>
      <x:name val="Carlito"/>
    </x:font>
    <x:font>
      <x:sz val="10"/>
      <x:name val="Carlito"/>
    </x:font>
    <x:font>
      <x:b/>
      <x:sz val="14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93B52"/>
      </x:patternFill>
    </x:fill>
    <x:fill>
      <x:patternFill patternType="solid">
        <x:fgColor rgb="FFE9F0F4"/>
      </x:patternFill>
    </x:fill>
    <x:fill>
      <x:patternFill patternType="solid">
        <x:fgColor rgb="FF315D7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3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right"/>
    </x:xf>
    <x:xf numFmtId="200" fontId="4" fillId="4" borderId="0" xfId="0" applyNumberFormat="1" applyFont="1" applyFill="1" applyBorder="1" applyAlignment="1">
      <x:alignment horizontal="right"/>
    </x:xf>
    <x:xf numFmtId="200" fontId="4" fillId="4" borderId="1" xfId="0" applyNumberFormat="1" applyFont="1" applyFill="1" applyBorder="1" applyAlignment="1">
      <x:alignment horizontal="right"/>
    </x:xf>
    <x:xf numFmtId="201" fontId="4" fillId="4" borderId="0" xfId="0" applyNumberFormat="1" applyFont="1" applyFill="1" applyBorder="1" applyAlignment="1">
      <x:alignment horizontal="right"/>
    </x:xf>
    <x:xf numFmtId="201" fontId="4" fillId="4" borderId="1" xfId="0" applyNumberFormat="1" applyFont="1" applyFill="1" applyBorder="1" applyAlignment="1">
      <x:alignment horizontal="right"/>
    </x:xf>
    <x:xf numFmtId="202" fontId="4" fillId="4" borderId="0" xfId="0" applyNumberFormat="1" applyFont="1" applyFill="1" applyBorder="1" applyAlignment="1">
      <x:alignment horizontal="right"/>
    </x:xf>
    <x:xf numFmtId="202" fontId="4" fillId="4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4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horizontal="center" wrapText="1"/>
    </x:xf>
    <x:xf numFmtId="0" fontId="7" fillId="7" borderId="6" xfId="0" applyNumberFormat="1" applyFont="1" applyFill="1" applyBorder="1" applyAlignment="1">
      <x:alignment horizontal="center" wrapText="1"/>
    </x:xf>
    <x:xf numFmtId="0" fontId="7" fillId="7" borderId="7" xfId="0" applyNumberFormat="1" applyFont="1" applyFill="1" applyBorder="1" applyAlignment="1">
      <x:alignment horizont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vertical="center" wrapText="1"/>
    </x:xf>
    <x:xf numFmtId="0" fontId="8" fillId="0" borderId="21" xfId="0" applyNumberFormat="1" applyFont="1" applyFill="1" applyBorder="1" applyAlignment="1">
      <x:alignment vertical="center" wrapText="1"/>
    </x:xf>
    <x:xf numFmtId="0" fontId="8" fillId="0" borderId="22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203" fontId="8" fillId="0" borderId="9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3" fontId="8" fillId="0" borderId="14" xfId="0" applyNumberFormat="1" applyFont="1" applyFill="1" applyBorder="1" applyAlignment="1">
      <x:alignment vertical="center" wrapText="1"/>
    </x:xf>
    <x:xf numFmtId="203" fontId="8" fillId="0" borderId="17" xfId="0" applyNumberFormat="1" applyFont="1" applyFill="1" applyBorder="1" applyAlignment="1">
      <x:alignment vertical="center" wrapText="1"/>
    </x:xf>
    <x:xf numFmtId="203" fontId="8" fillId="0" borderId="1" xfId="0" applyNumberFormat="1" applyFont="1" applyFill="1" applyBorder="1" applyAlignment="1">
      <x:alignment vertical="center" wrapText="1"/>
    </x:xf>
    <x:xf numFmtId="203" fontId="8" fillId="0" borderId="22" xfId="0" applyNumberFormat="1" applyFont="1" applyFill="1" applyBorder="1" applyAlignment="1">
      <x:alignment vertical="center" wrapText="1"/>
    </x:xf>
    <x:xf numFmtId="204" fontId="8" fillId="0" borderId="10" xfId="0" applyNumberFormat="1" applyFont="1" applyFill="1" applyBorder="1" applyAlignment="1">
      <x:alignment vertical="center" wrapText="1"/>
    </x:xf>
    <x:xf numFmtId="204" fontId="8" fillId="0" borderId="12" xfId="0" applyNumberFormat="1" applyFont="1" applyFill="1" applyBorder="1" applyAlignment="1">
      <x:alignment vertical="center" wrapText="1"/>
    </x:xf>
    <x:xf numFmtId="204" fontId="8" fillId="0" borderId="15" xfId="0" applyNumberFormat="1" applyFont="1" applyFill="1" applyBorder="1" applyAlignment="1">
      <x:alignment vertical="center" wrapText="1"/>
    </x:xf>
    <x:xf numFmtId="204" fontId="8" fillId="0" borderId="18" xfId="0" applyNumberFormat="1" applyFont="1" applyFill="1" applyBorder="1" applyAlignment="1">
      <x:alignment vertical="center" wrapText="1"/>
    </x:xf>
    <x:xf numFmtId="204" fontId="8" fillId="0" borderId="20" xfId="0" applyNumberFormat="1" applyFont="1" applyFill="1" applyBorder="1" applyAlignment="1">
      <x:alignment vertical="center" wrapText="1"/>
    </x:xf>
    <x:xf numFmtId="204" fontId="8" fillId="0" borderId="23" xfId="0" applyNumberFormat="1" applyFont="1" applyFill="1" applyBorder="1" applyAlignment="1">
      <x:alignment vertical="center" wrapText="1"/>
    </x:xf>
    <x:xf numFmtId="205" fontId="8" fillId="0" borderId="9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205" fontId="8" fillId="0" borderId="14" xfId="0" applyNumberFormat="1" applyFont="1" applyFill="1" applyBorder="1" applyAlignment="1">
      <x:alignment vertical="center" wrapText="1"/>
    </x:xf>
    <x:xf numFmtId="205" fontId="8" fillId="0" borderId="17" xfId="0" applyNumberFormat="1" applyFont="1" applyFill="1" applyBorder="1" applyAlignment="1">
      <x:alignment vertical="center" wrapText="1"/>
    </x:xf>
    <x:xf numFmtId="205" fontId="8" fillId="0" borderId="1" xfId="0" applyNumberFormat="1" applyFont="1" applyFill="1" applyBorder="1" applyAlignment="1">
      <x:alignment vertical="center" wrapText="1"/>
    </x:xf>
    <x:xf numFmtId="205" fontId="8" fillId="0" borderId="22" xfId="0" applyNumberFormat="1" applyFont="1" applyFill="1" applyBorder="1" applyAlignment="1">
      <x:alignment vertical="center" wrapText="1"/>
    </x:xf>
    <x:xf numFmtId="206" fontId="8" fillId="0" borderId="9" xfId="0" applyNumberFormat="1" applyFont="1" applyFill="1" applyBorder="1" applyAlignment="1">
      <x:alignment vertical="center" wrapText="1"/>
    </x:xf>
    <x:xf numFmtId="206" fontId="8" fillId="0" borderId="0" xfId="0" applyNumberFormat="1" applyFont="1" applyFill="1" applyBorder="1" applyAlignment="1">
      <x:alignment vertical="center" wrapText="1"/>
    </x:xf>
    <x:xf numFmtId="206" fontId="8" fillId="0" borderId="14" xfId="0" applyNumberFormat="1" applyFont="1" applyFill="1" applyBorder="1" applyAlignment="1">
      <x:alignment vertical="center" wrapText="1"/>
    </x:xf>
    <x:xf numFmtId="206" fontId="8" fillId="0" borderId="17" xfId="0" applyNumberFormat="1" applyFont="1" applyFill="1" applyBorder="1" applyAlignment="1">
      <x:alignment vertical="center" wrapText="1"/>
    </x:xf>
    <x:xf numFmtId="206" fontId="8" fillId="0" borderId="1" xfId="0" applyNumberFormat="1" applyFont="1" applyFill="1" applyBorder="1" applyAlignment="1">
      <x:alignment vertical="center" wrapText="1"/>
    </x:xf>
    <x:xf numFmtId="206" fontId="8" fillId="0" borderId="22" xfId="0" applyNumberFormat="1" applyFont="1" applyFill="1" applyBorder="1" applyAlignment="1">
      <x:alignment vertical="center" wrapText="1"/>
    </x:xf>
    <x:xf numFmtId="202" fontId="8" fillId="0" borderId="9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2" fontId="8" fillId="0" borderId="14" xfId="0" applyNumberFormat="1" applyFont="1" applyFill="1" applyBorder="1" applyAlignment="1">
      <x:alignment vertical="center" wrapText="1"/>
    </x:xf>
    <x:xf numFmtId="202" fontId="8" fillId="0" borderId="17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202" fontId="8" fillId="0" borderId="22" xfId="0" applyNumberFormat="1" applyFont="1" applyFill="1" applyBorder="1" applyAlignment="1">
      <x:alignment vertical="center" wrapText="1"/>
    </x:xf>
    <x:xf numFmtId="207" fontId="8" fillId="0" borderId="9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 wrapText="1"/>
    </x:xf>
    <x:xf numFmtId="207" fontId="8" fillId="0" borderId="14" xfId="0" applyNumberFormat="1" applyFont="1" applyFill="1" applyBorder="1" applyAlignment="1">
      <x:alignment vertical="center" wrapText="1"/>
    </x:xf>
    <x:xf numFmtId="207" fontId="8" fillId="0" borderId="17" xfId="0" applyNumberFormat="1" applyFont="1" applyFill="1" applyBorder="1" applyAlignment="1">
      <x:alignment vertical="center" wrapText="1"/>
    </x:xf>
    <x:xf numFmtId="207" fontId="8" fillId="0" borderId="1" xfId="0" applyNumberFormat="1" applyFont="1" applyFill="1" applyBorder="1" applyAlignment="1">
      <x:alignment vertical="center" wrapText="1"/>
    </x:xf>
    <x:xf numFmtId="207" fontId="8" fillId="0" borderId="22" xfId="0" applyNumberFormat="1" applyFont="1" applyFill="1" applyBorder="1" applyAlignment="1">
      <x:alignment vertical="center" wrapText="1"/>
    </x:xf>
    <x:xf numFmtId="208" fontId="8" fillId="0" borderId="9" xfId="0" applyNumberFormat="1" applyFont="1" applyFill="1" applyBorder="1" applyAlignment="1">
      <x:alignment vertical="center" wrapText="1"/>
    </x:xf>
    <x:xf numFmtId="208" fontId="8" fillId="0" borderId="0" xfId="0" applyNumberFormat="1" applyFont="1" applyFill="1" applyBorder="1" applyAlignment="1">
      <x:alignment vertical="center" wrapText="1"/>
    </x:xf>
    <x:xf numFmtId="208" fontId="8" fillId="0" borderId="14" xfId="0" applyNumberFormat="1" applyFont="1" applyFill="1" applyBorder="1" applyAlignment="1">
      <x:alignment vertical="center" wrapText="1"/>
    </x:xf>
    <x:xf numFmtId="208" fontId="8" fillId="0" borderId="17" xfId="0" applyNumberFormat="1" applyFont="1" applyFill="1" applyBorder="1" applyAlignment="1">
      <x:alignment vertical="center" wrapText="1"/>
    </x:xf>
    <x:xf numFmtId="208" fontId="8" fillId="0" borderId="1" xfId="0" applyNumberFormat="1" applyFont="1" applyFill="1" applyBorder="1" applyAlignment="1">
      <x:alignment vertical="center" wrapText="1"/>
    </x:xf>
    <x:xf numFmtId="208" fontId="8" fillId="0" borderId="22" xfId="0" applyNumberFormat="1" applyFont="1" applyFill="1" applyBorder="1" applyAlignment="1">
      <x:alignment vertical="center" wrapText="1"/>
    </x:xf>
    <x:xf numFmtId="200" fontId="8" fillId="0" borderId="9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0" fontId="8" fillId="0" borderId="14" xfId="0" applyNumberFormat="1" applyFont="1" applyFill="1" applyBorder="1" applyAlignment="1">
      <x:alignment vertical="center" wrapText="1"/>
    </x:xf>
    <x:xf numFmtId="200" fontId="8" fillId="0" borderId="17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200" fontId="8" fillId="0" borderId="22" xfId="0" applyNumberFormat="1" applyFont="1" applyFill="1" applyBorder="1" applyAlignment="1">
      <x:alignment vertical="center" wrapText="1"/>
    </x:xf>
    <x:xf numFmtId="209" fontId="8" fillId="0" borderId="9" xfId="0" applyNumberFormat="1" applyFont="1" applyFill="1" applyBorder="1" applyAlignment="1">
      <x:alignment vertical="center" wrapText="1"/>
    </x:xf>
    <x:xf numFmtId="209" fontId="8" fillId="0" borderId="0" xfId="0" applyNumberFormat="1" applyFont="1" applyFill="1" applyBorder="1" applyAlignment="1">
      <x:alignment vertical="center" wrapText="1"/>
    </x:xf>
    <x:xf numFmtId="209" fontId="8" fillId="0" borderId="14" xfId="0" applyNumberFormat="1" applyFont="1" applyFill="1" applyBorder="1" applyAlignment="1">
      <x:alignment vertical="center" wrapText="1"/>
    </x:xf>
    <x:xf numFmtId="209" fontId="8" fillId="0" borderId="17" xfId="0" applyNumberFormat="1" applyFont="1" applyFill="1" applyBorder="1" applyAlignment="1">
      <x:alignment vertical="center" wrapText="1"/>
    </x:xf>
    <x:xf numFmtId="209" fontId="8" fillId="0" borderId="1" xfId="0" applyNumberFormat="1" applyFont="1" applyFill="1" applyBorder="1" applyAlignment="1">
      <x:alignment vertical="center" wrapText="1"/>
    </x:xf>
    <x:xf numFmtId="209" fontId="8" fillId="0" borderId="2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xfId="0" applyNumberFormat="1" applyFont="1" applyFill="1" applyBorder="0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202" fontId="12" fillId="0" borderId="0" xfId="0" applyNumberFormat="1" applyFont="1" applyFill="1" applyBorder="1" applyAlignment="1">
      <x:alignment vertical="center" wrapText="1"/>
    </x:xf>
    <x:xf numFmtId="210" fontId="8" fillId="0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3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a1c1196c54235" /><Relationship Type="http://schemas.openxmlformats.org/officeDocument/2006/relationships/theme" Target="/xl/theme/theme1.xml" Id="Rd07d6c20bda04731" /><Relationship Type="http://schemas.openxmlformats.org/officeDocument/2006/relationships/sharedStrings" Target="/xl/sharedStrings.xml" Id="R380e28ab5f014b64" /><Relationship Type="http://schemas.openxmlformats.org/officeDocument/2006/relationships/worksheet" Target="/xl/worksheets/sheet1.xml" Id="Rcb1218c5a93c42ad" /><Relationship Type="http://schemas.openxmlformats.org/officeDocument/2006/relationships/worksheet" Target="/xl/worksheets/sheet2.xml" Id="R1c5431014f0f4b8d" /><Relationship Type="http://schemas.openxmlformats.org/officeDocument/2006/relationships/worksheet" Target="/xl/worksheets/sheet3.xml" Id="R1dd9f38381304307" /><Relationship Type="http://schemas.openxmlformats.org/officeDocument/2006/relationships/worksheet" Target="/xl/worksheets/sheet4.xml" Id="Rb2561a5ce2e24b31" /><Relationship Type="http://schemas.openxmlformats.org/officeDocument/2006/relationships/worksheet" Target="/xl/worksheets/sheet5.xml" Id="R99daf383262b4425" /><Relationship Type="http://schemas.openxmlformats.org/officeDocument/2006/relationships/worksheet" Target="/xl/worksheets/sheet6.xml" Id="Rf23b0c4edae54876" /><Relationship Type="http://schemas.openxmlformats.org/officeDocument/2006/relationships/worksheet" Target="/xl/worksheets/sheet7.xml" Id="R2d6922ade5c74a66" /><Relationship Type="http://schemas.openxmlformats.org/officeDocument/2006/relationships/worksheet" Target="/xl/worksheets/sheet8.xml" Id="Ra9a99216682b4f43" /><Relationship Type="http://schemas.openxmlformats.org/officeDocument/2006/relationships/worksheet" Target="/xl/worksheets/sheet9.xml" Id="R83f8633ce2fb4855" /><Relationship Type="http://schemas.openxmlformats.org/officeDocument/2006/relationships/worksheet" Target="/xl/worksheets/sheet10.xml" Id="R02269a471c7c4ed8" /><Relationship Type="http://schemas.openxmlformats.org/officeDocument/2006/relationships/worksheet" Target="/xl/worksheets/sheet11.xml" Id="Rc6e0f8b893e84bc2" /><Relationship Type="http://schemas.openxmlformats.org/officeDocument/2006/relationships/worksheet" Target="/xl/worksheets/sheet12.xml" Id="Rd893c162a7c44393" /><Relationship Type="http://schemas.openxmlformats.org/officeDocument/2006/relationships/worksheet" Target="/xl/worksheets/sheet13.xml" Id="Re36b0cffeb4a481c" /><Relationship Type="http://schemas.openxmlformats.org/officeDocument/2006/relationships/worksheet" Target="/xl/worksheets/sheet14.xml" Id="R5f2b9d8ac12c4371" /><Relationship Type="http://schemas.openxmlformats.org/officeDocument/2006/relationships/worksheet" Target="/xl/worksheets/sheet15.xml" Id="Rd0c252e4d83b4061" /><Relationship Type="http://schemas.openxmlformats.org/officeDocument/2006/relationships/worksheet" Target="/xl/worksheets/sheet16.xml" Id="Rf50c34f1484144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23fc33df6f4936" /><Relationship Type="http://schemas.openxmlformats.org/officeDocument/2006/relationships/chart" Target="/xl/drawings/charts/chart2.xml" Id="R49d55b72071a4d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满赞助金币回收产出/小时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满赞助金币/小时</c:v>
          </c:tx>
          <c:marker>
            <c:symbol val="none"/>
          </c:marker>
          <c:cat>
            <c:strRef>
              <c:f>'00_决策摘要'!$A$12:$A$21</c:f>
              <c:strCache>
                <c:ptCount val="0"/>
              </c:strCache>
            </c:strRef>
          </c:cat>
          <c:val>
            <c:numRef>
              <c:f>'00_决策摘要'!$B$12:$B$21</c:f>
              <c:numCache>
                <c:formatCode>#,##0,,"百万"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满赞助元宝回收产出/小时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满赞助元宝/小时</c:v>
          </c:tx>
          <c:marker>
            <c:symbol val="none"/>
          </c:marker>
          <c:cat>
            <c:strRef>
              <c:f>'00_决策摘要'!$N$12:$N$21</c:f>
              <c:strCache>
                <c:ptCount val="0"/>
              </c:strCache>
            </c:strRef>
          </c:cat>
          <c:val>
            <c:numRef>
              <c:f>'00_决策摘要'!$O$12:$O$21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23fc33df6f4936"/>
        </a:graphicData>
      </a:graphic>
    </xdr:graphicFrame>
    <xdr:clientData/>
  </xdr:twoCellAnchor>
  <xdr:twoCellAnchor>
    <xdr:from>
      <xdr:col>13</xdr:col>
      <xdr:colOff>0</xdr:colOff>
      <xdr:row>9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d55b72071a4d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coOverview" displayName="EcoOverview" ref="A4:AE14" headerRowCount="1" totalsRowCount="0" totalsRowShown="0">
  <x:tableColumns count="31">
    <x:tableColumn id="1" name="大陆ID"/>
    <x:tableColumn id="2" name="大陆"/>
    <x:tableColumn id="3" name="观察小时"/>
    <x:tableColumn id="4" name="满赞助爆率倍率"/>
    <x:tableColumn id="5" name="击杀/小时"/>
    <x:tableColumn id="6" name="高产材料"/>
    <x:tableColumn id="7" name="高产材料产量/小时"/>
    <x:tableColumn id="8" name="NPC及推荐包高产材料需求"/>
    <x:tableColumn id="9" name="阶段总产量"/>
    <x:tableColumn id="10" name="预计富余"/>
    <x:tableColumn id="11" name="富余/小时"/>
    <x:tableColumn id="12" name="富余兑换比例"/>
    <x:tableColumn id="13" name="纳入兑换/小时"/>
    <x:tableColumn id="14" name="材料基础金币/个"/>
    <x:tableColumn id="15" name="材料基础元宝/个"/>
    <x:tableColumn id="16" name="制式装备掉落/小时"/>
    <x:tableColumn id="17" name="制式回收比例"/>
    <x:tableColumn id="18" name="计入回收装备/小时"/>
    <x:tableColumn id="19" name="制式加权基础金币/件"/>
    <x:tableColumn id="20" name="制式加权基础元宝/件"/>
    <x:tableColumn id="21" name="角色总回收增加"/>
    <x:tableColumn id="22" name="金币/小时"/>
    <x:tableColumn id="23" name="元宝/小时"/>
    <x:tableColumn id="24" name="主线金币需求"/>
    <x:tableColumn id="25" name="主线元宝需求"/>
    <x:tableColumn id="26" name="金币等价小时"/>
    <x:tableColumn id="27" name="元宝等价小时"/>
    <x:tableColumn id="28" name="深度/可选金币需求"/>
    <x:tableColumn id="29" name="深度/可选元宝需求"/>
    <x:tableColumn id="30" name="主要压力"/>
    <x:tableColumn id="31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NPC" displayName="CoreNPC" ref="A4:T78" headerRowCount="1" totalsRowCount="0" totalsRowShown="0">
  <x:tableColumns count="20">
    <x:tableColumn id="1" name="配方ID"/>
    <x:tableColumn id="2" name="大陆ID"/>
    <x:tableColumn id="3" name="大陆"/>
    <x:tableColumn id="4" name="NPC"/>
    <x:tableColumn id="5" name="类别"/>
    <x:tableColumn id="6" name="需求层级"/>
    <x:tableColumn id="7" name="产物/动作"/>
    <x:tableColumn id="8" name="部位/系统"/>
    <x:tableColumn id="9" name="基础件/前置"/>
    <x:tableColumn id="10" name="单次材料明细"/>
    <x:tableColumn id="11" name="单次金币"/>
    <x:tableColumn id="12" name="单次元宝"/>
    <x:tableColumn id="13" name="建议次数"/>
    <x:tableColumn id="14" name="阶段材料总量"/>
    <x:tableColumn id="15" name="阶段金币总量"/>
    <x:tableColumn id="16" name="阶段元宝总量"/>
    <x:tableColumn id="17" name="成功规则"/>
    <x:tableColumn id="18" name="交易/绑定"/>
    <x:tableColumn id="19" name="计价依据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xSystems" displayName="AuxSystems" ref="A4:P57" headerRowCount="1" totalsRowCount="0" totalsRowShown="0">
  <x:tableColumns count="16">
    <x:tableColumn id="1" name="系统ID"/>
    <x:tableColumn id="2" name="大陆ID"/>
    <x:tableColumn id="3" name="大陆"/>
    <x:tableColumn id="4" name="NPC/入口"/>
    <x:tableColumn id="5" name="类别"/>
    <x:tableColumn id="6" name="需求层级"/>
    <x:tableColumn id="7" name="产物/动作"/>
    <x:tableColumn id="8" name="每次材料"/>
    <x:tableColumn id="9" name="每次金币"/>
    <x:tableColumn id="10" name="每次元宝"/>
    <x:tableColumn id="11" name="建议次数"/>
    <x:tableColumn id="12" name="阶段材料总量"/>
    <x:tableColumn id="13" name="阶段金币总量"/>
    <x:tableColumn id="14" name="阶段元宝总量"/>
    <x:tableColumn id="15" name="计入产出需求"/>
    <x:tableColumn id="16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erialOutput" displayName="MaterialOutput" ref="A4:L100" headerRowCount="1" totalsRowCount="0" totalsRowShown="0">
  <x:tableColumns count="12">
    <x:tableColumn id="1" name="大陆ID"/>
    <x:tableColumn id="2" name="大陆"/>
    <x:tableColumn id="3" name="材料名称"/>
    <x:tableColumn id="4" name="类别"/>
    <x:tableColumn id="5" name="阶段NPC建议需求"/>
    <x:tableColumn id="6" name="观察小时"/>
    <x:tableColumn id="7" name="满赞助建议实际产量/小时"/>
    <x:tableColumn id="8" name="阶段预计自产"/>
    <x:tableColumn id="9" name="自产覆盖率"/>
    <x:tableColumn id="10" name="剩余缺口"/>
    <x:tableColumn id="11" name="计入货币模型"/>
    <x:tableColumn id="12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Recycle" displayName="MaterialRecycle" ref="A4:N85" headerRowCount="1" totalsRowCount="0" totalsRowShown="0">
  <x:tableColumns count="14">
    <x:tableColumn id="1" name="名称"/>
    <x:tableColumn id="2" name="大陆ID"/>
    <x:tableColumn id="3" name="大陆"/>
    <x:tableColumn id="4" name="类别"/>
    <x:tableColumn id="5" name="Idx"/>
    <x:tableColumn id="6" name="Looks"/>
    <x:tableColumn id="7" name="主要用途"/>
    <x:tableColumn id="8" name="基础金币"/>
    <x:tableColumn id="9" name="基础元宝"/>
    <x:tableColumn id="10" name="50%加成后金币"/>
    <x:tableColumn id="11" name="50%加成后元宝"/>
    <x:tableColumn id="12" name="回收方式"/>
    <x:tableColumn id="13" name="计入货币产出模型"/>
    <x:tableColumn id="14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ndardRecycle" displayName="StandardRecycle" ref="A4:M24" headerRowCount="1" totalsRowCount="0" totalsRowShown="0">
  <x:tableColumns count="13">
    <x:tableColumn id="1" name="套装序号"/>
    <x:tableColumn id="2" name="大陆ID"/>
    <x:tableColumn id="3" name="大陆"/>
    <x:tableColumn id="4" name="分类ID"/>
    <x:tableColumn id="5" name="分类名称"/>
    <x:tableColumn id="6" name="装备名称（8件）"/>
    <x:tableColumn id="7" name="单件基础金币"/>
    <x:tableColumn id="8" name="单件基础元宝"/>
    <x:tableColumn id="9" name="50%加成后金币"/>
    <x:tableColumn id="10" name="50%加成后元宝"/>
    <x:tableColumn id="11" name="自动回收"/>
    <x:tableColumn id="12" name="计入小时产出"/>
    <x:tableColumn id="13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clusiveDismantle" displayName="ExclusiveDismantle" ref="A4:L567" headerRowCount="1" totalsRowCount="0" totalsRowShown="0">
  <x:tableColumns count="12">
    <x:tableColumn id="1" name="大陆ID"/>
    <x:tableColumn id="2" name="大陆"/>
    <x:tableColumn id="3" name="地图组"/>
    <x:tableColumn id="4" name="层数"/>
    <x:tableColumn id="5" name="来源类型"/>
    <x:tableColumn id="6" name="来源怪物"/>
    <x:tableColumn id="7" name="装备名称"/>
    <x:tableColumn id="8" name="部位"/>
    <x:tableColumn id="9" name="回收失色锻造石"/>
    <x:tableColumn id="10" name="回收增加适用"/>
    <x:tableColumn id="11" name="回收方式"/>
    <x:tableColumn id="12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ighValueRecycle" displayName="HighValueRecycle" ref="A4:M69" headerRowCount="1" totalsRowCount="0" totalsRowShown="0">
  <x:tableColumns count="13">
    <x:tableColumn id="1" name="大类"/>
    <x:tableColumn id="2" name="大陆ID"/>
    <x:tableColumn id="3" name="大陆"/>
    <x:tableColumn id="4" name="来源类型"/>
    <x:tableColumn id="5" name="来源怪物"/>
    <x:tableColumn id="6" name="物品名称"/>
    <x:tableColumn id="7" name="基础金币"/>
    <x:tableColumn id="8" name="基础元宝"/>
    <x:tableColumn id="9" name="50%加成后金币"/>
    <x:tableColumn id="10" name="50%加成后元宝"/>
    <x:tableColumn id="11" name="回收方式"/>
    <x:tableColumn id="12" name="计入产出模型"/>
    <x:tableColumn id="13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raftedResidual" displayName="CraftedResidual" ref="A4:K42" headerRowCount="1" totalsRowCount="0" totalsRowShown="0">
  <x:tableColumns count="11">
    <x:tableColumn id="1" name="大陆ID"/>
    <x:tableColumn id="2" name="大陆"/>
    <x:tableColumn id="3" name="类别"/>
    <x:tableColumn id="4" name="物品名称"/>
    <x:tableColumn id="5" name="基础金币"/>
    <x:tableColumn id="6" name="基础元宝"/>
    <x:tableColumn id="7" name="50%加成后金币"/>
    <x:tableColumn id="8" name="50%加成后元宝"/>
    <x:tableColumn id="9" name="回收方式"/>
    <x:tableColumn id="10" name="计入产出模型"/>
    <x:tableColumn id="11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dy255" displayName="Body255" ref="A4:I259" headerRowCount="1" totalsRowCount="0" totalsRowShown="0">
  <x:tableColumns count="9">
    <x:tableColumn id="1" name="目标档位"/>
    <x:tableColumn id="2" name="大陆ID"/>
    <x:tableColumn id="3" name="大陆"/>
    <x:tableColumn id="4" name="野兽骨片"/>
    <x:tableColumn id="5" name="金币"/>
    <x:tableColumn id="6" name="元宝"/>
    <x:tableColumn id="7" name="累计主属性"/>
    <x:tableColumn id="8" name="累计HP"/>
    <x:tableColumn id="9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351e5faab34d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72cb3f580d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9c9b7b607342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8414a8e6134c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28b9be778c49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da42125e9f44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a182444583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76e04658cf49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510279450e478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6ec03e2cb3649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baf27e8c81407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</x:cols>
  <x:sheetData>
    <x:row r="1" ht="30" customHeight="1">
      <x:c r="A1" s="5" t="str">
        <x:v>《艾尔登法环》十大陆经济、NPC消耗与回收完整规划 V1.0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8" customHeight="1">
      <x:c r="A2" s="14" t="str">
        <x:v>V1.2：费用乘次数、材料血缘、称号本地材料与PvP分账已修复。具备进入属性计算的前置数据；561怪最终爆率和完整阶段产出仍待统一计算。｜尺度修订：金币/元宝全部×100；失色锻造石产出/消耗全部×10；原比例和等价小时不变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</x:row>
    <x:row r="4" ht="45" customHeight="1">
      <x:c r="A4" s="21" t="str">
        <x:v>角色总回收增加</x:v>
      </x:c>
      <x:c r="B4" s="30" t="n">
        <x:v>0.5</x:v>
      </x:c>
      <x:c r="D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E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F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G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H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I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J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K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L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M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N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O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P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Q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R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S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T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U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</x:row>
    <x:row r="5" ht="45" customHeight="1">
      <x:c r="A5" s="21" t="str">
        <x:v>货币实际回收倍率</x:v>
      </x:c>
      <x:c r="B5" s="32" t="n">
        <x:v>1.5</x:v>
      </x:c>
      <x:c r="D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E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F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G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H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I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J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K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L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M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N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O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P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Q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R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S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T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U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</x:row>
    <x:row r="6">
      <x:c r="A6" s="21" t="str">
        <x:v>材料奖励倍率</x:v>
      </x:c>
      <x:c r="B6" s="30" t="n">
        <x:v>1</x:v>
      </x:c>
    </x:row>
    <x:row r="7">
      <x:c r="A7" s="21" t="str">
        <x:v>平台配置行数</x:v>
      </x:c>
      <x:c r="B7" s="34" t="n">
        <x:v>233</x:v>
      </x:c>
      <x:c r="D7" s="196" t="str">
        <x:v>50%的正式口径：角色货币回收总加成为50%，实际获得150%基础金币/元宝；材料回收量始终按配置表固定数量执行。</x:v>
      </x:c>
      <x:c r="E7" s="196" t="str">
        <x:v>50%的正式口径：角色货币回收总加成为50%，实际获得150%基础金币/元宝；材料回收量始终按配置表固定数量执行。</x:v>
      </x:c>
      <x:c r="F7" s="196" t="str">
        <x:v>50%的正式口径：角色货币回收总加成为50%，实际获得150%基础金币/元宝；材料回收量始终按配置表固定数量执行。</x:v>
      </x:c>
      <x:c r="G7" s="196" t="str">
        <x:v>50%的正式口径：角色货币回收总加成为50%，实际获得150%基础金币/元宝；材料回收量始终按配置表固定数量执行。</x:v>
      </x:c>
      <x:c r="H7" s="196" t="str">
        <x:v>50%的正式口径：角色货币回收总加成为50%，实际获得150%基础金币/元宝；材料回收量始终按配置表固定数量执行。</x:v>
      </x:c>
      <x:c r="I7" s="196" t="str">
        <x:v>50%的正式口径：角色货币回收总加成为50%，实际获得150%基础金币/元宝；材料回收量始终按配置表固定数量执行。</x:v>
      </x:c>
      <x:c r="J7" s="196" t="str">
        <x:v>50%的正式口径：角色货币回收总加成为50%，实际获得150%基础金币/元宝；材料回收量始终按配置表固定数量执行。</x:v>
      </x:c>
      <x:c r="K7" s="196" t="str">
        <x:v>50%的正式口径：角色货币回收总加成为50%，实际获得150%基础金币/元宝；材料回收量始终按配置表固定数量执行。</x:v>
      </x:c>
      <x:c r="L7" s="196" t="str">
        <x:v>50%的正式口径：角色货币回收总加成为50%，实际获得150%基础金币/元宝；材料回收量始终按配置表固定数量执行。</x:v>
      </x:c>
      <x:c r="M7" s="196" t="str">
        <x:v>50%的正式口径：角色货币回收总加成为50%，实际获得150%基础金币/元宝；材料回收量始终按配置表固定数量执行。</x:v>
      </x:c>
      <x:c r="N7" s="196" t="str">
        <x:v>50%的正式口径：角色货币回收总加成为50%，实际获得150%基础金币/元宝；材料回收量始终按配置表固定数量执行。</x:v>
      </x:c>
      <x:c r="O7" s="196" t="str">
        <x:v>50%的正式口径：角色货币回收总加成为50%，实际获得150%基础金币/元宝；材料回收量始终按配置表固定数量执行。</x:v>
      </x:c>
      <x:c r="P7" s="196" t="str">
        <x:v>50%的正式口径：角色货币回收总加成为50%，实际获得150%基础金币/元宝；材料回收量始终按配置表固定数量执行。</x:v>
      </x:c>
      <x:c r="Q7" s="196" t="str">
        <x:v>50%的正式口径：角色货币回收总加成为50%，实际获得150%基础金币/元宝；材料回收量始终按配置表固定数量执行。</x:v>
      </x:c>
      <x:c r="R7" s="196" t="str">
        <x:v>50%的正式口径：角色货币回收总加成为50%，实际获得150%基础金币/元宝；材料回收量始终按配置表固定数量执行。</x:v>
      </x:c>
      <x:c r="S7" s="196" t="str">
        <x:v>50%的正式口径：角色货币回收总加成为50%，实际获得150%基础金币/元宝；材料回收量始终按配置表固定数量执行。</x:v>
      </x:c>
      <x:c r="T7" s="196" t="str">
        <x:v>50%的正式口径：角色货币回收总加成为50%，实际获得150%基础金币/元宝；材料回收量始终按配置表固定数量执行。</x:v>
      </x:c>
      <x:c r="U7" s="196" t="str">
        <x:v>50%的正式口径：角色货币回收总加成为50%，实际获得150%基础金币/元宝；材料回收量始终按配置表固定数量执行。</x:v>
      </x:c>
    </x:row>
    <x:row r="8">
      <x:c r="A8" s="21" t="str">
        <x:v>精确物品名数量</x:v>
      </x:c>
      <x:c r="B8" s="34" t="n">
        <x:v>906</x:v>
      </x:c>
      <x:c r="D8" s="196" t="str">
        <x:v>50%的正式口径：角色货币回收总加成为50%，实际获得150%基础金币/元宝；材料回收量始终按配置表固定数量执行。</x:v>
      </x:c>
      <x:c r="E8" s="196" t="str">
        <x:v>50%的正式口径：角色货币回收总加成为50%，实际获得150%基础金币/元宝；材料回收量始终按配置表固定数量执行。</x:v>
      </x:c>
      <x:c r="F8" s="196" t="str">
        <x:v>50%的正式口径：角色货币回收总加成为50%，实际获得150%基础金币/元宝；材料回收量始终按配置表固定数量执行。</x:v>
      </x:c>
      <x:c r="G8" s="196" t="str">
        <x:v>50%的正式口径：角色货币回收总加成为50%，实际获得150%基础金币/元宝；材料回收量始终按配置表固定数量执行。</x:v>
      </x:c>
      <x:c r="H8" s="196" t="str">
        <x:v>50%的正式口径：角色货币回收总加成为50%，实际获得150%基础金币/元宝；材料回收量始终按配置表固定数量执行。</x:v>
      </x:c>
      <x:c r="I8" s="196" t="str">
        <x:v>50%的正式口径：角色货币回收总加成为50%，实际获得150%基础金币/元宝；材料回收量始终按配置表固定数量执行。</x:v>
      </x:c>
      <x:c r="J8" s="196" t="str">
        <x:v>50%的正式口径：角色货币回收总加成为50%，实际获得150%基础金币/元宝；材料回收量始终按配置表固定数量执行。</x:v>
      </x:c>
      <x:c r="K8" s="196" t="str">
        <x:v>50%的正式口径：角色货币回收总加成为50%，实际获得150%基础金币/元宝；材料回收量始终按配置表固定数量执行。</x:v>
      </x:c>
      <x:c r="L8" s="196" t="str">
        <x:v>50%的正式口径：角色货币回收总加成为50%，实际获得150%基础金币/元宝；材料回收量始终按配置表固定数量执行。</x:v>
      </x:c>
      <x:c r="M8" s="196" t="str">
        <x:v>50%的正式口径：角色货币回收总加成为50%，实际获得150%基础金币/元宝；材料回收量始终按配置表固定数量执行。</x:v>
      </x:c>
      <x:c r="N8" s="196" t="str">
        <x:v>50%的正式口径：角色货币回收总加成为50%，实际获得150%基础金币/元宝；材料回收量始终按配置表固定数量执行。</x:v>
      </x:c>
      <x:c r="O8" s="196" t="str">
        <x:v>50%的正式口径：角色货币回收总加成为50%，实际获得150%基础金币/元宝；材料回收量始终按配置表固定数量执行。</x:v>
      </x:c>
      <x:c r="P8" s="196" t="str">
        <x:v>50%的正式口径：角色货币回收总加成为50%，实际获得150%基础金币/元宝；材料回收量始终按配置表固定数量执行。</x:v>
      </x:c>
      <x:c r="Q8" s="196" t="str">
        <x:v>50%的正式口径：角色货币回收总加成为50%，实际获得150%基础金币/元宝；材料回收量始终按配置表固定数量执行。</x:v>
      </x:c>
      <x:c r="R8" s="196" t="str">
        <x:v>50%的正式口径：角色货币回收总加成为50%，实际获得150%基础金币/元宝；材料回收量始终按配置表固定数量执行。</x:v>
      </x:c>
      <x:c r="S8" s="196" t="str">
        <x:v>50%的正式口径：角色货币回收总加成为50%，实际获得150%基础金币/元宝；材料回收量始终按配置表固定数量执行。</x:v>
      </x:c>
      <x:c r="T8" s="196" t="str">
        <x:v>50%的正式口径：角色货币回收总加成为50%，实际获得150%基础金币/元宝；材料回收量始终按配置表固定数量执行。</x:v>
      </x:c>
      <x:c r="U8" s="196" t="str">
        <x:v>50%的正式口径：角色货币回收总加成为50%，实际获得150%基础金币/元宝；材料回收量始终按配置表固定数量执行。</x:v>
      </x:c>
    </x:row>
    <x:row r="9">
      <x:c r="A9" s="21" t="str">
        <x:v>专属装备逐件数</x:v>
      </x:c>
      <x:c r="B9" s="34" t="n">
        <x:v>563</x:v>
      </x:c>
    </x:row>
    <x:row r="11">
      <x:c r="A11" s="63" t="str">
        <x:v>大陆</x:v>
      </x:c>
      <x:c r="B11" s="64" t="str">
        <x:v>满赞助金币/小时</x:v>
      </x:c>
      <x:c r="C11" s="65" t="str">
        <x:v>满赞助元宝/小时</x:v>
      </x:c>
      <x:c r="N11" s="63" t="str">
        <x:v>大陆</x:v>
      </x:c>
      <x:c r="O11" s="65" t="str">
        <x:v>满赞助元宝/小时</x:v>
      </x:c>
    </x:row>
    <x:row r="12">
      <x:c r="A12" s="98" t="str">
        <x:f>'01_大陆经济总览'!B5</x:f>
        <x:v>漂流群岛</x:v>
      </x:c>
      <x:c r="B12" s="134" t="n">
        <x:f>'01_大陆经济总览'!V5</x:f>
        <x:v>442063636.3636363</x:v>
      </x:c>
      <x:c r="C12" s="140" t="n">
        <x:f>'01_大陆经济总览'!W5</x:f>
        <x:v>3935318.1818181816</x:v>
      </x:c>
      <x:c r="N12" s="98" t="str">
        <x:f>A12</x:f>
        <x:v>漂流群岛</x:v>
      </x:c>
      <x:c r="O12" s="100" t="n">
        <x:f>C12</x:f>
        <x:v>3935318.1818181816</x:v>
      </x:c>
    </x:row>
    <x:row r="13">
      <x:c r="A13" s="101" t="str">
        <x:f>'01_大陆经济总览'!B6</x:f>
        <x:v>宁姆格福</x:v>
      </x:c>
      <x:c r="B13" s="135" t="n">
        <x:f>'01_大陆经济总览'!V6</x:f>
        <x:v>3257038636.363636</x:v>
      </x:c>
      <x:c r="C13" s="141" t="n">
        <x:f>'01_大陆经济总览'!W6</x:f>
        <x:v>23738943.18181818</x:v>
      </x:c>
      <x:c r="N13" s="101" t="str">
        <x:f>A13</x:f>
        <x:v>宁姆格福</x:v>
      </x:c>
      <x:c r="O13" s="103" t="n">
        <x:f>C13</x:f>
        <x:v>23738943.18181818</x:v>
      </x:c>
    </x:row>
    <x:row r="14">
      <x:c r="A14" s="101" t="str">
        <x:f>'01_大陆经济总览'!B7</x:f>
        <x:v>宁姆格福西域</x:v>
      </x:c>
      <x:c r="B14" s="135" t="n">
        <x:f>'01_大陆经济总览'!V7</x:f>
        <x:v>4848750000</x:v>
      </x:c>
      <x:c r="C14" s="141" t="n">
        <x:f>'01_大陆经济总览'!W7</x:f>
        <x:v>33828750</x:v>
      </x:c>
      <x:c r="N14" s="101" t="str">
        <x:f>A14</x:f>
        <x:v>宁姆格福西域</x:v>
      </x:c>
      <x:c r="O14" s="103" t="n">
        <x:f>C14</x:f>
        <x:v>33828750</x:v>
      </x:c>
    </x:row>
    <x:row r="15">
      <x:c r="A15" s="101" t="str">
        <x:f>'01_大陆经济总览'!B8</x:f>
        <x:v>利耶尼亚海域</x:v>
      </x:c>
      <x:c r="B15" s="135" t="n">
        <x:f>'01_大陆经济总览'!V8</x:f>
        <x:v>5897370000.000001</x:v>
      </x:c>
      <x:c r="C15" s="141" t="n">
        <x:f>'01_大陆经济总览'!W8</x:f>
        <x:v>50188650.00000001</x:v>
      </x:c>
      <x:c r="N15" s="101" t="str">
        <x:f>A15</x:f>
        <x:v>利耶尼亚海域</x:v>
      </x:c>
      <x:c r="O15" s="103" t="n">
        <x:f>C15</x:f>
        <x:v>50188650.00000001</x:v>
      </x:c>
    </x:row>
    <x:row r="16">
      <x:c r="A16" s="101" t="str">
        <x:f>'01_大陆经济总览'!B9</x:f>
        <x:v>湖之利耶尼亚</x:v>
      </x:c>
      <x:c r="B16" s="135" t="n">
        <x:f>'01_大陆经济总览'!V9</x:f>
        <x:v>9906700000</x:v>
      </x:c>
      <x:c r="C16" s="141" t="n">
        <x:f>'01_大陆经济总览'!W9</x:f>
        <x:v>106077500</x:v>
      </x:c>
      <x:c r="N16" s="101" t="str">
        <x:f>A16</x:f>
        <x:v>湖之利耶尼亚</x:v>
      </x:c>
      <x:c r="O16" s="103" t="n">
        <x:f>C16</x:f>
        <x:v>106077500</x:v>
      </x:c>
    </x:row>
    <x:row r="17">
      <x:c r="A17" s="101" t="str">
        <x:f>'01_大陆经济总览'!B10</x:f>
        <x:v>盖利德</x:v>
      </x:c>
      <x:c r="B17" s="135" t="n">
        <x:f>'01_大陆经济总览'!V10</x:f>
        <x:v>13329321428.57143</x:v>
      </x:c>
      <x:c r="C17" s="141" t="n">
        <x:f>'01_大陆经济总览'!W10</x:f>
        <x:v>110488392.85714285</x:v>
      </x:c>
      <x:c r="N17" s="101" t="str">
        <x:f>A17</x:f>
        <x:v>盖利德</x:v>
      </x:c>
      <x:c r="O17" s="103" t="n">
        <x:f>C17</x:f>
        <x:v>110488392.85714285</x:v>
      </x:c>
    </x:row>
    <x:row r="18">
      <x:c r="A18" s="101" t="str">
        <x:f>'01_大陆经济总览'!B11</x:f>
        <x:v>化圣雪原</x:v>
      </x:c>
      <x:c r="B18" s="135" t="n">
        <x:f>'01_大陆经济总览'!V11</x:f>
        <x:v>22472512500.000004</x:v>
      </x:c>
      <x:c r="C18" s="141" t="n">
        <x:f>'01_大陆经济总览'!W11</x:f>
        <x:v>219456750.00000006</x:v>
      </x:c>
      <x:c r="N18" s="101" t="str">
        <x:f>A18</x:f>
        <x:v>化圣雪原</x:v>
      </x:c>
      <x:c r="O18" s="103" t="n">
        <x:f>C18</x:f>
        <x:v>219456750.00000006</x:v>
      </x:c>
    </x:row>
    <x:row r="19">
      <x:c r="A19" s="101" t="str">
        <x:f>'01_大陆经济总览'!B12</x:f>
        <x:v>巨人山顶</x:v>
      </x:c>
      <x:c r="B19" s="135" t="n">
        <x:f>'01_大陆经济总览'!V12</x:f>
        <x:v>25163791666.666668</x:v>
      </x:c>
      <x:c r="C19" s="141" t="n">
        <x:f>'01_大陆经济总览'!W12</x:f>
        <x:v>214924375.00000003</x:v>
      </x:c>
      <x:c r="N19" s="101" t="str">
        <x:f>A19</x:f>
        <x:v>巨人山顶</x:v>
      </x:c>
      <x:c r="O19" s="103" t="n">
        <x:f>C19</x:f>
        <x:v>214924375.00000003</x:v>
      </x:c>
    </x:row>
    <x:row r="20">
      <x:c r="A20" s="101" t="str">
        <x:f>'01_大陆经济总览'!B13</x:f>
        <x:v>亚坛高原</x:v>
      </x:c>
      <x:c r="B20" s="135" t="n">
        <x:f>'01_大陆经济总览'!V13</x:f>
        <x:v>41213464285.71429</x:v>
      </x:c>
      <x:c r="C20" s="141" t="n">
        <x:f>'01_大陆经济总览'!W13</x:f>
        <x:v>567884464.2857143</x:v>
      </x:c>
      <x:c r="N20" s="101" t="str">
        <x:f>A20</x:f>
        <x:v>亚坛高原</x:v>
      </x:c>
      <x:c r="O20" s="103" t="n">
        <x:f>C20</x:f>
        <x:v>567884464.2857143</x:v>
      </x:c>
    </x:row>
    <x:row r="21">
      <x:c r="A21" s="104" t="str">
        <x:f>'01_大陆经济总览'!B14</x:f>
        <x:v>王城罗德尔</x:v>
      </x:c>
      <x:c r="B21" s="136" t="n">
        <x:f>'01_大陆经济总览'!V14</x:f>
        <x:v>46295625000</x:v>
      </x:c>
      <x:c r="C21" s="142" t="n">
        <x:f>'01_大陆经济总览'!W14</x:f>
        <x:v>550415625</x:v>
      </x:c>
      <x:c r="N21" s="104" t="str">
        <x:f>A21</x:f>
        <x:v>王城罗德尔</x:v>
      </x:c>
      <x:c r="O21" s="106" t="n">
        <x:f>C21</x:f>
        <x:v>550415625</x:v>
      </x:c>
    </x:row>
    <x:row r="24">
      <x:c r="A24" s="63" t="str">
        <x:v>本方案的硬边界</x:v>
      </x:c>
      <x:c r="B24" s="64" t="str">
        <x:v>执行口径</x:v>
      </x:c>
      <x:c r="C24" s="64" t="str">
        <x:v>是否计入小时产出</x:v>
      </x:c>
      <x:c r="D24" s="64" t="str">
        <x:v>自动回收</x:v>
      </x:c>
      <x:c r="E24" s="64" t="str">
        <x:v>50%加成</x:v>
      </x:c>
      <x:c r="F24" s="65" t="str">
        <x:v>说明</x:v>
      </x:c>
    </x:row>
    <x:row r="25">
      <x:c r="A25" s="98" t="str">
        <x:v>高产通用材料</x:v>
      </x:c>
      <x:c r="B25" s="99" t="str">
        <x:v>先满足NPC，富余80%兑换</x:v>
      </x:c>
      <x:c r="C25" s="99" t="str">
        <x:v>是</x:v>
      </x:c>
      <x:c r="D25" s="99" t="str">
        <x:v>否，手动</x:v>
      </x:c>
      <x:c r="E25" s="99" t="str">
        <x:v>货币增加</x:v>
      </x:c>
      <x:c r="F25" s="100" t="str">
        <x:v>十大陆主要金币/元宝入口</x:v>
      </x:c>
    </x:row>
    <x:row r="26">
      <x:c r="A26" s="101" t="str">
        <x:v>制式装备</x:v>
      </x:c>
      <x:c r="B26" s="102" t="str">
        <x:v>85%掉落进入回收</x:v>
      </x:c>
      <x:c r="C26" s="102" t="str">
        <x:v>是</x:v>
      </x:c>
      <x:c r="D26" s="102" t="str">
        <x:v>是</x:v>
      </x:c>
      <x:c r="E26" s="102" t="str">
        <x:v>货币增加</x:v>
      </x:c>
      <x:c r="F26" s="103" t="str">
        <x:v>20套最终回收值已重做</x:v>
      </x:c>
    </x:row>
    <x:row r="27">
      <x:c r="A27" s="101" t="str">
        <x:v>稀缺材料</x:v>
      </x:c>
      <x:c r="B27" s="102" t="str">
        <x:v>低价兜底</x:v>
      </x:c>
      <x:c r="C27" s="102" t="str">
        <x:v>否</x:v>
      </x:c>
      <x:c r="D27" s="102" t="str">
        <x:v>否，手动</x:v>
      </x:c>
      <x:c r="E27" s="102" t="str">
        <x:v>货币增加</x:v>
      </x:c>
      <x:c r="F27" s="103" t="str">
        <x:v>避免玩家为回收而放弃成长</x:v>
      </x:c>
    </x:row>
    <x:row r="28">
      <x:c r="A28" s="101" t="str">
        <x:v>专属装备</x:v>
      </x:c>
      <x:c r="B28" s="102" t="str">
        <x:v>分解失色锻造石</x:v>
      </x:c>
      <x:c r="C28" s="102" t="str">
        <x:v>否</x:v>
      </x:c>
      <x:c r="D28" s="102" t="str">
        <x:v>否，手动</x:v>
      </x:c>
      <x:c r="E28" s="102" t="str">
        <x:v>材料不增加</x:v>
      </x:c>
      <x:c r="F28" s="103" t="str">
        <x:v>563件逐件列明；失色本次不闭环</x:v>
      </x:c>
    </x:row>
    <x:row r="29">
      <x:c r="A29" s="101" t="str">
        <x:v>追梦/称号卷/任务物</x:v>
      </x:c>
      <x:c r="B29" s="102" t="str">
        <x:v>高价值兜底</x:v>
      </x:c>
      <x:c r="C29" s="102" t="str">
        <x:v>否</x:v>
      </x:c>
      <x:c r="D29" s="102" t="str">
        <x:v>否，手动</x:v>
      </x:c>
      <x:c r="E29" s="102" t="str">
        <x:v>货币增加</x:v>
      </x:c>
      <x:c r="F29" s="103" t="str">
        <x:v>因供不应求，不进入产量模型</x:v>
      </x:c>
    </x:row>
    <x:row r="30">
      <x:c r="A30" s="104" t="str">
        <x:v>合成装备</x:v>
      </x:c>
      <x:c r="B30" s="105" t="str">
        <x:v>只返还货币成本20%</x:v>
      </x:c>
      <x:c r="C30" s="105" t="str">
        <x:v>否</x:v>
      </x:c>
      <x:c r="D30" s="105" t="str">
        <x:v>否，手动</x:v>
      </x:c>
      <x:c r="E30" s="105" t="str">
        <x:v>货币增加</x:v>
      </x:c>
      <x:c r="F30" s="106" t="str">
        <x:v>加成后实际约返还30%，不返材料</x:v>
      </x:c>
    </x:row>
  </x:sheetData>
  <x:mergeCells>
    <x:mergeCell ref="A1:U1"/>
    <x:mergeCell ref="A2:U2"/>
    <x:mergeCell ref="D4:U5"/>
    <x:mergeCell ref="D7:U8"/>
  </x:mergeCells>
  <x:pageMargins left="0.7" right="0.7" top="0.75" bottom="0.75" header="0.3" footer="0.3"/>
  <x:drawing xmlns:r="http://schemas.openxmlformats.org/officeDocument/2006/relationships" r:id="Re5351e5faab34d87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4" hidden="0" customWidth="1"/>
    <x:col min="14" max="14" width="16" hidden="0" customWidth="1"/>
    <x:col min="15" max="15" width="16" hidden="0" customWidth="1"/>
    <x:col min="16" max="16" width="14" hidden="0" customWidth="1"/>
    <x:col min="17" max="17" width="12" hidden="0" customWidth="1"/>
    <x:col min="18" max="18" width="15" hidden="0" customWidth="1"/>
    <x:col min="19" max="19" width="18" hidden="0" customWidth="1"/>
    <x:col min="20" max="20" width="18" hidden="0" customWidth="1"/>
    <x:col min="21" max="21" width="14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4" hidden="0" customWidth="1"/>
    <x:col min="27" max="27" width="14" hidden="0" customWidth="1"/>
    <x:col min="28" max="28" width="18" hidden="0" customWidth="1"/>
    <x:col min="29" max="29" width="18" hidden="0" customWidth="1"/>
    <x:col min="30" max="30" width="14" hidden="0" customWidth="1"/>
    <x:col min="31" max="31" width="38" hidden="0" customWidth="1"/>
  </x:cols>
  <x:sheetData>
    <x:row r="1" ht="28" customHeight="1">
      <x:c r="A1" s="5" t="str">
        <x:v>十大陆货币产出与NPC需求总览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4" customHeight="1">
      <x:c r="A2" s="14" t="str">
        <x:v>本版修复材料与费用引用；小时值仍由原产量/观察时段假设计算，不是完整角色与最终掉落TXT的实测结论。高价值、PvP战灰、每日额外福利不计入基准。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</x:row>
    <x:row r="4" ht="32" customHeight="1">
      <x:c r="A4" s="63" t="str">
        <x:v>大陆ID</x:v>
      </x:c>
      <x:c r="B4" s="64" t="str">
        <x:v>大陆</x:v>
      </x:c>
      <x:c r="C4" s="64" t="str">
        <x:v>观察小时</x:v>
      </x:c>
      <x:c r="D4" s="64" t="str">
        <x:v>满赞助爆率倍率</x:v>
      </x:c>
      <x:c r="E4" s="64" t="str">
        <x:v>击杀/小时</x:v>
      </x:c>
      <x:c r="F4" s="64" t="str">
        <x:v>高产材料</x:v>
      </x:c>
      <x:c r="G4" s="64" t="str">
        <x:v>高产材料产量/小时</x:v>
      </x:c>
      <x:c r="H4" s="64" t="str">
        <x:v>NPC及推荐包高产材料需求</x:v>
      </x:c>
      <x:c r="I4" s="64" t="str">
        <x:v>阶段总产量</x:v>
      </x:c>
      <x:c r="J4" s="64" t="str">
        <x:v>预计富余</x:v>
      </x:c>
      <x:c r="K4" s="64" t="str">
        <x:v>富余/小时</x:v>
      </x:c>
      <x:c r="L4" s="64" t="str">
        <x:v>富余兑换比例</x:v>
      </x:c>
      <x:c r="M4" s="64" t="str">
        <x:v>纳入兑换/小时</x:v>
      </x:c>
      <x:c r="N4" s="64" t="str">
        <x:v>材料基础金币/个</x:v>
      </x:c>
      <x:c r="O4" s="64" t="str">
        <x:v>材料基础元宝/个</x:v>
      </x:c>
      <x:c r="P4" s="64" t="str">
        <x:v>制式装备掉落/小时</x:v>
      </x:c>
      <x:c r="Q4" s="64" t="str">
        <x:v>制式回收比例</x:v>
      </x:c>
      <x:c r="R4" s="64" t="str">
        <x:v>计入回收装备/小时</x:v>
      </x:c>
      <x:c r="S4" s="64" t="str">
        <x:v>制式加权基础金币/件</x:v>
      </x:c>
      <x:c r="T4" s="64" t="str">
        <x:v>制式加权基础元宝/件</x:v>
      </x:c>
      <x:c r="U4" s="64" t="str">
        <x:v>角色总回收增加</x:v>
      </x:c>
      <x:c r="V4" s="64" t="str">
        <x:v>金币/小时</x:v>
      </x:c>
      <x:c r="W4" s="64" t="str">
        <x:v>元宝/小时</x:v>
      </x:c>
      <x:c r="X4" s="64" t="str">
        <x:v>主线金币需求</x:v>
      </x:c>
      <x:c r="Y4" s="64" t="str">
        <x:v>主线元宝需求</x:v>
      </x:c>
      <x:c r="Z4" s="64" t="str">
        <x:v>金币等价小时</x:v>
      </x:c>
      <x:c r="AA4" s="64" t="str">
        <x:v>元宝等价小时</x:v>
      </x:c>
      <x:c r="AB4" s="64" t="str">
        <x:v>深度/可选金币需求</x:v>
      </x:c>
      <x:c r="AC4" s="64" t="str">
        <x:v>深度/可选元宝需求</x:v>
      </x:c>
      <x:c r="AD4" s="64" t="str">
        <x:v>主要压力</x:v>
      </x:c>
      <x:c r="AE4" s="65" t="str">
        <x:v>说明</x:v>
      </x:c>
    </x:row>
    <x:row r="5">
      <x:c r="A5" s="98" t="str">
        <x:v>C01</x:v>
      </x:c>
      <x:c r="B5" s="99" t="str">
        <x:v>漂流群岛</x:v>
      </x:c>
      <x:c r="C5" s="146" t="n">
        <x:v>8</x:v>
      </x:c>
      <x:c r="D5" s="152" t="n">
        <x:v>12</x:v>
      </x:c>
      <x:c r="E5" s="158" t="n">
        <x:v>520</x:v>
      </x:c>
      <x:c r="F5" s="99" t="str">
        <x:v>海蚀铁片</x:v>
      </x:c>
      <x:c r="G5" s="164" t="n">
        <x:v>48</x:v>
      </x:c>
      <x:c r="H5" s="164" t="n">
        <x:f>SUMIFS('13_材料消耗明细'!$F$5:$F$324,'13_材料消耗明细'!$B$5:$B$324,A5,'13_材料消耗明细'!$C$5:$C$324,F5)</x:f>
        <x:v>200</x:v>
      </x:c>
      <x:c r="I5" s="164" t="n">
        <x:f>C5*G5</x:f>
        <x:v>384</x:v>
      </x:c>
      <x:c r="J5" s="164" t="n">
        <x:f>MAX(I5-H5,0)</x:f>
        <x:v>184</x:v>
      </x:c>
      <x:c r="K5" s="164" t="n">
        <x:f>J5/C5</x:f>
        <x:v>23</x:v>
      </x:c>
      <x:c r="L5" s="164" t="n">
        <x:v>0.8</x:v>
      </x:c>
      <x:c r="M5" s="164" t="n">
        <x:f>K5*L5</x:f>
        <x:v>18.400000000000002</x:v>
      </x:c>
      <x:c r="N5" s="158" t="n">
        <x:v>7500000</x:v>
      </x:c>
      <x:c r="O5" s="158" t="n">
        <x:v>100000</x:v>
      </x:c>
      <x:c r="P5" s="170" t="n">
        <x:v>4</x:v>
      </x:c>
      <x:c r="Q5" s="170" t="n">
        <x:v>0.85</x:v>
      </x:c>
      <x:c r="R5" s="170" t="n">
        <x:f>P5*Q5</x:f>
        <x:v>3.4</x:v>
      </x:c>
      <x:c r="S5" s="158" t="n">
        <x:v>46090909.090909086</x:v>
      </x:c>
      <x:c r="T5" s="158" t="n">
        <x:v>230454.54545454544</x:v>
      </x:c>
      <x:c r="U5" s="176" t="n">
        <x:v>0.5</x:v>
      </x:c>
      <x:c r="V5" s="158" t="n">
        <x:f>(M5*N5+R5*S5)*(1+U5)</x:f>
        <x:v>442063636.3636363</x:v>
      </x:c>
      <x:c r="W5" s="158" t="n">
        <x:f>(M5*O5+R5*T5)*(1+U5)</x:f>
        <x:v>3935318.1818181816</x:v>
      </x:c>
      <x:c r="X5" s="158" t="n">
        <x:f>SUMIFS('14_费用阶段对账'!$H$5:$H$131,'14_费用阶段对账'!$C$5:$C$131,A5,'14_费用阶段对账'!$D$5:$D$131,"主线/阶段成长",'14_费用阶段对账'!$J$5:$J$131,"是")</x:f>
        <x:v>34290000000000</x:v>
      </x:c>
      <x:c r="Y5" s="158" t="n">
        <x:f>SUMIFS('14_费用阶段对账'!$I$5:$I$131,'14_费用阶段对账'!$C$5:$C$131,A5,'14_费用阶段对账'!$D$5:$D$131,"主线/阶段成长",'14_费用阶段对账'!$J$5:$J$131,"是")</x:f>
        <x:v>567365000000</x:v>
      </x:c>
      <x:c r="Z5" s="182" t="n">
        <x:f>IF(V5=0,"",X5/V5)</x:f>
        <x:v>77568.01776790673</x:v>
      </x:c>
      <x:c r="AA5" s="182" t="n">
        <x:f>IF(W5=0,"",Y5/W5)</x:f>
        <x:v>144172.58625269993</x:v>
      </x:c>
      <x:c r="AB5" s="158" t="n">
        <x:f>SUMIFS('14_费用阶段对账'!$H$5:$H$131,'14_费用阶段对账'!$C$5:$C$131,A5,'14_费用阶段对账'!$J$5:$J$131,"是")-X5</x:f>
        <x:v>0</x:v>
      </x:c>
      <x:c r="AC5" s="158" t="n">
        <x:f>SUMIFS('14_费用阶段对账'!$I$5:$I$131,'14_费用阶段对账'!$C$5:$C$131,A5,'14_费用阶段对账'!$J$5:$J$131,"是")-Y5</x:f>
        <x:v>500000000000</x:v>
      </x:c>
      <x:c r="AD5" s="99" t="str">
        <x:v>元宝</x:v>
      </x:c>
      <x:c r="AE5" s="100" t="str">
        <x:v>条件预算，非实测；已补称号材料、全洗练预算，排除战灰。单技能/保护脚本费用仅列已知口径；实际人物选择另在属性批次联算。</x:v>
      </x:c>
    </x:row>
    <x:row r="6">
      <x:c r="A6" s="101" t="str">
        <x:v>C02</x:v>
      </x:c>
      <x:c r="B6" s="102" t="str">
        <x:v>宁姆格福</x:v>
      </x:c>
      <x:c r="C6" s="147" t="n">
        <x:v>24</x:v>
      </x:c>
      <x:c r="D6" s="153" t="n">
        <x:v>16</x:v>
      </x:c>
      <x:c r="E6" s="159" t="n">
        <x:v>650</x:v>
      </x:c>
      <x:c r="F6" s="102" t="str">
        <x:v>风暴石片</x:v>
      </x:c>
      <x:c r="G6" s="165" t="n">
        <x:v>60</x:v>
      </x:c>
      <x:c r="H6" s="165" t="n">
        <x:f>SUMIFS('13_材料消耗明细'!$F$5:$F$324,'13_材料消耗明细'!$B$5:$B$324,A6,'13_材料消耗明细'!$C$5:$C$324,F6)</x:f>
        <x:v>550</x:v>
      </x:c>
      <x:c r="I6" s="165" t="n">
        <x:f>C6*G6</x:f>
        <x:v>1440</x:v>
      </x:c>
      <x:c r="J6" s="165" t="n">
        <x:f>MAX(I6-H6,0)</x:f>
        <x:v>890</x:v>
      </x:c>
      <x:c r="K6" s="165" t="n">
        <x:f>J6/C6</x:f>
        <x:v>37.083333333333336</x:v>
      </x:c>
      <x:c r="L6" s="165" t="n">
        <x:v>0.8</x:v>
      </x:c>
      <x:c r="M6" s="165" t="n">
        <x:f>K6*L6</x:f>
        <x:v>29.66666666666667</x:v>
      </x:c>
      <x:c r="N6" s="159" t="n">
        <x:v>13500000</x:v>
      </x:c>
      <x:c r="O6" s="159" t="n">
        <x:v>235000</x:v>
      </x:c>
      <x:c r="P6" s="171" t="n">
        <x:v>1.5</x:v>
      </x:c>
      <x:c r="Q6" s="171" t="n">
        <x:v>0.85</x:v>
      </x:c>
      <x:c r="R6" s="171" t="n">
        <x:f>P6*Q6</x:f>
        <x:v>1.275</x:v>
      </x:c>
      <x:c r="S6" s="159" t="n">
        <x:v>1388909090.9090908</x:v>
      </x:c>
      <x:c r="T6" s="159" t="n">
        <x:v>6944545.454545454</x:v>
      </x:c>
      <x:c r="U6" s="177" t="n">
        <x:v>0.5</x:v>
      </x:c>
      <x:c r="V6" s="159" t="n">
        <x:f>(M6*N6+R6*S6)*(1+U6)</x:f>
        <x:v>3257038636.363636</x:v>
      </x:c>
      <x:c r="W6" s="159" t="n">
        <x:f>(M6*O6+R6*T6)*(1+U6)</x:f>
        <x:v>23738943.18181818</x:v>
      </x:c>
      <x:c r="X6" s="159" t="n">
        <x:f>SUMIFS('14_费用阶段对账'!$H$5:$H$131,'14_费用阶段对账'!$C$5:$C$131,A6,'14_费用阶段对账'!$D$5:$D$131,"主线/阶段成长",'14_费用阶段对账'!$J$5:$J$131,"是")</x:f>
        <x:v>90000000000000</x:v>
      </x:c>
      <x:c r="Y6" s="159" t="n">
        <x:f>SUMIFS('14_费用阶段对账'!$I$5:$I$131,'14_费用阶段对账'!$C$5:$C$131,A6,'14_费用阶段对账'!$D$5:$D$131,"主线/阶段成长",'14_费用阶段对账'!$J$5:$J$131,"是")</x:f>
        <x:v>2110000000000</x:v>
      </x:c>
      <x:c r="Z6" s="183" t="n">
        <x:f>IF(V6=0,"",X6/V6)</x:f>
        <x:v>27632.463120081895</x:v>
      </x:c>
      <x:c r="AA6" s="183" t="n">
        <x:f>IF(W6=0,"",Y6/W6)</x:f>
        <x:v>88883.48499085939</x:v>
      </x:c>
      <x:c r="AB6" s="159" t="n">
        <x:f>SUMIFS('14_费用阶段对账'!$H$5:$H$131,'14_费用阶段对账'!$C$5:$C$131,A6,'14_费用阶段对账'!$J$5:$J$131,"是")-X6</x:f>
        <x:v>41897000000000</x:v>
      </x:c>
      <x:c r="AC6" s="159" t="n">
        <x:f>SUMIFS('14_费用阶段对账'!$I$5:$I$131,'14_费用阶段对账'!$C$5:$C$131,A6,'14_费用阶段对账'!$J$5:$J$131,"是")-Y6</x:f>
        <x:v>6950000000000</x:v>
      </x:c>
      <x:c r="AD6" s="102" t="str">
        <x:v>元宝</x:v>
      </x:c>
      <x:c r="AE6" s="103" t="str">
        <x:v>条件预算，非实测；已补称号材料、全洗练预算，排除战灰。单技能/保护脚本费用仅列已知口径；实际人物选择另在属性批次联算。</x:v>
      </x:c>
    </x:row>
    <x:row r="7">
      <x:c r="A7" s="101" t="str">
        <x:v>C03</x:v>
      </x:c>
      <x:c r="B7" s="102" t="str">
        <x:v>宁姆格福西域</x:v>
      </x:c>
      <x:c r="C7" s="147" t="n">
        <x:v>32</x:v>
      </x:c>
      <x:c r="D7" s="153" t="n">
        <x:v>22</x:v>
      </x:c>
      <x:c r="E7" s="159" t="n">
        <x:v>780</x:v>
      </x:c>
      <x:c r="F7" s="102" t="str">
        <x:v>风蚀铁片</x:v>
      </x:c>
      <x:c r="G7" s="165" t="n">
        <x:v>70</x:v>
      </x:c>
      <x:c r="H7" s="165" t="n">
        <x:f>SUMIFS('13_材料消耗明细'!$F$5:$F$324,'13_材料消耗明细'!$B$5:$B$324,A7,'13_材料消耗明细'!$C$5:$C$324,F7)</x:f>
        <x:v>820</x:v>
      </x:c>
      <x:c r="I7" s="165" t="n">
        <x:f>C7*G7</x:f>
        <x:v>2240</x:v>
      </x:c>
      <x:c r="J7" s="165" t="n">
        <x:f>MAX(I7-H7,0)</x:f>
        <x:v>1420</x:v>
      </x:c>
      <x:c r="K7" s="165" t="n">
        <x:f>J7/C7</x:f>
        <x:v>44.375</x:v>
      </x:c>
      <x:c r="L7" s="165" t="n">
        <x:v>0.8</x:v>
      </x:c>
      <x:c r="M7" s="165" t="n">
        <x:f>K7*L7</x:f>
        <x:v>35.5</x:v>
      </x:c>
      <x:c r="N7" s="159" t="n">
        <x:v>47000000</x:v>
      </x:c>
      <x:c r="O7" s="159" t="n">
        <x:v>415000</x:v>
      </x:c>
      <x:c r="P7" s="171" t="n">
        <x:v>0.8</x:v>
      </x:c>
      <x:c r="Q7" s="171" t="n">
        <x:v>0.85</x:v>
      </x:c>
      <x:c r="R7" s="171" t="n">
        <x:f>P7*Q7</x:f>
        <x:v>0.68</x:v>
      </x:c>
      <x:c r="S7" s="159" t="n">
        <x:v>2300000000</x:v>
      </x:c>
      <x:c r="T7" s="159" t="n">
        <x:v>11500000</x:v>
      </x:c>
      <x:c r="U7" s="177" t="n">
        <x:v>0.5</x:v>
      </x:c>
      <x:c r="V7" s="159" t="n">
        <x:f>(M7*N7+R7*S7)*(1+U7)</x:f>
        <x:v>4848750000</x:v>
      </x:c>
      <x:c r="W7" s="159" t="n">
        <x:f>(M7*O7+R7*T7)*(1+U7)</x:f>
        <x:v>33828750</x:v>
      </x:c>
      <x:c r="X7" s="159" t="n">
        <x:f>SUMIFS('14_费用阶段对账'!$H$5:$H$131,'14_费用阶段对账'!$C$5:$C$131,A7,'14_费用阶段对账'!$D$5:$D$131,"主线/阶段成长",'14_费用阶段对账'!$J$5:$J$131,"是")</x:f>
        <x:v>868000000000000</x:v>
      </x:c>
      <x:c r="Y7" s="159" t="n">
        <x:f>SUMIFS('14_费用阶段对账'!$I$5:$I$131,'14_费用阶段对账'!$C$5:$C$131,A7,'14_费用阶段对账'!$D$5:$D$131,"主线/阶段成长",'14_费用阶段对账'!$J$5:$J$131,"是")</x:f>
        <x:v>520000000000</x:v>
      </x:c>
      <x:c r="Z7" s="183" t="n">
        <x:f>IF(V7=0,"",X7/V7)</x:f>
        <x:v>179015.21010569733</x:v>
      </x:c>
      <x:c r="AA7" s="183" t="n">
        <x:f>IF(W7=0,"",Y7/W7)</x:f>
        <x:v>15371.540479621624</x:v>
      </x:c>
      <x:c r="AB7" s="159" t="n">
        <x:f>SUMIFS('14_费用阶段对账'!$H$5:$H$131,'14_费用阶段对账'!$C$5:$C$131,A7,'14_费用阶段对账'!$J$5:$J$131,"是")-X7</x:f>
        <x:v>1592000000000</x:v>
      </x:c>
      <x:c r="AC7" s="159" t="n">
        <x:f>SUMIFS('14_费用阶段对账'!$I$5:$I$131,'14_费用阶段对账'!$C$5:$C$131,A7,'14_费用阶段对账'!$J$5:$J$131,"是")-Y7</x:f>
        <x:v>3800000000000</x:v>
      </x:c>
      <x:c r="AD7" s="102" t="str">
        <x:v>金币</x:v>
      </x:c>
      <x:c r="AE7" s="103" t="str">
        <x:v>条件预算，非实测；已补称号材料、全洗练预算，排除战灰。单技能/保护脚本费用仅列已知口径；实际人物选择另在属性批次联算。</x:v>
      </x:c>
    </x:row>
    <x:row r="8">
      <x:c r="A8" s="101" t="str">
        <x:v>C04</x:v>
      </x:c>
      <x:c r="B8" s="102" t="str">
        <x:v>利耶尼亚海域</x:v>
      </x:c>
      <x:c r="C8" s="147" t="n">
        <x:v>40</x:v>
      </x:c>
      <x:c r="D8" s="153" t="n">
        <x:v>30</x:v>
      </x:c>
      <x:c r="E8" s="159" t="n">
        <x:v>900</x:v>
      </x:c>
      <x:c r="F8" s="102" t="str">
        <x:v>湖盐结晶</x:v>
      </x:c>
      <x:c r="G8" s="165" t="n">
        <x:v>78</x:v>
      </x:c>
      <x:c r="H8" s="165" t="n">
        <x:f>SUMIFS('13_材料消耗明细'!$F$5:$F$324,'13_材料消耗明细'!$B$5:$B$324,A8,'13_材料消耗明细'!$C$5:$C$324,F8)</x:f>
        <x:v>1477</x:v>
      </x:c>
      <x:c r="I8" s="165" t="n">
        <x:f>C8*G8</x:f>
        <x:v>3120</x:v>
      </x:c>
      <x:c r="J8" s="165" t="n">
        <x:f>MAX(I8-H8,0)</x:f>
        <x:v>1643</x:v>
      </x:c>
      <x:c r="K8" s="165" t="n">
        <x:f>J8/C8</x:f>
        <x:v>41.075</x:v>
      </x:c>
      <x:c r="L8" s="165" t="n">
        <x:v>0.8</x:v>
      </x:c>
      <x:c r="M8" s="165" t="n">
        <x:f>K8*L8</x:f>
        <x:v>32.86000000000001</x:v>
      </x:c>
      <x:c r="N8" s="159" t="n">
        <x:v>78000000</x:v>
      </x:c>
      <x:c r="O8" s="159" t="n">
        <x:v>810000</x:v>
      </x:c>
      <x:c r="P8" s="171" t="n">
        <x:v>0.7</x:v>
      </x:c>
      <x:c r="Q8" s="171" t="n">
        <x:v>0.85</x:v>
      </x:c>
      <x:c r="R8" s="171" t="n">
        <x:f>P8*Q8</x:f>
        <x:v>0.595</x:v>
      </x:c>
      <x:c r="S8" s="159" t="n">
        <x:v>2300000000</x:v>
      </x:c>
      <x:c r="T8" s="159" t="n">
        <x:v>11500000</x:v>
      </x:c>
      <x:c r="U8" s="177" t="n">
        <x:v>0.5</x:v>
      </x:c>
      <x:c r="V8" s="159" t="n">
        <x:f>(M8*N8+R8*S8)*(1+U8)</x:f>
        <x:v>5897370000.000001</x:v>
      </x:c>
      <x:c r="W8" s="159" t="n">
        <x:f>(M8*O8+R8*T8)*(1+U8)</x:f>
        <x:v>50188650.00000001</x:v>
      </x:c>
      <x:c r="X8" s="159" t="n">
        <x:f>SUMIFS('14_费用阶段对账'!$H$5:$H$131,'14_费用阶段对账'!$C$5:$C$131,A8,'14_费用阶段对账'!$D$5:$D$131,"主线/阶段成长",'14_费用阶段对账'!$J$5:$J$131,"是")</x:f>
        <x:v>847000000000000</x:v>
      </x:c>
      <x:c r="Y8" s="159" t="n">
        <x:f>SUMIFS('14_费用阶段对账'!$I$5:$I$131,'14_费用阶段对账'!$C$5:$C$131,A8,'14_费用阶段对账'!$D$5:$D$131,"主线/阶段成长",'14_费用阶段对账'!$J$5:$J$131,"是")</x:f>
        <x:v>10325000000000</x:v>
      </x:c>
      <x:c r="Z8" s="183" t="n">
        <x:f>IF(V8=0,"",X8/V8)</x:f>
        <x:v>143623.34396519125</x:v>
      </x:c>
      <x:c r="AA8" s="183" t="n">
        <x:f>IF(W8=0,"",Y8/W8)</x:f>
        <x:v>205723.80408717904</x:v>
      </x:c>
      <x:c r="AB8" s="159" t="n">
        <x:f>SUMIFS('14_费用阶段对账'!$H$5:$H$131,'14_费用阶段对账'!$C$5:$C$131,A8,'14_费用阶段对账'!$J$5:$J$131,"是")-X8</x:f>
        <x:v>2007000000000</x:v>
      </x:c>
      <x:c r="AC8" s="159" t="n">
        <x:f>SUMIFS('14_费用阶段对账'!$I$5:$I$131,'14_费用阶段对账'!$C$5:$C$131,A8,'14_费用阶段对账'!$J$5:$J$131,"是")-Y8</x:f>
        <x:v>7250000000000</x:v>
      </x:c>
      <x:c r="AD8" s="102" t="str">
        <x:v>元宝</x:v>
      </x:c>
      <x:c r="AE8" s="103" t="str">
        <x:v>条件预算，非实测；已补称号材料、全洗练预算，排除战灰。单技能/保护脚本费用仅列已知口径；实际人物选择另在属性批次联算。</x:v>
      </x:c>
    </x:row>
    <x:row r="9">
      <x:c r="A9" s="101" t="str">
        <x:v>C05</x:v>
      </x:c>
      <x:c r="B9" s="102" t="str">
        <x:v>湖之利耶尼亚</x:v>
      </x:c>
      <x:c r="C9" s="147" t="n">
        <x:v>48</x:v>
      </x:c>
      <x:c r="D9" s="153" t="n">
        <x:v>40</x:v>
      </x:c>
      <x:c r="E9" s="159" t="n">
        <x:v>1020</x:v>
      </x:c>
      <x:c r="F9" s="102" t="str">
        <x:v>辉石碎晶</x:v>
      </x:c>
      <x:c r="G9" s="165" t="n">
        <x:v>84</x:v>
      </x:c>
      <x:c r="H9" s="165" t="n">
        <x:f>SUMIFS('13_材料消耗明细'!$F$5:$F$324,'13_材料消耗明细'!$B$5:$B$324,A9,'13_材料消耗明细'!$C$5:$C$324,F9)</x:f>
        <x:v>1600</x:v>
      </x:c>
      <x:c r="I9" s="165" t="n">
        <x:f>C9*G9</x:f>
        <x:v>4032</x:v>
      </x:c>
      <x:c r="J9" s="165" t="n">
        <x:f>MAX(I9-H9,0)</x:f>
        <x:v>2432</x:v>
      </x:c>
      <x:c r="K9" s="165" t="n">
        <x:f>J9/C9</x:f>
        <x:v>50.666666666666664</x:v>
      </x:c>
      <x:c r="L9" s="165" t="n">
        <x:v>0.8</x:v>
      </x:c>
      <x:c r="M9" s="165" t="n">
        <x:f>K9*L9</x:f>
        <x:v>40.53333333333333</x:v>
      </x:c>
      <x:c r="N9" s="159" t="n">
        <x:v>134000000</x:v>
      </x:c>
      <x:c r="O9" s="159" t="n">
        <x:v>1600000</x:v>
      </x:c>
      <x:c r="P9" s="171" t="n">
        <x:v>0.6</x:v>
      </x:c>
      <x:c r="Q9" s="171" t="n">
        <x:v>0.85</x:v>
      </x:c>
      <x:c r="R9" s="171" t="n">
        <x:f>P9*Q9</x:f>
        <x:v>0.51</x:v>
      </x:c>
      <x:c r="S9" s="159" t="n">
        <x:v>2300000000</x:v>
      </x:c>
      <x:c r="T9" s="159" t="n">
        <x:v>11500000</x:v>
      </x:c>
      <x:c r="U9" s="177" t="n">
        <x:v>0.5</x:v>
      </x:c>
      <x:c r="V9" s="159" t="n">
        <x:f>(M9*N9+R9*S9)*(1+U9)</x:f>
        <x:v>9906700000</x:v>
      </x:c>
      <x:c r="W9" s="159" t="n">
        <x:f>(M9*O9+R9*T9)*(1+U9)</x:f>
        <x:v>106077500</x:v>
      </x:c>
      <x:c r="X9" s="159" t="n">
        <x:f>SUMIFS('14_费用阶段对账'!$H$5:$H$131,'14_费用阶段对账'!$C$5:$C$131,A9,'14_费用阶段对账'!$D$5:$D$131,"主线/阶段成长",'14_费用阶段对账'!$J$5:$J$131,"是")</x:f>
        <x:v>155000000000000</x:v>
      </x:c>
      <x:c r="Y9" s="159" t="n">
        <x:f>SUMIFS('14_费用阶段对账'!$I$5:$I$131,'14_费用阶段对账'!$C$5:$C$131,A9,'14_费用阶段对账'!$D$5:$D$131,"主线/阶段成长",'14_费用阶段对账'!$J$5:$J$131,"是")</x:f>
        <x:v>24030000000000</x:v>
      </x:c>
      <x:c r="Z9" s="183" t="n">
        <x:f>IF(V9=0,"",X9/V9)</x:f>
        <x:v>15645.976965084235</x:v>
      </x:c>
      <x:c r="AA9" s="183" t="n">
        <x:f>IF(W9=0,"",Y9/W9)</x:f>
        <x:v>226532.48803940514</x:v>
      </x:c>
      <x:c r="AB9" s="159" t="n">
        <x:f>SUMIFS('14_费用阶段对账'!$H$5:$H$131,'14_费用阶段对账'!$C$5:$C$131,A9,'14_费用阶段对账'!$J$5:$J$131,"是")-X9</x:f>
        <x:v>3425000000000</x:v>
      </x:c>
      <x:c r="AC9" s="159" t="n">
        <x:f>SUMIFS('14_费用阶段对账'!$I$5:$I$131,'14_费用阶段对账'!$C$5:$C$131,A9,'14_费用阶段对账'!$J$5:$J$131,"是")-Y9</x:f>
        <x:v>18600000000000</x:v>
      </x:c>
      <x:c r="AD9" s="102" t="str">
        <x:v>元宝</x:v>
      </x:c>
      <x:c r="AE9" s="103" t="str">
        <x:v>条件预算，非实测；已补称号材料、全洗练预算，排除战灰。单技能/保护脚本费用仅列已知口径；实际人物选择另在属性批次联算。</x:v>
      </x:c>
    </x:row>
    <x:row r="10">
      <x:c r="A10" s="101" t="str">
        <x:v>C06</x:v>
      </x:c>
      <x:c r="B10" s="102" t="str">
        <x:v>盖利德</x:v>
      </x:c>
      <x:c r="C10" s="147" t="n">
        <x:v>56</x:v>
      </x:c>
      <x:c r="D10" s="153" t="n">
        <x:v>52</x:v>
      </x:c>
      <x:c r="E10" s="159" t="n">
        <x:v>1140</x:v>
      </x:c>
      <x:c r="F10" s="102" t="str">
        <x:v>猩红矿渣</x:v>
      </x:c>
      <x:c r="G10" s="165" t="n">
        <x:v>89</x:v>
      </x:c>
      <x:c r="H10" s="165" t="n">
        <x:f>SUMIFS('13_材料消耗明细'!$F$5:$F$324,'13_材料消耗明细'!$B$5:$B$324,A10,'13_材料消耗明细'!$C$5:$C$324,F10)</x:f>
        <x:v>2577</x:v>
      </x:c>
      <x:c r="I10" s="165" t="n">
        <x:f>C10*G10</x:f>
        <x:v>4984</x:v>
      </x:c>
      <x:c r="J10" s="165" t="n">
        <x:f>MAX(I10-H10,0)</x:f>
        <x:v>2407</x:v>
      </x:c>
      <x:c r="K10" s="165" t="n">
        <x:f>J10/C10</x:f>
        <x:v>42.982142857142854</x:v>
      </x:c>
      <x:c r="L10" s="165" t="n">
        <x:v>0.8</x:v>
      </x:c>
      <x:c r="M10" s="165" t="n">
        <x:f>K10*L10</x:f>
        <x:v>34.385714285714286</x:v>
      </x:c>
      <x:c r="N10" s="159" t="n">
        <x:v>230000000</x:v>
      </x:c>
      <x:c r="O10" s="159" t="n">
        <x:v>2000000</x:v>
      </x:c>
      <x:c r="P10" s="171" t="n">
        <x:v>0.5</x:v>
      </x:c>
      <x:c r="Q10" s="171" t="n">
        <x:v>0.85</x:v>
      </x:c>
      <x:c r="R10" s="171" t="n">
        <x:f>P10*Q10</x:f>
        <x:v>0.425</x:v>
      </x:c>
      <x:c r="S10" s="159" t="n">
        <x:v>2300000000</x:v>
      </x:c>
      <x:c r="T10" s="159" t="n">
        <x:v>11500000</x:v>
      </x:c>
      <x:c r="U10" s="177" t="n">
        <x:v>0.5</x:v>
      </x:c>
      <x:c r="V10" s="159" t="n">
        <x:f>(M10*N10+R10*S10)*(1+U10)</x:f>
        <x:v>13329321428.57143</x:v>
      </x:c>
      <x:c r="W10" s="159" t="n">
        <x:f>(M10*O10+R10*T10)*(1+U10)</x:f>
        <x:v>110488392.85714285</x:v>
      </x:c>
      <x:c r="X10" s="159" t="n">
        <x:f>SUMIFS('14_费用阶段对账'!$H$5:$H$131,'14_费用阶段对账'!$C$5:$C$131,A10,'14_费用阶段对账'!$D$5:$D$131,"主线/阶段成长",'14_费用阶段对账'!$J$5:$J$131,"是")</x:f>
        <x:v>3990000000000000</x:v>
      </x:c>
      <x:c r="Y10" s="159" t="n">
        <x:f>SUMIFS('14_费用阶段对账'!$I$5:$I$131,'14_费用阶段对账'!$C$5:$C$131,A10,'14_费用阶段对账'!$D$5:$D$131,"主线/阶段成长",'14_费用阶段对账'!$J$5:$J$131,"是")</x:f>
        <x:v>5580000000000</x:v>
      </x:c>
      <x:c r="Z10" s="183" t="n">
        <x:f>IF(V10=0,"",X10/V10)</x:f>
        <x:v>299340.0692887056</x:v>
      </x:c>
      <x:c r="AA10" s="183" t="n">
        <x:f>IF(W10=0,"",Y10/W10)</x:f>
        <x:v>50503.04249799995</x:v>
      </x:c>
      <x:c r="AB10" s="159" t="n">
        <x:f>SUMIFS('14_费用阶段对账'!$H$5:$H$131,'14_费用阶段对账'!$C$5:$C$131,A10,'14_费用阶段对账'!$J$5:$J$131,"是")-X10</x:f>
        <x:v>4848000000000</x:v>
      </x:c>
      <x:c r="AC10" s="159" t="n">
        <x:f>SUMIFS('14_费用阶段对账'!$I$5:$I$131,'14_费用阶段对账'!$C$5:$C$131,A10,'14_费用阶段对账'!$J$5:$J$131,"是")-Y10</x:f>
        <x:v>23800000000000</x:v>
      </x:c>
      <x:c r="AD10" s="102" t="str">
        <x:v>金币</x:v>
      </x:c>
      <x:c r="AE10" s="103" t="str">
        <x:v>条件预算，非实测；已补称号材料、全洗练预算，排除战灰。单技能/保护脚本费用仅列已知口径；实际人物选择另在属性批次联算。</x:v>
      </x:c>
    </x:row>
    <x:row r="11">
      <x:c r="A11" s="101" t="str">
        <x:v>C07</x:v>
      </x:c>
      <x:c r="B11" s="102" t="str">
        <x:v>化圣雪原</x:v>
      </x:c>
      <x:c r="C11" s="147" t="n">
        <x:v>64</x:v>
      </x:c>
      <x:c r="D11" s="153" t="n">
        <x:v>65</x:v>
      </x:c>
      <x:c r="E11" s="159" t="n">
        <x:v>1260</x:v>
      </x:c>
      <x:c r="F11" s="102" t="str">
        <x:v>冻晶尘</x:v>
      </x:c>
      <x:c r="G11" s="165" t="n">
        <x:v>93</x:v>
      </x:c>
      <x:c r="H11" s="165" t="n">
        <x:f>SUMIFS('13_材料消耗明细'!$F$5:$F$324,'13_材料消耗明细'!$B$5:$B$324,A11,'13_材料消耗明细'!$C$5:$C$324,F11)</x:f>
        <x:v>2770</x:v>
      </x:c>
      <x:c r="I11" s="165" t="n">
        <x:f>C11*G11</x:f>
        <x:v>5952</x:v>
      </x:c>
      <x:c r="J11" s="165" t="n">
        <x:f>MAX(I11-H11,0)</x:f>
        <x:v>3182</x:v>
      </x:c>
      <x:c r="K11" s="165" t="n">
        <x:f>J11/C11</x:f>
        <x:v>49.71875</x:v>
      </x:c>
      <x:c r="L11" s="165" t="n">
        <x:v>0.8</x:v>
      </x:c>
      <x:c r="M11" s="165" t="n">
        <x:f>K11*L11</x:f>
        <x:v>39.775000000000006</x:v>
      </x:c>
      <x:c r="N11" s="159" t="n">
        <x:v>357000000</x:v>
      </x:c>
      <x:c r="O11" s="159" t="n">
        <x:v>3580000</x:v>
      </x:c>
      <x:c r="P11" s="171" t="n">
        <x:v>0.4</x:v>
      </x:c>
      <x:c r="Q11" s="171" t="n">
        <x:v>0.85</x:v>
      </x:c>
      <x:c r="R11" s="171" t="n">
        <x:f>P11*Q11</x:f>
        <x:v>0.34</x:v>
      </x:c>
      <x:c r="S11" s="159" t="n">
        <x:v>2300000000</x:v>
      </x:c>
      <x:c r="T11" s="159" t="n">
        <x:v>11500000</x:v>
      </x:c>
      <x:c r="U11" s="177" t="n">
        <x:v>0.5</x:v>
      </x:c>
      <x:c r="V11" s="159" t="n">
        <x:f>(M11*N11+R11*S11)*(1+U11)</x:f>
        <x:v>22472512500.000004</x:v>
      </x:c>
      <x:c r="W11" s="159" t="n">
        <x:f>(M11*O11+R11*T11)*(1+U11)</x:f>
        <x:v>219456750.00000006</x:v>
      </x:c>
      <x:c r="X11" s="159" t="n">
        <x:f>SUMIFS('14_费用阶段对账'!$H$5:$H$131,'14_费用阶段对账'!$C$5:$C$131,A11,'14_费用阶段对账'!$D$5:$D$131,"主线/阶段成长",'14_费用阶段对账'!$J$5:$J$131,"是")</x:f>
        <x:v>3225000000000000</x:v>
      </x:c>
      <x:c r="Y11" s="159" t="n">
        <x:f>SUMIFS('14_费用阶段对账'!$I$5:$I$131,'14_费用阶段对账'!$C$5:$C$131,A11,'14_费用阶段对账'!$D$5:$D$131,"主线/阶段成长",'14_费用阶段对账'!$J$5:$J$131,"是")</x:f>
        <x:v>31660000000000</x:v>
      </x:c>
      <x:c r="Z11" s="183" t="n">
        <x:f>IF(V11=0,"",X11/V11)</x:f>
        <x:v>143508.65307116858</x:v>
      </x:c>
      <x:c r="AA11" s="183" t="n">
        <x:f>IF(W11=0,"",Y11/W11)</x:f>
        <x:v>144265.32790629586</x:v>
      </x:c>
      <x:c r="AB11" s="159" t="n">
        <x:f>SUMIFS('14_费用阶段对账'!$H$5:$H$131,'14_费用阶段对账'!$C$5:$C$131,A11,'14_费用阶段对账'!$J$5:$J$131,"是")-X11</x:f>
        <x:v>8180000000000</x:v>
      </x:c>
      <x:c r="AC11" s="159" t="n">
        <x:f>SUMIFS('14_费用阶段对账'!$I$5:$I$131,'14_费用阶段对账'!$C$5:$C$131,A11,'14_费用阶段对账'!$J$5:$J$131,"是")-Y11</x:f>
        <x:v>53920000000000</x:v>
      </x:c>
      <x:c r="AD11" s="102" t="str">
        <x:v>金币/元宝并重</x:v>
      </x:c>
      <x:c r="AE11" s="103" t="str">
        <x:v>条件预算，非实测；已补称号材料、全洗练预算，排除战灰。单技能/保护脚本费用仅列已知口径；实际人物选择另在属性批次联算。</x:v>
      </x:c>
    </x:row>
    <x:row r="12">
      <x:c r="A12" s="101" t="str">
        <x:v>C08</x:v>
      </x:c>
      <x:c r="B12" s="102" t="str">
        <x:v>巨人山顶</x:v>
      </x:c>
      <x:c r="C12" s="147" t="n">
        <x:v>72</x:v>
      </x:c>
      <x:c r="D12" s="153" t="n">
        <x:v>78</x:v>
      </x:c>
      <x:c r="E12" s="159" t="n">
        <x:v>1380</x:v>
      </x:c>
      <x:c r="F12" s="102" t="str">
        <x:v>霜脊铁</x:v>
      </x:c>
      <x:c r="G12" s="165" t="n">
        <x:v>96</x:v>
      </x:c>
      <x:c r="H12" s="165" t="n">
        <x:f>SUMIFS('13_材料消耗明细'!$F$5:$F$324,'13_材料消耗明细'!$B$5:$B$324,A12,'13_材料消耗明细'!$C$5:$C$324,F12)</x:f>
        <x:v>4205</x:v>
      </x:c>
      <x:c r="I12" s="165" t="n">
        <x:f>C12*G12</x:f>
        <x:v>6912</x:v>
      </x:c>
      <x:c r="J12" s="165" t="n">
        <x:f>MAX(I12-H12,0)</x:f>
        <x:v>2707</x:v>
      </x:c>
      <x:c r="K12" s="165" t="n">
        <x:f>J12/C12</x:f>
        <x:v>37.59722222222222</x:v>
      </x:c>
      <x:c r="L12" s="165" t="n">
        <x:v>0.8</x:v>
      </x:c>
      <x:c r="M12" s="165" t="n">
        <x:f>K12*L12</x:f>
        <x:v>30.07777777777778</x:v>
      </x:c>
      <x:c r="N12" s="159" t="n">
        <x:v>535000000</x:v>
      </x:c>
      <x:c r="O12" s="159" t="n">
        <x:v>4650000</x:v>
      </x:c>
      <x:c r="P12" s="171" t="n">
        <x:v>0.35</x:v>
      </x:c>
      <x:c r="Q12" s="171" t="n">
        <x:v>0.85</x:v>
      </x:c>
      <x:c r="R12" s="171" t="n">
        <x:f>P12*Q12</x:f>
        <x:v>0.2975</x:v>
      </x:c>
      <x:c r="S12" s="159" t="n">
        <x:v>2300000000</x:v>
      </x:c>
      <x:c r="T12" s="159" t="n">
        <x:v>11500000</x:v>
      </x:c>
      <x:c r="U12" s="177" t="n">
        <x:v>0.5</x:v>
      </x:c>
      <x:c r="V12" s="159" t="n">
        <x:f>(M12*N12+R12*S12)*(1+U12)</x:f>
        <x:v>25163791666.666668</x:v>
      </x:c>
      <x:c r="W12" s="159" t="n">
        <x:f>(M12*O12+R12*T12)*(1+U12)</x:f>
        <x:v>214924375.00000003</x:v>
      </x:c>
      <x:c r="X12" s="159" t="n">
        <x:f>SUMIFS('14_费用阶段对账'!$H$5:$H$131,'14_费用阶段对账'!$C$5:$C$131,A12,'14_费用阶段对账'!$D$5:$D$131,"主线/阶段成长",'14_费用阶段对账'!$J$5:$J$131,"是")</x:f>
        <x:v>6275000000000000</x:v>
      </x:c>
      <x:c r="Y12" s="159" t="n">
        <x:f>SUMIFS('14_费用阶段对账'!$I$5:$I$131,'14_费用阶段对账'!$C$5:$C$131,A12,'14_费用阶段对账'!$D$5:$D$131,"主线/阶段成长",'14_费用阶段对账'!$J$5:$J$131,"是")</x:f>
        <x:v>31140000000000</x:v>
      </x:c>
      <x:c r="Z12" s="183" t="n">
        <x:f>IF(V12=0,"",X12/V12)</x:f>
        <x:v>249366.23554677604</x:v>
      </x:c>
      <x:c r="AA12" s="183" t="n">
        <x:f>IF(W12=0,"",Y12/W12)</x:f>
        <x:v>144888.17287476116</x:v>
      </x:c>
      <x:c r="AB12" s="159" t="n">
        <x:f>SUMIFS('14_费用阶段对账'!$H$5:$H$131,'14_费用阶段对账'!$C$5:$C$131,A12,'14_费用阶段对账'!$J$5:$J$131,"是")-X12</x:f>
        <x:v>9900000000000</x:v>
      </x:c>
      <x:c r="AC12" s="159" t="n">
        <x:f>SUMIFS('14_费用阶段对账'!$I$5:$I$131,'14_费用阶段对账'!$C$5:$C$131,A12,'14_费用阶段对账'!$J$5:$J$131,"是")-Y12</x:f>
        <x:v>63180000000000</x:v>
      </x:c>
      <x:c r="AD12" s="102" t="str">
        <x:v>金币</x:v>
      </x:c>
      <x:c r="AE12" s="103" t="str">
        <x:v>条件预算，非实测；已补称号材料、全洗练预算，排除战灰。单技能/保护脚本费用仅列已知口径；实际人物选择另在属性批次联算。</x:v>
      </x:c>
    </x:row>
    <x:row r="13">
      <x:c r="A13" s="101" t="str">
        <x:v>C09</x:v>
      </x:c>
      <x:c r="B13" s="102" t="str">
        <x:v>亚坛高原</x:v>
      </x:c>
      <x:c r="C13" s="147" t="n">
        <x:v>84</x:v>
      </x:c>
      <x:c r="D13" s="153" t="n">
        <x:v>90</x:v>
      </x:c>
      <x:c r="E13" s="159" t="n">
        <x:v>1500</x:v>
      </x:c>
      <x:c r="F13" s="102" t="str">
        <x:v>黄金叶脉</x:v>
      </x:c>
      <x:c r="G13" s="165" t="n">
        <x:v>98</x:v>
      </x:c>
      <x:c r="H13" s="165" t="n">
        <x:f>SUMIFS('13_材料消耗明细'!$F$5:$F$324,'13_材料消耗明细'!$B$5:$B$324,A13,'13_材料消耗明细'!$C$5:$C$324,F13)</x:f>
        <x:v>4080</x:v>
      </x:c>
      <x:c r="I13" s="165" t="n">
        <x:f>C13*G13</x:f>
        <x:v>8232</x:v>
      </x:c>
      <x:c r="J13" s="165" t="n">
        <x:f>MAX(I13-H13,0)</x:f>
        <x:v>4152</x:v>
      </x:c>
      <x:c r="K13" s="165" t="n">
        <x:f>J13/C13</x:f>
        <x:v>49.42857142857143</x:v>
      </x:c>
      <x:c r="L13" s="165" t="n">
        <x:v>0.8</x:v>
      </x:c>
      <x:c r="M13" s="165" t="n">
        <x:f>K13*L13</x:f>
        <x:v>39.542857142857144</x:v>
      </x:c>
      <x:c r="N13" s="159" t="n">
        <x:v>680000000</x:v>
      </x:c>
      <x:c r="O13" s="159" t="n">
        <x:v>9500000</x:v>
      </x:c>
      <x:c r="P13" s="171" t="n">
        <x:v>0.3</x:v>
      </x:c>
      <x:c r="Q13" s="171" t="n">
        <x:v>0.85</x:v>
      </x:c>
      <x:c r="R13" s="171" t="n">
        <x:f>P13*Q13</x:f>
        <x:v>0.255</x:v>
      </x:c>
      <x:c r="S13" s="159" t="n">
        <x:v>2300000000</x:v>
      </x:c>
      <x:c r="T13" s="159" t="n">
        <x:v>11500000</x:v>
      </x:c>
      <x:c r="U13" s="177" t="n">
        <x:v>0.5</x:v>
      </x:c>
      <x:c r="V13" s="159" t="n">
        <x:f>(M13*N13+R13*S13)*(1+U13)</x:f>
        <x:v>41213464285.71429</x:v>
      </x:c>
      <x:c r="W13" s="159" t="n">
        <x:f>(M13*O13+R13*T13)*(1+U13)</x:f>
        <x:v>567884464.2857143</x:v>
      </x:c>
      <x:c r="X13" s="159" t="n">
        <x:f>SUMIFS('14_费用阶段对账'!$H$5:$H$131,'14_费用阶段对账'!$C$5:$C$131,A13,'14_费用阶段对账'!$D$5:$D$131,"主线/阶段成长",'14_费用阶段对账'!$J$5:$J$131,"是")</x:f>
        <x:v>705000000000000</x:v>
      </x:c>
      <x:c r="Y13" s="159" t="n">
        <x:f>SUMIFS('14_费用阶段对账'!$I$5:$I$131,'14_费用阶段对账'!$C$5:$C$131,A13,'14_费用阶段对账'!$D$5:$D$131,"主线/阶段成长",'14_费用阶段对账'!$J$5:$J$131,"是")</x:f>
        <x:v>137570000000000</x:v>
      </x:c>
      <x:c r="Z13" s="183" t="n">
        <x:f>IF(V13=0,"",X13/V13)</x:f>
        <x:v>17106.060172776408</x:v>
      </x:c>
      <x:c r="AA13" s="183" t="n">
        <x:f>IF(W13=0,"",Y13/W13)</x:f>
        <x:v>242249.97979656953</x:v>
      </x:c>
      <x:c r="AB13" s="159" t="n">
        <x:f>SUMIFS('14_费用阶段对账'!$H$5:$H$131,'14_费用阶段对账'!$C$5:$C$131,A13,'14_费用阶段对账'!$J$5:$J$131,"是")-X13</x:f>
        <x:v>15440000000000</x:v>
      </x:c>
      <x:c r="AC13" s="159" t="n">
        <x:f>SUMIFS('14_费用阶段对账'!$I$5:$I$131,'14_费用阶段对账'!$C$5:$C$131,A13,'14_费用阶段对账'!$J$5:$J$131,"是")-Y13</x:f>
        <x:v>177600000000000</x:v>
      </x:c>
      <x:c r="AD13" s="102" t="str">
        <x:v>元宝</x:v>
      </x:c>
      <x:c r="AE13" s="103" t="str">
        <x:v>条件预算，非实测；已补称号材料、全洗练预算，排除战灰。单技能/保护脚本费用仅列已知口径；实际人物选择另在属性批次联算。</x:v>
      </x:c>
    </x:row>
    <x:row r="14">
      <x:c r="A14" s="104" t="str">
        <x:v>C10</x:v>
      </x:c>
      <x:c r="B14" s="105" t="str">
        <x:v>王城罗德尔</x:v>
      </x:c>
      <x:c r="C14" s="148" t="n">
        <x:v>96</x:v>
      </x:c>
      <x:c r="D14" s="154" t="n">
        <x:v>100</x:v>
      </x:c>
      <x:c r="E14" s="160" t="n">
        <x:v>1620</x:v>
      </x:c>
      <x:c r="F14" s="105" t="str">
        <x:v>王城金屑</x:v>
      </x:c>
      <x:c r="G14" s="166" t="n">
        <x:v>100</x:v>
      </x:c>
      <x:c r="H14" s="166" t="n">
        <x:f>SUMIFS('13_材料消耗明细'!$F$5:$F$324,'13_材料消耗明细'!$B$5:$B$324,A14,'13_材料消耗明细'!$C$5:$C$324,F14)</x:f>
        <x:v>5955</x:v>
      </x:c>
      <x:c r="I14" s="166" t="n">
        <x:f>C14*G14</x:f>
        <x:v>9600</x:v>
      </x:c>
      <x:c r="J14" s="166" t="n">
        <x:f>MAX(I14-H14,0)</x:f>
        <x:v>3645</x:v>
      </x:c>
      <x:c r="K14" s="166" t="n">
        <x:f>J14/C14</x:f>
        <x:v>37.96875</x:v>
      </x:c>
      <x:c r="L14" s="166" t="n">
        <x:v>0.8</x:v>
      </x:c>
      <x:c r="M14" s="166" t="n">
        <x:f>K14*L14</x:f>
        <x:v>30.375</x:v>
      </x:c>
      <x:c r="N14" s="160" t="n">
        <x:v>1000000000</x:v>
      </x:c>
      <x:c r="O14" s="160" t="n">
        <x:v>12000000</x:v>
      </x:c>
      <x:c r="P14" s="172" t="n">
        <x:v>0.25</x:v>
      </x:c>
      <x:c r="Q14" s="172" t="n">
        <x:v>0.85</x:v>
      </x:c>
      <x:c r="R14" s="172" t="n">
        <x:f>P14*Q14</x:f>
        <x:v>0.2125</x:v>
      </x:c>
      <x:c r="S14" s="160" t="n">
        <x:v>2300000000</x:v>
      </x:c>
      <x:c r="T14" s="160" t="n">
        <x:v>11500000</x:v>
      </x:c>
      <x:c r="U14" s="178" t="n">
        <x:v>0.5</x:v>
      </x:c>
      <x:c r="V14" s="160" t="n">
        <x:f>(M14*N14+R14*S14)*(1+U14)</x:f>
        <x:v>46295625000</x:v>
      </x:c>
      <x:c r="W14" s="160" t="n">
        <x:f>(M14*O14+R14*T14)*(1+U14)</x:f>
        <x:v>550415625</x:v>
      </x:c>
      <x:c r="X14" s="160" t="n">
        <x:f>SUMIFS('14_费用阶段对账'!$H$5:$H$131,'14_费用阶段对账'!$C$5:$C$131,A14,'14_费用阶段对账'!$D$5:$D$131,"主线/阶段成长",'14_费用阶段对账'!$J$5:$J$131,"是")</x:f>
        <x:v>11900000000000000</x:v>
      </x:c>
      <x:c r="Y14" s="160" t="n">
        <x:f>SUMIFS('14_费用阶段对账'!$I$5:$I$131,'14_费用阶段对账'!$C$5:$C$131,A14,'14_费用阶段对账'!$D$5:$D$131,"主线/阶段成长",'14_费用阶段对账'!$J$5:$J$131,"是")</x:f>
        <x:v>141930000000000</x:v>
      </x:c>
      <x:c r="Z14" s="184" t="n">
        <x:f>IF(V14=0,"",X14/V14)</x:f>
        <x:v>257043.72713404344</x:v>
      </x:c>
      <x:c r="AA14" s="184" t="n">
        <x:f>IF(W14=0,"",Y14/W14)</x:f>
        <x:v>257859.68557851168</x:v>
      </x:c>
      <x:c r="AB14" s="160" t="n">
        <x:f>SUMIFS('14_费用阶段对账'!$H$5:$H$131,'14_费用阶段对账'!$C$5:$C$131,A14,'14_费用阶段对账'!$J$5:$J$131,"是")-X14</x:f>
        <x:v>18580000000000</x:v>
      </x:c>
      <x:c r="AC14" s="160" t="n">
        <x:f>SUMIFS('14_费用阶段对账'!$I$5:$I$131,'14_费用阶段对账'!$C$5:$C$131,A14,'14_费用阶段对账'!$J$5:$J$131,"是")-Y14</x:f>
        <x:v>210660000000000</x:v>
      </x:c>
      <x:c r="AD14" s="105" t="str">
        <x:v>金币/元宝并重</x:v>
      </x:c>
      <x:c r="AE14" s="106" t="str">
        <x:v>条件预算，非实测；已补称号材料、全洗练预算，排除战灰。单技能/保护脚本费用仅列已知口径；实际人物选择另在属性批次联算。</x:v>
      </x:c>
    </x:row>
  </x:sheetData>
  <x:mergeCells>
    <x:mergeCell ref="A1:AE1"/>
    <x:mergeCell ref="A2:AE2"/>
  </x:mergeCells>
  <x:conditionalFormatting sqref="V5:W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{DC9CEADB-A461-2771-A444-3031C9F85D35}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672cb3f580d4b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C9CEADB-A461-2771-A444-3031C9F85D35}">
            <x14:dataBar gradient="1">
              <x14:cfvo type="min"/>
              <x14:cfvo type="max"/>
              <x14:fillColor rgb="FFA02B93"/>
            </x14:dataBar>
          </x14:cfRule>
          <xm:sqref>V5:W14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22" hidden="0" customWidth="1"/>
    <x:col min="5" max="5" width="14" hidden="0" customWidth="1"/>
    <x:col min="6" max="6" width="16" hidden="0" customWidth="1"/>
    <x:col min="7" max="7" width="24" hidden="0" customWidth="1"/>
    <x:col min="8" max="8" width="16" hidden="0" customWidth="1"/>
    <x:col min="9" max="9" width="25" hidden="0" customWidth="1"/>
    <x:col min="10" max="10" width="42" hidden="0" customWidth="1"/>
    <x:col min="11" max="11" width="14" hidden="0" customWidth="1"/>
    <x:col min="12" max="12" width="14" hidden="0" customWidth="1"/>
    <x:col min="13" max="13" width="10" hidden="0" customWidth="1"/>
    <x:col min="14" max="14" width="48" hidden="0" customWidth="1"/>
    <x:col min="15" max="15" width="16" hidden="0" customWidth="1"/>
    <x:col min="16" max="16" width="16" hidden="0" customWidth="1"/>
    <x:col min="17" max="17" width="32" hidden="0" customWidth="1"/>
    <x:col min="18" max="18" width="18" hidden="0" customWidth="1"/>
    <x:col min="19" max="19" width="26" hidden="0" customWidth="1"/>
    <x:col min="20" max="20" width="40" hidden="0" customWidth="1"/>
  </x:cols>
  <x:sheetData>
    <x:row r="1" ht="28" customHeight="1">
      <x:c r="A1" s="5" t="str">
        <x:v>74项核心NPC/页面配方数值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4" customHeight="1">
      <x:c r="A2" s="14" t="str">
        <x:v>包含装备、生肖、独立称号、群攻生肖、20转、命格和战灰。C10“艾尔登之王”已改用失温熔炉楔；转生材料按四阶段修正。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</x:row>
    <x:row r="4" ht="32" customHeight="1">
      <x:c r="A4" s="63" t="str">
        <x:v>配方ID</x:v>
      </x:c>
      <x:c r="B4" s="64" t="str">
        <x:v>大陆ID</x:v>
      </x:c>
      <x:c r="C4" s="64" t="str">
        <x:v>大陆</x:v>
      </x:c>
      <x:c r="D4" s="64" t="str">
        <x:v>NPC</x:v>
      </x:c>
      <x:c r="E4" s="64" t="str">
        <x:v>类别</x:v>
      </x:c>
      <x:c r="F4" s="64" t="str">
        <x:v>需求层级</x:v>
      </x:c>
      <x:c r="G4" s="64" t="str">
        <x:v>产物/动作</x:v>
      </x:c>
      <x:c r="H4" s="64" t="str">
        <x:v>部位/系统</x:v>
      </x:c>
      <x:c r="I4" s="64" t="str">
        <x:v>基础件/前置</x:v>
      </x:c>
      <x:c r="J4" s="64" t="str">
        <x:v>单次材料明细</x:v>
      </x:c>
      <x:c r="K4" s="64" t="str">
        <x:v>单次金币</x:v>
      </x:c>
      <x:c r="L4" s="64" t="str">
        <x:v>单次元宝</x:v>
      </x:c>
      <x:c r="M4" s="64" t="str">
        <x:v>建议次数</x:v>
      </x:c>
      <x:c r="N4" s="64" t="str">
        <x:v>阶段材料总量</x:v>
      </x:c>
      <x:c r="O4" s="64" t="str">
        <x:v>阶段金币总量</x:v>
      </x:c>
      <x:c r="P4" s="64" t="str">
        <x:v>阶段元宝总量</x:v>
      </x:c>
      <x:c r="Q4" s="64" t="str">
        <x:v>成功规则</x:v>
      </x:c>
      <x:c r="R4" s="64" t="str">
        <x:v>交易/绑定</x:v>
      </x:c>
      <x:c r="S4" s="64" t="str">
        <x:v>计价依据</x:v>
      </x:c>
      <x:c r="T4" s="65" t="str">
        <x:v>备注</x:v>
      </x:c>
    </x:row>
    <x:row r="5">
      <x:c r="A5" s="98" t="str">
        <x:v>CAMP-SWORD-GROWTH</x:v>
      </x:c>
      <x:c r="B5" s="99" t="str">
        <x:v>CAMP</x:v>
      </x:c>
      <x:c r="C5" s="99" t="str">
        <x:v>初始营地</x:v>
      </x:c>
      <x:c r="D5" s="99" t="str">
        <x:v>圣律之剑成长入口</x:v>
      </x:c>
      <x:c r="E5" s="99" t="str">
        <x:v>既有成长</x:v>
      </x:c>
      <x:c r="F5" s="99" t="str">
        <x:v>沿用既有脚本</x:v>
      </x:c>
      <x:c r="G5" s="99" t="str">
        <x:v>圣律之剑LV1—10／圣律真言</x:v>
      </x:c>
      <x:c r="H5" s="99" t="str">
        <x:v>系统成长</x:v>
      </x:c>
      <x:c r="I5" s="99" t="str">
        <x:v>现有脚本条件</x:v>
      </x:c>
      <x:c r="J5" s="99"/>
      <x:c r="K5" s="158" t="n">
        <x:v>0</x:v>
      </x:c>
      <x:c r="L5" s="158" t="n">
        <x:v>0</x:v>
      </x:c>
      <x:c r="M5" s="158" t="n">
        <x:v>1</x:v>
      </x:c>
      <x:c r="N5" s="158"/>
      <x:c r="O5" s="158" t="n">
        <x:v>0</x:v>
      </x:c>
      <x:c r="P5" s="158" t="n">
        <x:v>0</x:v>
      </x:c>
      <x:c r="Q5" s="99" t="str">
        <x:v>100%确定成功；不失败吞料</x:v>
      </x:c>
      <x:c r="R5" s="99" t="str">
        <x:v>角色绑定</x:v>
      </x:c>
      <x:c r="S5" s="99" t="str">
        <x:v>沿用既有脚本，不覆盖</x:v>
      </x:c>
      <x:c r="T5" s="100" t="str">
        <x:v>只做入口登记</x:v>
      </x:c>
    </x:row>
    <x:row r="6">
      <x:c r="A6" s="101" t="str">
        <x:v>CAMP-RELIC-GROWTH</x:v>
      </x:c>
      <x:c r="B6" s="102" t="str">
        <x:v>CAMP</x:v>
      </x:c>
      <x:c r="C6" s="102" t="str">
        <x:v>初始营地</x:v>
      </x:c>
      <x:c r="D6" s="102" t="str">
        <x:v>黄金圣物成长入口</x:v>
      </x:c>
      <x:c r="E6" s="102" t="str">
        <x:v>既有成长</x:v>
      </x:c>
      <x:c r="F6" s="102" t="str">
        <x:v>沿用既有脚本</x:v>
      </x:c>
      <x:c r="G6" s="102" t="str">
        <x:v>黄金圣物LV1—10／黄金之心</x:v>
      </x:c>
      <x:c r="H6" s="102" t="str">
        <x:v>系统成长</x:v>
      </x:c>
      <x:c r="I6" s="102" t="str">
        <x:v>现有脚本条件</x:v>
      </x:c>
      <x:c r="J6" s="102"/>
      <x:c r="K6" s="159" t="n">
        <x:v>0</x:v>
      </x:c>
      <x:c r="L6" s="159" t="n">
        <x:v>0</x:v>
      </x:c>
      <x:c r="M6" s="159" t="n">
        <x:v>1</x:v>
      </x:c>
      <x:c r="N6" s="159"/>
      <x:c r="O6" s="159" t="n">
        <x:v>0</x:v>
      </x:c>
      <x:c r="P6" s="159" t="n">
        <x:v>0</x:v>
      </x:c>
      <x:c r="Q6" s="102" t="str">
        <x:v>100%确定成功；不失败吞料</x:v>
      </x:c>
      <x:c r="R6" s="102" t="str">
        <x:v>角色绑定</x:v>
      </x:c>
      <x:c r="S6" s="102" t="str">
        <x:v>沿用既有脚本，不覆盖</x:v>
      </x:c>
      <x:c r="T6" s="103" t="str">
        <x:v>只做入口登记</x:v>
      </x:c>
    </x:row>
    <x:row r="7">
      <x:c r="A7" s="101" t="str">
        <x:v>CAMP-TITLE-GROWTH</x:v>
      </x:c>
      <x:c r="B7" s="102" t="str">
        <x:v>CAMP</x:v>
      </x:c>
      <x:c r="C7" s="102" t="str">
        <x:v>初始营地</x:v>
      </x:c>
      <x:c r="D7" s="102" t="str">
        <x:v>贯穿式称号晋升NPC</x:v>
      </x:c>
      <x:c r="E7" s="102" t="str">
        <x:v>贯穿称号</x:v>
      </x:c>
      <x:c r="F7" s="102" t="str">
        <x:v>沿用既有脚本</x:v>
      </x:c>
      <x:c r="G7" s="102" t="str">
        <x:v>贯穿式主线称号各阶段</x:v>
      </x:c>
      <x:c r="H7" s="102" t="str">
        <x:v>称号</x:v>
      </x:c>
      <x:c r="I7" s="102" t="str">
        <x:v>上一阶段称号</x:v>
      </x:c>
      <x:c r="J7" s="102"/>
      <x:c r="K7" s="159" t="n">
        <x:v>0</x:v>
      </x:c>
      <x:c r="L7" s="159" t="n">
        <x:v>0</x:v>
      </x:c>
      <x:c r="M7" s="159" t="n">
        <x:v>1</x:v>
      </x:c>
      <x:c r="N7" s="159"/>
      <x:c r="O7" s="159" t="n">
        <x:v>0</x:v>
      </x:c>
      <x:c r="P7" s="159" t="n">
        <x:v>0</x:v>
      </x:c>
      <x:c r="Q7" s="102" t="str">
        <x:v>100%确定成功；不失败吞料</x:v>
      </x:c>
      <x:c r="R7" s="102" t="str">
        <x:v>角色绑定</x:v>
      </x:c>
      <x:c r="S7" s="102" t="str">
        <x:v>沿用既有脚本，不覆盖</x:v>
      </x:c>
      <x:c r="T7" s="103" t="str">
        <x:v>与大陆合成称号互不替代</x:v>
      </x:c>
    </x:row>
    <x:row r="8">
      <x:c r="A8" s="101" t="str">
        <x:v>C01-FATE-SINGLE</x:v>
      </x:c>
      <x:c r="B8" s="102" t="str">
        <x:v>C01</x:v>
      </x:c>
      <x:c r="C8" s="102" t="str">
        <x:v>漂流群岛</x:v>
      </x:c>
      <x:c r="D8" s="102" t="str">
        <x:v>司命人·玄衡</x:v>
      </x:c>
      <x:c r="E8" s="102" t="str">
        <x:v>命格洗练</x:v>
      </x:c>
      <x:c r="F8" s="102" t="str">
        <x:v>付费/深度追求</x:v>
      </x:c>
      <x:c r="G8" s="102" t="str">
        <x:v>当前选中槽命格×1次</x:v>
      </x:c>
      <x:c r="H8" s="102" t="str">
        <x:v>命格第X槽</x:v>
      </x:c>
      <x:c r="I8" s="102" t="str">
        <x:v>—</x:v>
      </x:c>
      <x:c r="J8" s="102" t="str">
        <x:v>神秘符文×1</x:v>
      </x:c>
      <x:c r="K8" s="159" t="n">
        <x:v>0</x:v>
      </x:c>
      <x:c r="L8" s="159" t="n">
        <x:v>500000</x:v>
      </x:c>
      <x:c r="M8" s="159" t="n">
        <x:v>0</x:v>
      </x:c>
      <x:c r="N8" s="159"/>
      <x:c r="O8" s="159" t="n">
        <x:v>0</x:v>
      </x:c>
      <x:c r="P8" s="159" t="n">
        <x:v>0</x:v>
      </x:c>
      <x:c r="Q8" s="102" t="str">
        <x:v>随机；只洗当前槽；独立保底</x:v>
      </x:c>
      <x:c r="R8" s="102" t="str">
        <x:v>结果角色绑定</x:v>
      </x:c>
      <x:c r="S8" s="102" t="str">
        <x:v>每次</x:v>
      </x:c>
      <x:c r="T8" s="103" t="str">
        <x:v>一次洗练只作用于玩家选定的第X条</x:v>
      </x:c>
    </x:row>
    <x:row r="9">
      <x:c r="A9" s="101" t="str">
        <x:v>C01-FATE-TEN</x:v>
      </x:c>
      <x:c r="B9" s="102" t="str">
        <x:v>C01</x:v>
      </x:c>
      <x:c r="C9" s="102" t="str">
        <x:v>漂流群岛</x:v>
      </x:c>
      <x:c r="D9" s="102" t="str">
        <x:v>司命人·玄衡</x:v>
      </x:c>
      <x:c r="E9" s="102" t="str">
        <x:v>命格洗练</x:v>
      </x:c>
      <x:c r="F9" s="102" t="str">
        <x:v>付费/深度追求</x:v>
      </x:c>
      <x:c r="G9" s="102" t="str">
        <x:v>当前选中槽命格×10次</x:v>
      </x:c>
      <x:c r="H9" s="102" t="str">
        <x:v>命格第X槽</x:v>
      </x:c>
      <x:c r="I9" s="102" t="str">
        <x:v>—</x:v>
      </x:c>
      <x:c r="J9" s="102" t="str">
        <x:v>神秘符文×10</x:v>
      </x:c>
      <x:c r="K9" s="159" t="n">
        <x:v>0</x:v>
      </x:c>
      <x:c r="L9" s="159" t="n">
        <x:v>5000000</x:v>
      </x:c>
      <x:c r="M9" s="159" t="n">
        <x:v>10</x:v>
      </x:c>
      <x:c r="N9" s="159" t="str">
        <x:v>神秘符文×100</x:v>
      </x:c>
      <x:c r="O9" s="159" t="n">
        <x:v>0</x:v>
      </x:c>
      <x:c r="P9" s="159" t="n">
        <x:v>5000000000</x:v>
      </x:c>
      <x:c r="Q9" s="102" t="str">
        <x:v>随机；沿用界面20次必出红色、每10次判彩、100次必彩</x:v>
      </x:c>
      <x:c r="R9" s="102" t="str">
        <x:v>结果角色绑定</x:v>
      </x:c>
      <x:c r="S9" s="102" t="str">
        <x:v>每10次</x:v>
      </x:c>
      <x:c r="T9" s="103" t="str">
        <x:v>保底数字只影响投放速度，不改命格属性预算</x:v>
      </x:c>
    </x:row>
    <x:row r="10">
      <x:c r="A10" s="101" t="str">
        <x:v>C01-FATE-SHOP</x:v>
      </x:c>
      <x:c r="B10" s="102" t="str">
        <x:v>C01</x:v>
      </x:c>
      <x:c r="C10" s="102" t="str">
        <x:v>漂流群岛</x:v>
      </x:c>
      <x:c r="D10" s="102" t="str">
        <x:v>司命人·玄衡</x:v>
      </x:c>
      <x:c r="E10" s="102" t="str">
        <x:v>命格商店</x:v>
      </x:c>
      <x:c r="F10" s="102" t="str">
        <x:v>付费/深度追求</x:v>
      </x:c>
      <x:c r="G10" s="102" t="str">
        <x:v>神秘符文</x:v>
      </x:c>
      <x:c r="H10" s="102" t="str">
        <x:v>材料</x:v>
      </x:c>
      <x:c r="I10" s="102" t="str">
        <x:v>—</x:v>
      </x:c>
      <x:c r="J10" s="102"/>
      <x:c r="K10" s="159" t="n">
        <x:v>0</x:v>
      </x:c>
      <x:c r="L10" s="159" t="n">
        <x:v>0</x:v>
      </x:c>
      <x:c r="M10" s="159" t="n">
        <x:v>0</x:v>
      </x:c>
      <x:c r="N10" s="159"/>
      <x:c r="O10" s="159" t="n">
        <x:v>0</x:v>
      </x:c>
      <x:c r="P10" s="159" t="n">
        <x:v>0</x:v>
      </x:c>
      <x:c r="Q10" s="102" t="str">
        <x:v>100%</x:v>
      </x:c>
      <x:c r="R10" s="102" t="str">
        <x:v>灵符购买部分绑定；怪物掉落部分可交易</x:v>
      </x:c>
      <x:c r="S10" s="102" t="str">
        <x:v>灵符购买，金额沿用/另表</x:v>
      </x:c>
      <x:c r="T10" s="103" t="str">
        <x:v>若引擎不能同名区分绑定，商店直接增加绑定洗练计数</x:v>
      </x:c>
    </x:row>
    <x:row r="11">
      <x:c r="A11" s="101" t="str">
        <x:v>C01-FATE-SLOT</x:v>
      </x:c>
      <x:c r="B11" s="102" t="str">
        <x:v>C01</x:v>
      </x:c>
      <x:c r="C11" s="102" t="str">
        <x:v>漂流群岛</x:v>
      </x:c>
      <x:c r="D11" s="102" t="str">
        <x:v>司命人·玄衡</x:v>
      </x:c>
      <x:c r="E11" s="102" t="str">
        <x:v>命格槽位</x:v>
      </x:c>
      <x:c r="F11" s="102" t="str">
        <x:v>付费/深度追求</x:v>
      </x:c>
      <x:c r="G11" s="102" t="str">
        <x:v>命格槽位1—8</x:v>
      </x:c>
      <x:c r="H11" s="102" t="str">
        <x:v>命格</x:v>
      </x:c>
      <x:c r="I11" s="102" t="str">
        <x:v>等级／转生条件</x:v>
      </x:c>
      <x:c r="J11" s="102"/>
      <x:c r="K11" s="159" t="n">
        <x:v>0</x:v>
      </x:c>
      <x:c r="L11" s="159" t="n">
        <x:v>0</x:v>
      </x:c>
      <x:c r="M11" s="159" t="n">
        <x:v>1</x:v>
      </x:c>
      <x:c r="N11" s="159"/>
      <x:c r="O11" s="159" t="n">
        <x:v>0</x:v>
      </x:c>
      <x:c r="P11" s="159" t="n">
        <x:v>0</x:v>
      </x:c>
      <x:c r="Q11" s="102" t="str">
        <x:v>满足条件即开启</x:v>
      </x:c>
      <x:c r="R11" s="102" t="str">
        <x:v>角色绑定</x:v>
      </x:c>
      <x:c r="S11" s="102" t="str">
        <x:v>满足条件开启</x:v>
      </x:c>
      <x:c r="T11" s="103" t="str">
        <x:v>不额外发明槽位材料</x:v>
      </x:c>
    </x:row>
    <x:row r="12">
      <x:c r="A12" s="101" t="str">
        <x:v>C02-ASH-NORMAL</x:v>
      </x:c>
      <x:c r="B12" s="102" t="str">
        <x:v>C02</x:v>
      </x:c>
      <x:c r="C12" s="102" t="str">
        <x:v>宁姆格福</x:v>
      </x:c>
      <x:c r="D12" s="102" t="str">
        <x:v>战灰刻印师·盖尔</x:v>
      </x:c>
      <x:c r="E12" s="102" t="str">
        <x:v>战灰附魔</x:v>
      </x:c>
      <x:c r="F12" s="102" t="str">
        <x:v>PVP可选</x:v>
      </x:c>
      <x:c r="G12" s="102" t="str">
        <x:v>普通PVP战灰</x:v>
      </x:c>
      <x:c r="H12" s="102" t="str">
        <x:v>武器附魔</x:v>
      </x:c>
      <x:c r="I12" s="102" t="str">
        <x:v>目标武器</x:v>
      </x:c>
      <x:c r="J12" s="102" t="str">
        <x:v>风暴石片×20＋失色锻造石×30</x:v>
      </x:c>
      <x:c r="K12" s="159" t="n">
        <x:v>0</x:v>
      </x:c>
      <x:c r="L12" s="159" t="n">
        <x:v>5000000</x:v>
      </x:c>
      <x:c r="M12" s="159" t="n">
        <x:v>10</x:v>
      </x:c>
      <x:c r="N12" s="159" t="str">
        <x:v>风暴石片×200＋失色锻造石×300</x:v>
      </x:c>
      <x:c r="O12" s="159" t="n">
        <x:v>0</x:v>
      </x:c>
      <x:c r="P12" s="159" t="n">
        <x:v>5000000000</x:v>
      </x:c>
      <x:c r="Q12" s="102" t="str">
        <x:v>随机获得普通战灰；覆盖前二次确认</x:v>
      </x:c>
      <x:c r="R12" s="102" t="str">
        <x:v>随武器状态</x:v>
      </x:c>
      <x:c r="S12" s="102" t="str">
        <x:v>每次</x:v>
      </x:c>
      <x:c r="T12" s="103" t="str">
        <x:v>不计入主线TTK预算</x:v>
      </x:c>
    </x:row>
    <x:row r="13">
      <x:c r="A13" s="101" t="str">
        <x:v>C02-ASH-HIGH</x:v>
      </x:c>
      <x:c r="B13" s="102" t="str">
        <x:v>C02</x:v>
      </x:c>
      <x:c r="C13" s="102" t="str">
        <x:v>宁姆格福</x:v>
      </x:c>
      <x:c r="D13" s="102" t="str">
        <x:v>战灰刻印师·盖尔</x:v>
      </x:c>
      <x:c r="E13" s="102" t="str">
        <x:v>战灰附魔</x:v>
      </x:c>
      <x:c r="F13" s="102" t="str">
        <x:v>PVP可选</x:v>
      </x:c>
      <x:c r="G13" s="102" t="str">
        <x:v>稀有PVP战灰</x:v>
      </x:c>
      <x:c r="H13" s="102" t="str">
        <x:v>武器附魔</x:v>
      </x:c>
      <x:c r="I13" s="102" t="str">
        <x:v>目标武器</x:v>
      </x:c>
      <x:c r="J13" s="102" t="str">
        <x:v>风暴石片×50＋黄金树芽×5＋接肢王印×1＋失色锻造石×80</x:v>
      </x:c>
      <x:c r="K13" s="159" t="n">
        <x:v>0</x:v>
      </x:c>
      <x:c r="L13" s="159" t="n">
        <x:v>15000000</x:v>
      </x:c>
      <x:c r="M13" s="159" t="n">
        <x:v>3</x:v>
      </x:c>
      <x:c r="N13" s="159" t="str">
        <x:v>风暴石片×150＋黄金树芽×15＋接肢王印×3＋失色锻造石×240</x:v>
      </x:c>
      <x:c r="O13" s="159" t="n">
        <x:v>0</x:v>
      </x:c>
      <x:c r="P13" s="159" t="n">
        <x:v>4500000000</x:v>
      </x:c>
      <x:c r="Q13" s="102" t="str">
        <x:v>随机获得高阶战灰；覆盖前二次确认</x:v>
      </x:c>
      <x:c r="R13" s="102" t="str">
        <x:v>随武器状态</x:v>
      </x:c>
      <x:c r="S13" s="102" t="str">
        <x:v>每次</x:v>
      </x:c>
      <x:c r="T13" s="103"/>
    </x:row>
    <x:row r="14">
      <x:c r="A14" s="101" t="str">
        <x:v>C02-ASH-OVERWRITE</x:v>
      </x:c>
      <x:c r="B14" s="102" t="str">
        <x:v>C02</x:v>
      </x:c>
      <x:c r="C14" s="102" t="str">
        <x:v>宁姆格福</x:v>
      </x:c>
      <x:c r="D14" s="102" t="str">
        <x:v>战灰刻印师·盖尔</x:v>
      </x:c>
      <x:c r="E14" s="102" t="str">
        <x:v>战灰操作</x:v>
      </x:c>
      <x:c r="F14" s="102" t="str">
        <x:v>PVP可选</x:v>
      </x:c>
      <x:c r="G14" s="102" t="str">
        <x:v>覆盖／清除战灰</x:v>
      </x:c>
      <x:c r="H14" s="102" t="str">
        <x:v>武器附魔</x:v>
      </x:c>
      <x:c r="I14" s="102" t="str">
        <x:v>目标武器</x:v>
      </x:c>
      <x:c r="J14" s="102" t="str">
        <x:v>失色锻造石×20</x:v>
      </x:c>
      <x:c r="K14" s="159" t="n">
        <x:v>500000000</x:v>
      </x:c>
      <x:c r="L14" s="159" t="n">
        <x:v>0</x:v>
      </x:c>
      <x:c r="M14" s="159" t="n">
        <x:v>2</x:v>
      </x:c>
      <x:c r="N14" s="159" t="str">
        <x:v>失色锻造石×40</x:v>
      </x:c>
      <x:c r="O14" s="159" t="n">
        <x:v>100000000000</x:v>
      </x:c>
      <x:c r="P14" s="159" t="n">
        <x:v>0</x:v>
      </x:c>
      <x:c r="Q14" s="102" t="str">
        <x:v>100%执行；清除前确认</x:v>
      </x:c>
      <x:c r="R14" s="102" t="str">
        <x:v>随武器状态</x:v>
      </x:c>
      <x:c r="S14" s="102" t="str">
        <x:v>每次</x:v>
      </x:c>
      <x:c r="T14" s="103"/>
    </x:row>
    <x:row r="15">
      <x:c r="A15" s="101" t="str">
        <x:v>C01-SYN-EQ-01</x:v>
      </x:c>
      <x:c r="B15" s="102" t="str">
        <x:v>C01</x:v>
      </x:c>
      <x:c r="C15" s="102" t="str">
        <x:v>漂流群岛</x:v>
      </x:c>
      <x:c r="D15" s="102" t="str">
        <x:v>拾荒匠·阿砾</x:v>
      </x:c>
      <x:c r="E15" s="102" t="str">
        <x:v>装备合成</x:v>
      </x:c>
      <x:c r="F15" s="102" t="str">
        <x:v>主线/阶段成长</x:v>
      </x:c>
      <x:c r="G15" s="102" t="str">
        <x:v>潮归秘戒</x:v>
      </x:c>
      <x:c r="H15" s="102" t="str">
        <x:v>戒指</x:v>
      </x:c>
      <x:c r="I15" s="102" t="str">
        <x:v>猎犬骨戒＋王庭秘戒</x:v>
      </x:c>
      <x:c r="J15" s="102" t="str">
        <x:v>海蚀铁片×80＋潮痕结晶×8＋漂流大陆印记×3＋失色锻造石×100</x:v>
      </x:c>
      <x:c r="K15" s="159" t="n">
        <x:v>1600000000</x:v>
      </x:c>
      <x:c r="L15" s="159" t="n">
        <x:v>0</x:v>
      </x:c>
      <x:c r="M15" s="159" t="n">
        <x:v>1</x:v>
      </x:c>
      <x:c r="N15" s="159" t="str">
        <x:v>海蚀铁片×80＋潮痕结晶×8＋漂流大陆印记×3＋失色锻造石×100</x:v>
      </x:c>
      <x:c r="O15" s="159" t="n">
        <x:v>160000000000</x:v>
      </x:c>
      <x:c r="P15" s="159" t="n">
        <x:v>0</x:v>
      </x:c>
      <x:c r="Q15" s="102" t="str">
        <x:v>100%确定成功；不失败吞料</x:v>
      </x:c>
      <x:c r="R15" s="102" t="str">
        <x:v>成品可交易</x:v>
      </x:c>
      <x:c r="S15" s="102" t="str">
        <x:v>约3小时本大陆有效货币产出</x:v>
      </x:c>
      <x:c r="T15" s="103" t="str">
        <x:v>具体属性、数量与成品回收价后算</x:v>
      </x:c>
    </x:row>
    <x:row r="16">
      <x:c r="A16" s="101" t="str">
        <x:v>C02-SYN-EQ-01</x:v>
      </x:c>
      <x:c r="B16" s="102" t="str">
        <x:v>C02</x:v>
      </x:c>
      <x:c r="C16" s="102" t="str">
        <x:v>宁姆格福</x:v>
      </x:c>
      <x:c r="D16" s="102" t="str">
        <x:v>风暴工匠·洛克</x:v>
      </x:c>
      <x:c r="E16" s="102" t="str">
        <x:v>装备合成</x:v>
      </x:c>
      <x:c r="F16" s="102" t="str">
        <x:v>主线/阶段成长</x:v>
      </x:c>
      <x:c r="G16" s="102" t="str">
        <x:v>风暴王庭链</x:v>
      </x:c>
      <x:c r="H16" s="102" t="str">
        <x:v>项链</x:v>
      </x:c>
      <x:c r="I16" s="102" t="str">
        <x:v>破垒鹰链＋古树祷链</x:v>
      </x:c>
      <x:c r="J16" s="102" t="str">
        <x:v>风暴石片×120＋黄金树芽×12＋接肢王印×4＋失色锻造石×160</x:v>
      </x:c>
      <x:c r="K16" s="159" t="n">
        <x:v>0</x:v>
      </x:c>
      <x:c r="L16" s="159" t="n">
        <x:v>57500000</x:v>
      </x:c>
      <x:c r="M16" s="159" t="n">
        <x:v>1</x:v>
      </x:c>
      <x:c r="N16" s="159" t="str">
        <x:v>风暴石片×120＋黄金树芽×12＋接肢王印×4＋失色锻造石×160</x:v>
      </x:c>
      <x:c r="O16" s="159" t="n">
        <x:v>0</x:v>
      </x:c>
      <x:c r="P16" s="159" t="n">
        <x:v>5750000000</x:v>
      </x:c>
      <x:c r="Q16" s="102" t="str">
        <x:v>100%确定成功；不失败吞料</x:v>
      </x:c>
      <x:c r="R16" s="102" t="str">
        <x:v>成品可交易</x:v>
      </x:c>
      <x:c r="S16" s="102" t="str">
        <x:v>约3小时本大陆有效货币产出</x:v>
      </x:c>
      <x:c r="T16" s="103" t="str">
        <x:v>具体属性、数量与成品回收价后算</x:v>
      </x:c>
    </x:row>
    <x:row r="17">
      <x:c r="A17" s="101" t="str">
        <x:v>C02-SYN-EQ-02</x:v>
      </x:c>
      <x:c r="B17" s="102" t="str">
        <x:v>C02</x:v>
      </x:c>
      <x:c r="C17" s="102" t="str">
        <x:v>宁姆格福</x:v>
      </x:c>
      <x:c r="D17" s="102" t="str">
        <x:v>风暴工匠·洛克</x:v>
      </x:c>
      <x:c r="E17" s="102" t="str">
        <x:v>装备合成</x:v>
      </x:c>
      <x:c r="F17" s="102" t="str">
        <x:v>主线/阶段成长</x:v>
      </x:c>
      <x:c r="G17" s="102" t="str">
        <x:v>百指接肢腕</x:v>
      </x:c>
      <x:c r="H17" s="102" t="str">
        <x:v>手镯</x:v>
      </x:c>
      <x:c r="I17" s="102" t="str">
        <x:v>流放腕铠＋百指腕甲</x:v>
      </x:c>
      <x:c r="J17" s="102" t="str">
        <x:v>风暴石片×120＋黄金树芽×12＋接肢王印×4＋失色锻造石×160</x:v>
      </x:c>
      <x:c r="K17" s="159" t="n">
        <x:v>4900000000</x:v>
      </x:c>
      <x:c r="L17" s="159" t="n">
        <x:v>31500000</x:v>
      </x:c>
      <x:c r="M17" s="159" t="n">
        <x:v>1</x:v>
      </x:c>
      <x:c r="N17" s="159" t="str">
        <x:v>风暴石片×120＋黄金树芽×12＋接肢王印×4＋失色锻造石×160</x:v>
      </x:c>
      <x:c r="O17" s="159" t="n">
        <x:v>490000000000</x:v>
      </x:c>
      <x:c r="P17" s="159" t="n">
        <x:v>3150000000</x:v>
      </x:c>
      <x:c r="Q17" s="102" t="str">
        <x:v>100%确定成功；不失败吞料</x:v>
      </x:c>
      <x:c r="R17" s="102" t="str">
        <x:v>成品可交易</x:v>
      </x:c>
      <x:c r="S17" s="102" t="str">
        <x:v>约3小时本大陆有效货币产出</x:v>
      </x:c>
      <x:c r="T17" s="103" t="str">
        <x:v>具体属性、数量与成品回收价后算</x:v>
      </x:c>
    </x:row>
    <x:row r="18">
      <x:c r="A18" s="101" t="str">
        <x:v>C03-SYN-EQ-01</x:v>
      </x:c>
      <x:c r="B18" s="102" t="str">
        <x:v>C03</x:v>
      </x:c>
      <x:c r="C18" s="102" t="str">
        <x:v>宁姆格福西域</x:v>
      </x:c>
      <x:c r="D18" s="102" t="str">
        <x:v>断路铁匠·赫恩</x:v>
      </x:c>
      <x:c r="E18" s="102" t="str">
        <x:v>装备合成</x:v>
      </x:c>
      <x:c r="F18" s="102" t="str">
        <x:v>主线/阶段成长</x:v>
      </x:c>
      <x:c r="G18" s="102" t="str">
        <x:v>断途战冠</x:v>
      </x:c>
      <x:c r="H18" s="102" t="str">
        <x:v>头盔</x:v>
      </x:c>
      <x:c r="I18" s="102" t="str">
        <x:v>西境军盔＋西境征服冠</x:v>
      </x:c>
      <x:c r="J18" s="102" t="str">
        <x:v>风蚀铁片×180＋西境战旗印×5＋守垒铜钥×4＋失色锻造石×240</x:v>
      </x:c>
      <x:c r="K18" s="159" t="n">
        <x:v>16000000000</x:v>
      </x:c>
      <x:c r="L18" s="159" t="n">
        <x:v>0</x:v>
      </x:c>
      <x:c r="M18" s="159" t="n">
        <x:v>1</x:v>
      </x:c>
      <x:c r="N18" s="159" t="str">
        <x:v>风蚀铁片×180＋西境战旗印×5＋守垒铜钥×4＋失色锻造石×240</x:v>
      </x:c>
      <x:c r="O18" s="159" t="n">
        <x:v>1600000000000</x:v>
      </x:c>
      <x:c r="P18" s="159" t="n">
        <x:v>0</x:v>
      </x:c>
      <x:c r="Q18" s="102" t="str">
        <x:v>100%确定成功；不失败吞料</x:v>
      </x:c>
      <x:c r="R18" s="102" t="str">
        <x:v>成品可交易</x:v>
      </x:c>
      <x:c r="S18" s="102" t="str">
        <x:v>约3小时本大陆有效货币产出</x:v>
      </x:c>
      <x:c r="T18" s="103" t="str">
        <x:v>具体属性、数量与成品回收价后算</x:v>
      </x:c>
    </x:row>
    <x:row r="19">
      <x:c r="A19" s="101" t="str">
        <x:v>C03-SYN-EQ-02</x:v>
      </x:c>
      <x:c r="B19" s="102" t="str">
        <x:v>C03</x:v>
      </x:c>
      <x:c r="C19" s="102" t="str">
        <x:v>宁姆格福西域</x:v>
      </x:c>
      <x:c r="D19" s="102" t="str">
        <x:v>断路铁匠·赫恩</x:v>
      </x:c>
      <x:c r="E19" s="102" t="str">
        <x:v>装备合成</x:v>
      </x:c>
      <x:c r="F19" s="102" t="str">
        <x:v>主线/阶段成长</x:v>
      </x:c>
      <x:c r="G19" s="102" t="str">
        <x:v>逐风征靴</x:v>
      </x:c>
      <x:c r="H19" s="102" t="str">
        <x:v>鞋子</x:v>
      </x:c>
      <x:c r="I19" s="102" t="str">
        <x:v>百夫战靴＋赐福战靴</x:v>
      </x:c>
      <x:c r="J19" s="102" t="str">
        <x:v>风蚀铁片×180＋裂风崖羽×40＋哨垒旗冠×1＋失色锻造石×240</x:v>
      </x:c>
      <x:c r="K19" s="159" t="n">
        <x:v>16000000000</x:v>
      </x:c>
      <x:c r="L19" s="159" t="n">
        <x:v>0</x:v>
      </x:c>
      <x:c r="M19" s="159" t="n">
        <x:v>1</x:v>
      </x:c>
      <x:c r="N19" s="159" t="str">
        <x:v>风蚀铁片×180＋裂风崖羽×40＋哨垒旗冠×1＋失色锻造石×240</x:v>
      </x:c>
      <x:c r="O19" s="159" t="n">
        <x:v>1600000000000</x:v>
      </x:c>
      <x:c r="P19" s="159" t="n">
        <x:v>0</x:v>
      </x:c>
      <x:c r="Q19" s="102" t="str">
        <x:v>100%确定成功；不失败吞料</x:v>
      </x:c>
      <x:c r="R19" s="102" t="str">
        <x:v>成品可交易</x:v>
      </x:c>
      <x:c r="S19" s="102" t="str">
        <x:v>约3小时本大陆有效货币产出</x:v>
      </x:c>
      <x:c r="T19" s="103" t="str">
        <x:v>具体属性、数量与成品回收价后算</x:v>
      </x:c>
    </x:row>
    <x:row r="20">
      <x:c r="A20" s="101" t="str">
        <x:v>C04-SYN-EQ-01</x:v>
      </x:c>
      <x:c r="B20" s="102" t="str">
        <x:v>C04</x:v>
      </x:c>
      <x:c r="C20" s="102" t="str">
        <x:v>利耶尼亚海域</x:v>
      </x:c>
      <x:c r="D20" s="102" t="str">
        <x:v>沉潮铸师·伊芙</x:v>
      </x:c>
      <x:c r="E20" s="102" t="str">
        <x:v>装备合成</x:v>
      </x:c>
      <x:c r="F20" s="102" t="str">
        <x:v>主线/阶段成长</x:v>
      </x:c>
      <x:c r="G20" s="102" t="str">
        <x:v>闭潮王带</x:v>
      </x:c>
      <x:c r="H20" s="102" t="str">
        <x:v>腰带</x:v>
      </x:c>
      <x:c r="I20" s="102" t="str">
        <x:v>孢母菌带＋缝舱腰箍</x:v>
      </x:c>
      <x:c r="J20" s="102" t="str">
        <x:v>湖盐结晶×240＋沉船缆扣×16＋沉湖王印×7＋失色锻造石×360</x:v>
      </x:c>
      <x:c r="K20" s="159" t="n">
        <x:v>11000000000</x:v>
      </x:c>
      <x:c r="L20" s="159" t="n">
        <x:v>96500000</x:v>
      </x:c>
      <x:c r="M20" s="159" t="n">
        <x:v>1</x:v>
      </x:c>
      <x:c r="N20" s="159" t="str">
        <x:v>湖盐结晶×240＋沉船缆扣×16＋沉湖王印×7＋失色锻造石×360</x:v>
      </x:c>
      <x:c r="O20" s="159" t="n">
        <x:v>1100000000000</x:v>
      </x:c>
      <x:c r="P20" s="159" t="n">
        <x:v>9650000000</x:v>
      </x:c>
      <x:c r="Q20" s="102" t="str">
        <x:v>100%确定成功；不失败吞料</x:v>
      </x:c>
      <x:c r="R20" s="102" t="str">
        <x:v>成品可交易</x:v>
      </x:c>
      <x:c r="S20" s="102" t="str">
        <x:v>约3小时本大陆有效货币产出</x:v>
      </x:c>
      <x:c r="T20" s="103" t="str">
        <x:v>具体属性、数量与成品回收价后算</x:v>
      </x:c>
    </x:row>
    <x:row r="21">
      <x:c r="A21" s="101" t="str">
        <x:v>C04-SYN-EQ-02</x:v>
      </x:c>
      <x:c r="B21" s="102" t="str">
        <x:v>C04</x:v>
      </x:c>
      <x:c r="C21" s="102" t="str">
        <x:v>利耶尼亚海域</x:v>
      </x:c>
      <x:c r="D21" s="102" t="str">
        <x:v>沉潮铸师·伊芙</x:v>
      </x:c>
      <x:c r="E21" s="102" t="str">
        <x:v>装备合成</x:v>
      </x:c>
      <x:c r="F21" s="102" t="str">
        <x:v>主线/阶段成长</x:v>
      </x:c>
      <x:c r="G21" s="102" t="str">
        <x:v>月渊秘戒</x:v>
      </x:c>
      <x:c r="H21" s="102" t="str">
        <x:v>戒指</x:v>
      </x:c>
      <x:c r="I21" s="102" t="str">
        <x:v>蓝焰祷戒＋湖尸钥戒</x:v>
      </x:c>
      <x:c r="J21" s="102" t="str">
        <x:v>湖盐结晶×240＋雾潮银鳞×55＋湖底封门珠×2＋失色锻造石×360</x:v>
      </x:c>
      <x:c r="K21" s="159" t="n">
        <x:v>11000000000</x:v>
      </x:c>
      <x:c r="L21" s="159" t="n">
        <x:v>96500000</x:v>
      </x:c>
      <x:c r="M21" s="159" t="n">
        <x:v>1</x:v>
      </x:c>
      <x:c r="N21" s="159" t="str">
        <x:v>湖盐结晶×240＋雾潮银鳞×55＋湖底封门珠×2＋失色锻造石×360</x:v>
      </x:c>
      <x:c r="O21" s="159" t="n">
        <x:v>1100000000000</x:v>
      </x:c>
      <x:c r="P21" s="159" t="n">
        <x:v>9650000000</x:v>
      </x:c>
      <x:c r="Q21" s="102" t="str">
        <x:v>100%确定成功；不失败吞料</x:v>
      </x:c>
      <x:c r="R21" s="102" t="str">
        <x:v>成品可交易</x:v>
      </x:c>
      <x:c r="S21" s="102" t="str">
        <x:v>约3小时本大陆有效货币产出</x:v>
      </x:c>
      <x:c r="T21" s="103" t="str">
        <x:v>具体属性、数量与成品回收价后算</x:v>
      </x:c>
    </x:row>
    <x:row r="22">
      <x:c r="A22" s="101" t="str">
        <x:v>C04-SYN-EQ-03</x:v>
      </x:c>
      <x:c r="B22" s="102" t="str">
        <x:v>C04</x:v>
      </x:c>
      <x:c r="C22" s="102" t="str">
        <x:v>利耶尼亚海域</x:v>
      </x:c>
      <x:c r="D22" s="102" t="str">
        <x:v>沉潮铸师·伊芙</x:v>
      </x:c>
      <x:c r="E22" s="102" t="str">
        <x:v>装备合成</x:v>
      </x:c>
      <x:c r="F22" s="102" t="str">
        <x:v>主线/阶段成长</x:v>
      </x:c>
      <x:c r="G22" s="102" t="str">
        <x:v>闭潮秘饰</x:v>
      </x:c>
      <x:c r="H22" s="102" t="str">
        <x:v>时装首饰盒</x:v>
      </x:c>
      <x:c r="I22" s="102" t="str">
        <x:v>塞芙拉无声衣＋莱弥恩的封湖巨剑</x:v>
      </x:c>
      <x:c r="J22" s="102" t="str">
        <x:v>湖盐结晶×310＋深湖压舱印×6＋沉湖王印×9＋失色锻造石×460</x:v>
      </x:c>
      <x:c r="K22" s="159" t="n">
        <x:v>0</x:v>
      </x:c>
      <x:c r="L22" s="159" t="n">
        <x:v>292000000</x:v>
      </x:c>
      <x:c r="M22" s="159" t="n">
        <x:v>1</x:v>
      </x:c>
      <x:c r="N22" s="159" t="str">
        <x:v>湖盐结晶×310＋深湖压舱印×6＋沉湖王印×9＋失色锻造石×460</x:v>
      </x:c>
      <x:c r="O22" s="159" t="n">
        <x:v>0</x:v>
      </x:c>
      <x:c r="P22" s="159" t="n">
        <x:v>29200000000</x:v>
      </x:c>
      <x:c r="Q22" s="102" t="str">
        <x:v>100%确定成功；不失败吞料</x:v>
      </x:c>
      <x:c r="R22" s="102" t="str">
        <x:v>成品可交易</x:v>
      </x:c>
      <x:c r="S22" s="102" t="str">
        <x:v>约5小时本大陆有效货币产出</x:v>
      </x:c>
      <x:c r="T22" s="103" t="str">
        <x:v>具体属性、数量与成品回收价后算</x:v>
      </x:c>
    </x:row>
    <x:row r="23">
      <x:c r="A23" s="101" t="str">
        <x:v>C05-SYN-EQ-01</x:v>
      </x:c>
      <x:c r="B23" s="102" t="str">
        <x:v>C05</x:v>
      </x:c>
      <x:c r="C23" s="102" t="str">
        <x:v>湖之利耶尼亚</x:v>
      </x:c>
      <x:c r="D23" s="102" t="str">
        <x:v>辉石调律师·蕾娜</x:v>
      </x:c>
      <x:c r="E23" s="102" t="str">
        <x:v>装备合成</x:v>
      </x:c>
      <x:c r="F23" s="102" t="str">
        <x:v>主线/阶段成长</x:v>
      </x:c>
      <x:c r="G23" s="102" t="str">
        <x:v>卡利亚月裁长刃</x:v>
      </x:c>
      <x:c r="H23" s="102" t="str">
        <x:v>武器</x:v>
      </x:c>
      <x:c r="I23" s="102" t="str">
        <x:v>深潮王女权杖＋终誓月裁剑</x:v>
      </x:c>
      <x:c r="J23" s="102" t="str">
        <x:v>辉石碎晶×380＋月蚀镜片×7＋满月王室印×10＋失色锻造石×600</x:v>
      </x:c>
      <x:c r="K23" s="159" t="n">
        <x:v>0</x:v>
      </x:c>
      <x:c r="L23" s="159" t="n">
        <x:v>496000000</x:v>
      </x:c>
      <x:c r="M23" s="159" t="n">
        <x:v>1</x:v>
      </x:c>
      <x:c r="N23" s="159" t="str">
        <x:v>辉石碎晶×380＋月蚀镜片×7＋满月王室印×10＋失色锻造石×600</x:v>
      </x:c>
      <x:c r="O23" s="159" t="n">
        <x:v>0</x:v>
      </x:c>
      <x:c r="P23" s="159" t="n">
        <x:v>49600000000</x:v>
      </x:c>
      <x:c r="Q23" s="102" t="str">
        <x:v>100%确定成功；不失败吞料</x:v>
      </x:c>
      <x:c r="R23" s="102" t="str">
        <x:v>成品可交易</x:v>
      </x:c>
      <x:c r="S23" s="102" t="str">
        <x:v>约4小时本大陆有效货币产出</x:v>
      </x:c>
      <x:c r="T23" s="103" t="str">
        <x:v>具体属性、数量与成品回收价后算</x:v>
      </x:c>
    </x:row>
    <x:row r="24">
      <x:c r="A24" s="101" t="str">
        <x:v>C05-SYN-EQ-02</x:v>
      </x:c>
      <x:c r="B24" s="102" t="str">
        <x:v>C05</x:v>
      </x:c>
      <x:c r="C24" s="102" t="str">
        <x:v>湖之利耶尼亚</x:v>
      </x:c>
      <x:c r="D24" s="102" t="str">
        <x:v>辉石调律师·蕾娜</x:v>
      </x:c>
      <x:c r="E24" s="102" t="str">
        <x:v>装备合成</x:v>
      </x:c>
      <x:c r="F24" s="102" t="str">
        <x:v>主线/阶段成长</x:v>
      </x:c>
      <x:c r="G24" s="102" t="str">
        <x:v>辉月镜戒</x:v>
      </x:c>
      <x:c r="H24" s="102" t="str">
        <x:v>时装戒指</x:v>
      </x:c>
      <x:c r="I24" s="102" t="str">
        <x:v>黄金树戒＋青曜噬光戒</x:v>
      </x:c>
      <x:c r="J24" s="102" t="str">
        <x:v>辉石碎晶×420＋雾月星砂×90＋禁域星钥×2＋失色锻造石×650</x:v>
      </x:c>
      <x:c r="K24" s="159" t="n">
        <x:v>0</x:v>
      </x:c>
      <x:c r="L24" s="159" t="n">
        <x:v>620000000</x:v>
      </x:c>
      <x:c r="M24" s="159" t="n">
        <x:v>1</x:v>
      </x:c>
      <x:c r="N24" s="159" t="str">
        <x:v>辉石碎晶×420＋雾月星砂×90＋禁域星钥×2＋失色锻造石×650</x:v>
      </x:c>
      <x:c r="O24" s="159" t="n">
        <x:v>0</x:v>
      </x:c>
      <x:c r="P24" s="159" t="n">
        <x:v>62000000000</x:v>
      </x:c>
      <x:c r="Q24" s="102" t="str">
        <x:v>100%确定成功；不失败吞料</x:v>
      </x:c>
      <x:c r="R24" s="102" t="str">
        <x:v>成品可交易</x:v>
      </x:c>
      <x:c r="S24" s="102" t="str">
        <x:v>约5小时本大陆有效货币产出</x:v>
      </x:c>
      <x:c r="T24" s="103" t="str">
        <x:v>具体属性、数量与成品回收价后算</x:v>
      </x:c>
    </x:row>
    <x:row r="25">
      <x:c r="A25" s="101" t="str">
        <x:v>C06-SYN-EQ-01</x:v>
      </x:c>
      <x:c r="B25" s="102" t="str">
        <x:v>C06</x:v>
      </x:c>
      <x:c r="C25" s="102" t="str">
        <x:v>盖利德</x:v>
      </x:c>
      <x:c r="D25" s="102" t="str">
        <x:v>红狮残匠·伯伦</x:v>
      </x:c>
      <x:c r="E25" s="102" t="str">
        <x:v>装备合成</x:v>
      </x:c>
      <x:c r="F25" s="102" t="str">
        <x:v>主线/阶段成长</x:v>
      </x:c>
      <x:c r="G25" s="102" t="str">
        <x:v>碎星红狮战甲</x:v>
      </x:c>
      <x:c r="H25" s="102" t="str">
        <x:v>衣服</x:v>
      </x:c>
      <x:c r="I25" s="102" t="str">
        <x:v>雷奥尼斯狮铠＋瑟芮血衣</x:v>
      </x:c>
      <x:c r="J25" s="102" t="str">
        <x:v>猩红矿渣×420＋红狮断箭×90＋红狮战印×12＋失色锻造石×700</x:v>
      </x:c>
      <x:c r="K25" s="159" t="n">
        <x:v>48500000000</x:v>
      </x:c>
      <x:c r="L25" s="159" t="n">
        <x:v>0</x:v>
      </x:c>
      <x:c r="M25" s="159" t="n">
        <x:v>1</x:v>
      </x:c>
      <x:c r="N25" s="159" t="str">
        <x:v>猩红矿渣×420＋红狮断箭×90＋红狮战印×12＋失色锻造石×700</x:v>
      </x:c>
      <x:c r="O25" s="159" t="n">
        <x:v>4850000000000</x:v>
      </x:c>
      <x:c r="P25" s="159" t="n">
        <x:v>0</x:v>
      </x:c>
      <x:c r="Q25" s="102" t="str">
        <x:v>100%确定成功；不失败吞料</x:v>
      </x:c>
      <x:c r="R25" s="102" t="str">
        <x:v>成品可交易</x:v>
      </x:c>
      <x:c r="S25" s="102" t="str">
        <x:v>约3小时本大陆有效货币产出</x:v>
      </x:c>
      <x:c r="T25" s="103" t="str">
        <x:v>具体属性、数量与成品回收价后算</x:v>
      </x:c>
    </x:row>
    <x:row r="26">
      <x:c r="A26" s="101" t="str">
        <x:v>C06-SYN-EQ-02</x:v>
      </x:c>
      <x:c r="B26" s="102" t="str">
        <x:v>C06</x:v>
      </x:c>
      <x:c r="C26" s="102" t="str">
        <x:v>盖利德</x:v>
      </x:c>
      <x:c r="D26" s="102" t="str">
        <x:v>红狮残匠·伯伦</x:v>
      </x:c>
      <x:c r="E26" s="102" t="str">
        <x:v>装备合成</x:v>
      </x:c>
      <x:c r="F26" s="102" t="str">
        <x:v>主线/阶段成长</x:v>
      </x:c>
      <x:c r="G26" s="102" t="str">
        <x:v>龙火刑腕</x:v>
      </x:c>
      <x:c r="H26" s="102" t="str">
        <x:v>手镯</x:v>
      </x:c>
      <x:c r="I26" s="102" t="str">
        <x:v>烬鳞护腕＋血菌腕轮</x:v>
      </x:c>
      <x:c r="J26" s="102" t="str">
        <x:v>猩红矿渣×420＋净火腺囊×26＋龙窟熔牙×8＋失色锻造石×700</x:v>
      </x:c>
      <x:c r="K26" s="159" t="n">
        <x:v>48500000000</x:v>
      </x:c>
      <x:c r="L26" s="159" t="n">
        <x:v>0</x:v>
      </x:c>
      <x:c r="M26" s="159" t="n">
        <x:v>1</x:v>
      </x:c>
      <x:c r="N26" s="159" t="str">
        <x:v>猩红矿渣×420＋净火腺囊×26＋龙窟熔牙×8＋失色锻造石×700</x:v>
      </x:c>
      <x:c r="O26" s="159" t="n">
        <x:v>4850000000000</x:v>
      </x:c>
      <x:c r="P26" s="159" t="n">
        <x:v>0</x:v>
      </x:c>
      <x:c r="Q26" s="102" t="str">
        <x:v>100%确定成功；不失败吞料</x:v>
      </x:c>
      <x:c r="R26" s="102" t="str">
        <x:v>成品可交易</x:v>
      </x:c>
      <x:c r="S26" s="102" t="str">
        <x:v>约3小时本大陆有效货币产出</x:v>
      </x:c>
      <x:c r="T26" s="103" t="str">
        <x:v>具体属性、数量与成品回收价后算</x:v>
      </x:c>
    </x:row>
    <x:row r="27">
      <x:c r="A27" s="101" t="str">
        <x:v>C06-SYN-EQ-03</x:v>
      </x:c>
      <x:c r="B27" s="102" t="str">
        <x:v>C06</x:v>
      </x:c>
      <x:c r="C27" s="102" t="str">
        <x:v>盖利德</x:v>
      </x:c>
      <x:c r="D27" s="102" t="str">
        <x:v>红狮残匠·伯伦</x:v>
      </x:c>
      <x:c r="E27" s="102" t="str">
        <x:v>装备合成</x:v>
      </x:c>
      <x:c r="F27" s="102" t="str">
        <x:v>主线/阶段成长</x:v>
      </x:c>
      <x:c r="G27" s="102" t="str">
        <x:v>红狮余烬王衣</x:v>
      </x:c>
      <x:c r="H27" s="102" t="str">
        <x:v>时装衣服</x:v>
      </x:c>
      <x:c r="I27" s="102" t="str">
        <x:v>塞维拉狱衣＋拉塔恩碎星巨刃</x:v>
      </x:c>
      <x:c r="J27" s="102" t="str">
        <x:v>猩红矿渣×550＋碎星仪仗钉×2＋红狮战印×16＋失色锻造石×900</x:v>
      </x:c>
      <x:c r="K27" s="159" t="n">
        <x:v>44500000000</x:v>
      </x:c>
      <x:c r="L27" s="159" t="n">
        <x:v>372000000</x:v>
      </x:c>
      <x:c r="M27" s="159" t="n">
        <x:v>1</x:v>
      </x:c>
      <x:c r="N27" s="159" t="str">
        <x:v>猩红矿渣×550＋碎星仪仗钉×2＋红狮战印×16＋失色锻造石×900</x:v>
      </x:c>
      <x:c r="O27" s="159" t="n">
        <x:v>4450000000000</x:v>
      </x:c>
      <x:c r="P27" s="159" t="n">
        <x:v>37200000000</x:v>
      </x:c>
      <x:c r="Q27" s="102" t="str">
        <x:v>100%确定成功；不失败吞料</x:v>
      </x:c>
      <x:c r="R27" s="102" t="str">
        <x:v>成品可交易</x:v>
      </x:c>
      <x:c r="S27" s="102" t="str">
        <x:v>约5小时本大陆有效货币产出</x:v>
      </x:c>
      <x:c r="T27" s="103" t="str">
        <x:v>具体属性、数量与成品回收价后算</x:v>
      </x:c>
    </x:row>
    <x:row r="28">
      <x:c r="A28" s="101" t="str">
        <x:v>C07-SYN-EQ-01</x:v>
      </x:c>
      <x:c r="B28" s="102" t="str">
        <x:v>C07</x:v>
      </x:c>
      <x:c r="C28" s="102" t="str">
        <x:v>化圣雪原</x:v>
      </x:c>
      <x:c r="D28" s="102" t="str">
        <x:v>白金裁缝·弥雅</x:v>
      </x:c>
      <x:c r="E28" s="102" t="str">
        <x:v>装备合成</x:v>
      </x:c>
      <x:c r="F28" s="102" t="str">
        <x:v>主线/阶段成长</x:v>
      </x:c>
      <x:c r="G28" s="102" t="str">
        <x:v>永霜白金刃</x:v>
      </x:c>
      <x:c r="H28" s="102" t="str">
        <x:v>时装武器</x:v>
      </x:c>
      <x:c r="I28" s="102" t="str">
        <x:v>诺薇霜镰＋赫洛冻拳</x:v>
      </x:c>
      <x:c r="J28" s="102" t="str">
        <x:v>冻晶尘×720＋白金路标片×145＋圣雪誓印×18＋失色锻造石×1250</x:v>
      </x:c>
      <x:c r="K28" s="159" t="n">
        <x:v>75000000000</x:v>
      </x:c>
      <x:c r="L28" s="159" t="n">
        <x:v>736000000</x:v>
      </x:c>
      <x:c r="M28" s="159" t="n">
        <x:v>1</x:v>
      </x:c>
      <x:c r="N28" s="159" t="str">
        <x:v>冻晶尘×720＋白金路标片×145＋圣雪誓印×18＋失色锻造石×1250</x:v>
      </x:c>
      <x:c r="O28" s="159" t="n">
        <x:v>7500000000000</x:v>
      </x:c>
      <x:c r="P28" s="159" t="n">
        <x:v>73600000000</x:v>
      </x:c>
      <x:c r="Q28" s="102" t="str">
        <x:v>100%确定成功；不失败吞料</x:v>
      </x:c>
      <x:c r="R28" s="102" t="str">
        <x:v>成品可交易</x:v>
      </x:c>
      <x:c r="S28" s="102" t="str">
        <x:v>约5小时本大陆有效货币产出</x:v>
      </x:c>
      <x:c r="T28" s="103" t="str">
        <x:v>具体属性、数量与成品回收价后算</x:v>
      </x:c>
    </x:row>
    <x:row r="29">
      <x:c r="A29" s="101" t="str">
        <x:v>C07-SYN-EQ-02</x:v>
      </x:c>
      <x:c r="B29" s="102" t="str">
        <x:v>C07</x:v>
      </x:c>
      <x:c r="C29" s="102" t="str">
        <x:v>化圣雪原</x:v>
      </x:c>
      <x:c r="D29" s="102" t="str">
        <x:v>白金裁缝·弥雅</x:v>
      </x:c>
      <x:c r="E29" s="102" t="str">
        <x:v>装备合成</x:v>
      </x:c>
      <x:c r="F29" s="102" t="str">
        <x:v>主线/阶段成长</x:v>
      </x:c>
      <x:c r="G29" s="102" t="str">
        <x:v>圣雪无火礼衣</x:v>
      </x:c>
      <x:c r="H29" s="102" t="str">
        <x:v>时装衣服</x:v>
      </x:c>
      <x:c r="I29" s="102" t="str">
        <x:v>乌尔寒铠＋埃琉斯永霜铠</x:v>
      </x:c>
      <x:c r="J29" s="102" t="str">
        <x:v>冻晶尘×720＋秘树霜芽×12＋圣雪门楔×4＋失色锻造石×1250</x:v>
      </x:c>
      <x:c r="K29" s="159" t="n">
        <x:v>75000000000</x:v>
      </x:c>
      <x:c r="L29" s="159" t="n">
        <x:v>736000000</x:v>
      </x:c>
      <x:c r="M29" s="159" t="n">
        <x:v>1</x:v>
      </x:c>
      <x:c r="N29" s="159" t="str">
        <x:v>冻晶尘×720＋秘树霜芽×12＋圣雪门楔×4＋失色锻造石×1250</x:v>
      </x:c>
      <x:c r="O29" s="159" t="n">
        <x:v>7500000000000</x:v>
      </x:c>
      <x:c r="P29" s="159" t="n">
        <x:v>73600000000</x:v>
      </x:c>
      <x:c r="Q29" s="102" t="str">
        <x:v>100%确定成功；不失败吞料</x:v>
      </x:c>
      <x:c r="R29" s="102" t="str">
        <x:v>成品可交易</x:v>
      </x:c>
      <x:c r="S29" s="102" t="str">
        <x:v>约5小时本大陆有效货币产出</x:v>
      </x:c>
      <x:c r="T29" s="103" t="str">
        <x:v>具体属性、数量与成品回收价后算</x:v>
      </x:c>
    </x:row>
    <x:row r="30">
      <x:c r="A30" s="101" t="str">
        <x:v>C08-SYN-EQ-01</x:v>
      </x:c>
      <x:c r="B30" s="102" t="str">
        <x:v>C08</x:v>
      </x:c>
      <x:c r="C30" s="102" t="str">
        <x:v>巨人山顶</x:v>
      </x:c>
      <x:c r="D30" s="102" t="str">
        <x:v>炉火遗民·冈特</x:v>
      </x:c>
      <x:c r="E30" s="102" t="str">
        <x:v>装备合成</x:v>
      </x:c>
      <x:c r="F30" s="102" t="str">
        <x:v>主线/阶段成长</x:v>
      </x:c>
      <x:c r="G30" s="102" t="str">
        <x:v>巨人炉心颈环</x:v>
      </x:c>
      <x:c r="H30" s="102" t="str">
        <x:v>项链</x:v>
      </x:c>
      <x:c r="I30" s="102" t="str">
        <x:v>雪鸦冰喙坠＋寒翼听风坠</x:v>
      </x:c>
      <x:c r="J30" s="102" t="str">
        <x:v>霜脊铁×700＋登山铁楔×145＋巨人火印×20＋失色锻造石×1300</x:v>
      </x:c>
      <x:c r="K30" s="159" t="n">
        <x:v>99000000000</x:v>
      </x:c>
      <x:c r="L30" s="159" t="n">
        <x:v>0</x:v>
      </x:c>
      <x:c r="M30" s="159" t="n">
        <x:v>1</x:v>
      </x:c>
      <x:c r="N30" s="159" t="str">
        <x:v>霜脊铁×700＋登山铁楔×145＋巨人火印×20＋失色锻造石×1300</x:v>
      </x:c>
      <x:c r="O30" s="159" t="n">
        <x:v>9900000000000</x:v>
      </x:c>
      <x:c r="P30" s="159" t="n">
        <x:v>0</x:v>
      </x:c>
      <x:c r="Q30" s="102" t="str">
        <x:v>100%确定成功；不失败吞料</x:v>
      </x:c>
      <x:c r="R30" s="102" t="str">
        <x:v>成品可交易</x:v>
      </x:c>
      <x:c r="S30" s="102" t="str">
        <x:v>约3小时本大陆有效货币产出</x:v>
      </x:c>
      <x:c r="T30" s="103" t="str">
        <x:v>具体属性、数量与成品回收价后算</x:v>
      </x:c>
    </x:row>
    <x:row r="31">
      <x:c r="A31" s="101" t="str">
        <x:v>C08-SYN-EQ-02</x:v>
      </x:c>
      <x:c r="B31" s="102" t="str">
        <x:v>C08</x:v>
      </x:c>
      <x:c r="C31" s="102" t="str">
        <x:v>巨人山顶</x:v>
      </x:c>
      <x:c r="D31" s="102" t="str">
        <x:v>炉火遗民·冈特</x:v>
      </x:c>
      <x:c r="E31" s="102" t="str">
        <x:v>装备合成</x:v>
      </x:c>
      <x:c r="F31" s="102" t="str">
        <x:v>主线/阶段成长</x:v>
      </x:c>
      <x:c r="G31" s="102" t="str">
        <x:v>吞日霜壁</x:v>
      </x:c>
      <x:c r="H31" s="102" t="str">
        <x:v>盾牌</x:v>
      </x:c>
      <x:c r="I31" s="102" t="str">
        <x:v>负碑王座盾＋外廊纹冰盾</x:v>
      </x:c>
      <x:c r="J31" s="102" t="str">
        <x:v>霜脊铁×700＋裂峰号角片×44＋冰宫守门铃×12＋失色锻造石×1300</x:v>
      </x:c>
      <x:c r="K31" s="159" t="n">
        <x:v>99000000000</x:v>
      </x:c>
      <x:c r="L31" s="159" t="n">
        <x:v>0</x:v>
      </x:c>
      <x:c r="M31" s="159" t="n">
        <x:v>1</x:v>
      </x:c>
      <x:c r="N31" s="159" t="str">
        <x:v>霜脊铁×700＋裂峰号角片×44＋冰宫守门铃×12＋失色锻造石×1300</x:v>
      </x:c>
      <x:c r="O31" s="159" t="n">
        <x:v>9900000000000</x:v>
      </x:c>
      <x:c r="P31" s="159" t="n">
        <x:v>0</x:v>
      </x:c>
      <x:c r="Q31" s="102" t="str">
        <x:v>100%确定成功；不失败吞料</x:v>
      </x:c>
      <x:c r="R31" s="102" t="str">
        <x:v>成品可交易</x:v>
      </x:c>
      <x:c r="S31" s="102" t="str">
        <x:v>约3小时本大陆有效货币产出</x:v>
      </x:c>
      <x:c r="T31" s="103" t="str">
        <x:v>具体属性、数量与成品回收价后算</x:v>
      </x:c>
    </x:row>
    <x:row r="32">
      <x:c r="A32" s="101" t="str">
        <x:v>C08-SYN-EQ-03</x:v>
      </x:c>
      <x:c r="B32" s="102" t="str">
        <x:v>C08</x:v>
      </x:c>
      <x:c r="C32" s="102" t="str">
        <x:v>巨人山顶</x:v>
      </x:c>
      <x:c r="D32" s="102" t="str">
        <x:v>炉火遗民·冈特</x:v>
      </x:c>
      <x:c r="E32" s="102" t="str">
        <x:v>装备合成</x:v>
      </x:c>
      <x:c r="F32" s="102" t="str">
        <x:v>主线/阶段成长</x:v>
      </x:c>
      <x:c r="G32" s="102" t="str">
        <x:v>穹霜炉心秘饰</x:v>
      </x:c>
      <x:c r="H32" s="102" t="str">
        <x:v>时装首饰盒</x:v>
      </x:c>
      <x:c r="I32" s="102" t="str">
        <x:v>赫芮迦穹霜王衣＋乌尔迈吞日巨剑</x:v>
      </x:c>
      <x:c r="J32" s="102" t="str">
        <x:v>霜脊铁×910＋王庭炉冠×4＋巨人火印×24＋失色锻造石×1700</x:v>
      </x:c>
      <x:c r="K32" s="159" t="n">
        <x:v>91000000000</x:v>
      </x:c>
      <x:c r="L32" s="159" t="n">
        <x:v>779000000</x:v>
      </x:c>
      <x:c r="M32" s="159" t="n">
        <x:v>1</x:v>
      </x:c>
      <x:c r="N32" s="159" t="str">
        <x:v>霜脊铁×910＋王庭炉冠×4＋巨人火印×24＋失色锻造石×1700</x:v>
      </x:c>
      <x:c r="O32" s="159" t="n">
        <x:v>9100000000000</x:v>
      </x:c>
      <x:c r="P32" s="159" t="n">
        <x:v>77900000000</x:v>
      </x:c>
      <x:c r="Q32" s="102" t="str">
        <x:v>100%确定成功；不失败吞料</x:v>
      </x:c>
      <x:c r="R32" s="102" t="str">
        <x:v>成品可交易</x:v>
      </x:c>
      <x:c r="S32" s="102" t="str">
        <x:v>约5小时本大陆有效货币产出</x:v>
      </x:c>
      <x:c r="T32" s="103" t="str">
        <x:v>具体属性、数量与成品回收价后算</x:v>
      </x:c>
    </x:row>
    <x:row r="33">
      <x:c r="A33" s="101" t="str">
        <x:v>C09-SYN-EQ-01</x:v>
      </x:c>
      <x:c r="B33" s="102" t="str">
        <x:v>C09</x:v>
      </x:c>
      <x:c r="C33" s="102" t="str">
        <x:v>亚坛高原</x:v>
      </x:c>
      <x:c r="D33" s="102" t="str">
        <x:v>黄金铸师·亚德</x:v>
      </x:c>
      <x:c r="E33" s="102" t="str">
        <x:v>装备合成</x:v>
      </x:c>
      <x:c r="F33" s="102" t="str">
        <x:v>主线/阶段成长</x:v>
      </x:c>
      <x:c r="G33" s="102" t="str">
        <x:v>黄金律裁阳刃</x:v>
      </x:c>
      <x:c r="H33" s="102" t="str">
        <x:v>武器</x:v>
      </x:c>
      <x:c r="I33" s="102" t="str">
        <x:v>罗梵迪壁垒长戟＋阿尔维萨蚀日王刃</x:v>
      </x:c>
      <x:c r="J33" s="102" t="str">
        <x:v>黄金叶脉×1000＋裁文蜡封×18＋黄金律印×28＋失色锻造石×2200</x:v>
      </x:c>
      <x:c r="K33" s="159" t="n">
        <x:v>0</x:v>
      </x:c>
      <x:c r="L33" s="159" t="n">
        <x:v>2840000000</x:v>
      </x:c>
      <x:c r="M33" s="159" t="n">
        <x:v>1</x:v>
      </x:c>
      <x:c r="N33" s="159" t="str">
        <x:v>黄金叶脉×1000＋裁文蜡封×18＋黄金律印×28＋失色锻造石×2200</x:v>
      </x:c>
      <x:c r="O33" s="159" t="n">
        <x:v>0</x:v>
      </x:c>
      <x:c r="P33" s="159" t="n">
        <x:v>284000000000</x:v>
      </x:c>
      <x:c r="Q33" s="102" t="str">
        <x:v>100%确定成功；不失败吞料</x:v>
      </x:c>
      <x:c r="R33" s="102" t="str">
        <x:v>成品可交易</x:v>
      </x:c>
      <x:c r="S33" s="102" t="str">
        <x:v>约4小时本大陆有效货币产出</x:v>
      </x:c>
      <x:c r="T33" s="103" t="str">
        <x:v>具体属性、数量与成品回收价后算</x:v>
      </x:c>
    </x:row>
    <x:row r="34">
      <x:c r="A34" s="101" t="str">
        <x:v>C09-SYN-EQ-02</x:v>
      </x:c>
      <x:c r="B34" s="102" t="str">
        <x:v>C09</x:v>
      </x:c>
      <x:c r="C34" s="102" t="str">
        <x:v>亚坛高原</x:v>
      </x:c>
      <x:c r="D34" s="102" t="str">
        <x:v>黄金铸师·亚德</x:v>
      </x:c>
      <x:c r="E34" s="102" t="str">
        <x:v>装备合成</x:v>
      </x:c>
      <x:c r="F34" s="102" t="str">
        <x:v>主线/阶段成长</x:v>
      </x:c>
      <x:c r="G34" s="102" t="str">
        <x:v>鎏日王仪战衣</x:v>
      </x:c>
      <x:c r="H34" s="102" t="str">
        <x:v>时装衣服</x:v>
      </x:c>
      <x:c r="I34" s="102" t="str">
        <x:v>艾德莉雅鎏辉圣衣＋赫桑达执宪战衣</x:v>
      </x:c>
      <x:c r="J34" s="102" t="str">
        <x:v>黄金叶脉×1100＋高原王诏金版×5＋黄金律印×32＋失色锻造石×2300</x:v>
      </x:c>
      <x:c r="K34" s="159" t="n">
        <x:v>0</x:v>
      </x:c>
      <x:c r="L34" s="159" t="n">
        <x:v>3550000000</x:v>
      </x:c>
      <x:c r="M34" s="159" t="n">
        <x:v>1</x:v>
      </x:c>
      <x:c r="N34" s="159" t="str">
        <x:v>黄金叶脉×1100＋高原王诏金版×5＋黄金律印×32＋失色锻造石×2300</x:v>
      </x:c>
      <x:c r="O34" s="159" t="n">
        <x:v>0</x:v>
      </x:c>
      <x:c r="P34" s="159" t="n">
        <x:v>355000000000</x:v>
      </x:c>
      <x:c r="Q34" s="102" t="str">
        <x:v>100%确定成功；不失败吞料</x:v>
      </x:c>
      <x:c r="R34" s="102" t="str">
        <x:v>成品可交易</x:v>
      </x:c>
      <x:c r="S34" s="102" t="str">
        <x:v>约5小时本大陆有效货币产出</x:v>
      </x:c>
      <x:c r="T34" s="103" t="str">
        <x:v>具体属性、数量与成品回收价后算</x:v>
      </x:c>
    </x:row>
    <x:row r="35">
      <x:c r="A35" s="101" t="str">
        <x:v>C10-SYN-EQ-01</x:v>
      </x:c>
      <x:c r="B35" s="102" t="str">
        <x:v>C10</x:v>
      </x:c>
      <x:c r="C35" s="102" t="str">
        <x:v>王城罗德尔</x:v>
      </x:c>
      <x:c r="D35" s="102" t="str">
        <x:v>王宫兵械长·奥德</x:v>
      </x:c>
      <x:c r="E35" s="102" t="str">
        <x:v>装备合成</x:v>
      </x:c>
      <x:c r="F35" s="102" t="str">
        <x:v>主线/阶段成长</x:v>
      </x:c>
      <x:c r="G35" s="102" t="str">
        <x:v>王座终裁圣刃</x:v>
      </x:c>
      <x:c r="H35" s="102" t="str">
        <x:v>武器</x:v>
      </x:c>
      <x:c r="I35" s="102" t="str">
        <x:v>千锁断流铡＋万冠终律圣刃</x:v>
      </x:c>
      <x:c r="J35" s="102" t="str">
        <x:v>王城金屑×1100＋王宫断冠片×6＋艾尔登王印×36＋失色锻造石×3000</x:v>
      </x:c>
      <x:c r="K35" s="159" t="n">
        <x:v>136000000000</x:v>
      </x:c>
      <x:c r="L35" s="159" t="n">
        <x:v>1620000000</x:v>
      </x:c>
      <x:c r="M35" s="159" t="n">
        <x:v>1</x:v>
      </x:c>
      <x:c r="N35" s="159" t="str">
        <x:v>王城金屑×1100＋王宫断冠片×6＋艾尔登王印×36＋失色锻造石×3000</x:v>
      </x:c>
      <x:c r="O35" s="159" t="n">
        <x:v>13600000000000</x:v>
      </x:c>
      <x:c r="P35" s="159" t="n">
        <x:v>162000000000</x:v>
      </x:c>
      <x:c r="Q35" s="102" t="str">
        <x:v>100%确定成功；不失败吞料</x:v>
      </x:c>
      <x:c r="R35" s="102" t="str">
        <x:v>成品可交易</x:v>
      </x:c>
      <x:c r="S35" s="102" t="str">
        <x:v>约4小时本大陆有效货币产出</x:v>
      </x:c>
      <x:c r="T35" s="103" t="str">
        <x:v>具体属性、数量与成品回收价后算</x:v>
      </x:c>
    </x:row>
    <x:row r="36">
      <x:c r="A36" s="101" t="str">
        <x:v>C10-SYN-EQ-02</x:v>
      </x:c>
      <x:c r="B36" s="102" t="str">
        <x:v>C10</x:v>
      </x:c>
      <x:c r="C36" s="102" t="str">
        <x:v>王城罗德尔</x:v>
      </x:c>
      <x:c r="D36" s="102" t="str">
        <x:v>王宫兵械长·奥德</x:v>
      </x:c>
      <x:c r="E36" s="102" t="str">
        <x:v>装备合成</x:v>
      </x:c>
      <x:c r="F36" s="102" t="str">
        <x:v>主线/阶段成长</x:v>
      </x:c>
      <x:c r="G36" s="102" t="str">
        <x:v>艾尔登无冕王衣</x:v>
      </x:c>
      <x:c r="H36" s="102" t="str">
        <x:v>时装衣服</x:v>
      </x:c>
      <x:c r="I36" s="102" t="str">
        <x:v>永辉空王礼服＋吞碑枯寝大氅</x:v>
      </x:c>
      <x:c r="J36" s="102" t="str">
        <x:v>王城金屑×1150＋无名墓钉×290＋艾尔登王印×40＋失色锻造石×3200</x:v>
      </x:c>
      <x:c r="K36" s="159" t="n">
        <x:v>170000000000</x:v>
      </x:c>
      <x:c r="L36" s="159" t="n">
        <x:v>2030000000</x:v>
      </x:c>
      <x:c r="M36" s="159" t="n">
        <x:v>1</x:v>
      </x:c>
      <x:c r="N36" s="159" t="str">
        <x:v>王城金屑×1150＋无名墓钉×290＋艾尔登王印×40＋失色锻造石×3200</x:v>
      </x:c>
      <x:c r="O36" s="159" t="n">
        <x:v>17000000000000</x:v>
      </x:c>
      <x:c r="P36" s="159" t="n">
        <x:v>203000000000</x:v>
      </x:c>
      <x:c r="Q36" s="102" t="str">
        <x:v>100%确定成功；不失败吞料</x:v>
      </x:c>
      <x:c r="R36" s="102" t="str">
        <x:v>成品可交易</x:v>
      </x:c>
      <x:c r="S36" s="102" t="str">
        <x:v>约5小时本大陆有效货币产出</x:v>
      </x:c>
      <x:c r="T36" s="103" t="str">
        <x:v>具体属性、数量与成品回收价后算</x:v>
      </x:c>
    </x:row>
    <x:row r="37">
      <x:c r="A37" s="101" t="str">
        <x:v>C10-SYN-EQ-03</x:v>
      </x:c>
      <x:c r="B37" s="102" t="str">
        <x:v>C10</x:v>
      </x:c>
      <x:c r="C37" s="102" t="str">
        <x:v>王城罗德尔</x:v>
      </x:c>
      <x:c r="D37" s="102" t="str">
        <x:v>旧王秘匣师·萨芙</x:v>
      </x:c>
      <x:c r="E37" s="102" t="str">
        <x:v>装备合成</x:v>
      </x:c>
      <x:c r="F37" s="102" t="str">
        <x:v>主线/阶段成长</x:v>
      </x:c>
      <x:c r="G37" s="102" t="str">
        <x:v>无上王徽秘饰</x:v>
      </x:c>
      <x:c r="H37" s="102" t="str">
        <x:v>时装首饰盒</x:v>
      </x:c>
      <x:c r="I37" s="102" t="str">
        <x:v>无声执冠勋章＋碎日禁卫斗笠</x:v>
      </x:c>
      <x:c r="J37" s="102" t="str">
        <x:v>王城金屑×1150＋旧渠阀芯×90＋失温熔炉楔×22＋艾尔登王印×40＋失色锻造石×3200</x:v>
      </x:c>
      <x:c r="K37" s="159" t="n">
        <x:v>170000000000</x:v>
      </x:c>
      <x:c r="L37" s="159" t="n">
        <x:v>2030000000</x:v>
      </x:c>
      <x:c r="M37" s="159" t="n">
        <x:v>1</x:v>
      </x:c>
      <x:c r="N37" s="159" t="str">
        <x:v>王城金屑×1150＋旧渠阀芯×90＋失温熔炉楔×22＋艾尔登王印×40＋失色锻造石×3200</x:v>
      </x:c>
      <x:c r="O37" s="159" t="n">
        <x:v>17000000000000</x:v>
      </x:c>
      <x:c r="P37" s="159" t="n">
        <x:v>203000000000</x:v>
      </x:c>
      <x:c r="Q37" s="102" t="str">
        <x:v>100%确定成功；不失败吞料</x:v>
      </x:c>
      <x:c r="R37" s="102" t="str">
        <x:v>成品可交易</x:v>
      </x:c>
      <x:c r="S37" s="102" t="str">
        <x:v>约5小时本大陆有效货币产出</x:v>
      </x:c>
      <x:c r="T37" s="103" t="str">
        <x:v>具体属性、数量与成品回收价后算</x:v>
      </x:c>
    </x:row>
    <x:row r="38">
      <x:c r="A38" s="101" t="str">
        <x:v>C01-SYN-ZD-01</x:v>
      </x:c>
      <x:c r="B38" s="102" t="str">
        <x:v>C01</x:v>
      </x:c>
      <x:c r="C38" s="102" t="str">
        <x:v>漂流群岛</x:v>
      </x:c>
      <x:c r="D38" s="102" t="str">
        <x:v>拾荒匠·阿砾</x:v>
      </x:c>
      <x:c r="E38" s="102" t="str">
        <x:v>生肖合成</x:v>
      </x:c>
      <x:c r="F38" s="102" t="str">
        <x:v>可选/回访合成</x:v>
      </x:c>
      <x:c r="G38" s="102" t="str">
        <x:v>子鼠·潮舱寻金</x:v>
      </x:c>
      <x:c r="H38" s="102" t="str">
        <x:v>生肖</x:v>
      </x:c>
      <x:c r="I38" s="102" t="str">
        <x:v>腐树子鼠＋唤潮旧勋</x:v>
      </x:c>
      <x:c r="J38" s="102" t="str">
        <x:v>海蚀铁片×40＋漂流见证·潮×6</x:v>
      </x:c>
      <x:c r="K38" s="159" t="n">
        <x:v>1100000000</x:v>
      </x:c>
      <x:c r="L38" s="159" t="n">
        <x:v>0</x:v>
      </x:c>
      <x:c r="M38" s="159" t="n">
        <x:v>1</x:v>
      </x:c>
      <x:c r="N38" s="159" t="str">
        <x:v>海蚀铁片×40＋漂流见证·潮×6</x:v>
      </x:c>
      <x:c r="O38" s="159" t="n">
        <x:v>110000000000</x:v>
      </x:c>
      <x:c r="P38" s="159" t="n">
        <x:v>0</x:v>
      </x:c>
      <x:c r="Q38" s="102" t="str">
        <x:v>100%确定成功；不失败吞料</x:v>
      </x:c>
      <x:c r="R38" s="102" t="str">
        <x:v>成品可交易</x:v>
      </x:c>
      <x:c r="S38" s="102" t="str">
        <x:v>约2小时本大陆有效货币产出</x:v>
      </x:c>
      <x:c r="T38" s="103" t="str">
        <x:v>消耗基础件腐树子鼠来自C2；NPC地点仍在C1，但预算阶段为C2，不计C1通关前置。</x:v>
      </x:c>
    </x:row>
    <x:row r="39">
      <x:c r="A39" s="101" t="str">
        <x:v>C02-SYN-ZD-01</x:v>
      </x:c>
      <x:c r="B39" s="102" t="str">
        <x:v>C02</x:v>
      </x:c>
      <x:c r="C39" s="102" t="str">
        <x:v>宁姆格福</x:v>
      </x:c>
      <x:c r="D39" s="102" t="str">
        <x:v>风暴工匠·洛克</x:v>
      </x:c>
      <x:c r="E39" s="102" t="str">
        <x:v>生肖合成</x:v>
      </x:c>
      <x:c r="F39" s="102" t="str">
        <x:v>主线/阶段成长</x:v>
      </x:c>
      <x:c r="G39" s="102" t="str">
        <x:v>丑牛·风暴负山</x:v>
      </x:c>
      <x:c r="H39" s="102" t="str">
        <x:v>生肖</x:v>
      </x:c>
      <x:c r="I39" s="102" t="str">
        <x:v>百臂丑牛＋关隘铁甲</x:v>
      </x:c>
      <x:c r="J39" s="102" t="str">
        <x:v>风暴石片×60＋接肢王印×2</x:v>
      </x:c>
      <x:c r="K39" s="159" t="n">
        <x:v>0</x:v>
      </x:c>
      <x:c r="L39" s="159" t="n">
        <x:v>38000000</x:v>
      </x:c>
      <x:c r="M39" s="159" t="n">
        <x:v>1</x:v>
      </x:c>
      <x:c r="N39" s="159" t="str">
        <x:v>风暴石片×60＋接肢王印×2</x:v>
      </x:c>
      <x:c r="O39" s="159" t="n">
        <x:v>0</x:v>
      </x:c>
      <x:c r="P39" s="159" t="n">
        <x:v>3800000000</x:v>
      </x:c>
      <x:c r="Q39" s="102" t="str">
        <x:v>100%确定成功；不失败吞料</x:v>
      </x:c>
      <x:c r="R39" s="102" t="str">
        <x:v>成品可交易</x:v>
      </x:c>
      <x:c r="S39" s="102" t="str">
        <x:v>约2小时本大陆有效货币产出</x:v>
      </x:c>
      <x:c r="T39" s="103"/>
    </x:row>
    <x:row r="40">
      <x:c r="A40" s="101" t="str">
        <x:v>C03-SYN-ZD-01</x:v>
      </x:c>
      <x:c r="B40" s="102" t="str">
        <x:v>C03</x:v>
      </x:c>
      <x:c r="C40" s="102" t="str">
        <x:v>宁姆格福西域</x:v>
      </x:c>
      <x:c r="D40" s="102" t="str">
        <x:v>断路铁匠·赫恩</x:v>
      </x:c>
      <x:c r="E40" s="102" t="str">
        <x:v>生肖合成</x:v>
      </x:c>
      <x:c r="F40" s="102" t="str">
        <x:v>主线/阶段成长</x:v>
      </x:c>
      <x:c r="G40" s="102" t="str">
        <x:v>辰龙·荒原逐风</x:v>
      </x:c>
      <x:c r="H40" s="102" t="str">
        <x:v>生肖</x:v>
      </x:c>
      <x:c r="I40" s="102" t="str">
        <x:v>猎犬辰龙＋裂风战旗刃</x:v>
      </x:c>
      <x:c r="J40" s="102" t="str">
        <x:v>风蚀铁片×90＋西境战旗印×3</x:v>
      </x:c>
      <x:c r="K40" s="159" t="n">
        <x:v>10500000000</x:v>
      </x:c>
      <x:c r="L40" s="159" t="n">
        <x:v>0</x:v>
      </x:c>
      <x:c r="M40" s="159" t="n">
        <x:v>1</x:v>
      </x:c>
      <x:c r="N40" s="159" t="str">
        <x:v>风蚀铁片×90＋西境战旗印×3</x:v>
      </x:c>
      <x:c r="O40" s="159" t="n">
        <x:v>1050000000000</x:v>
      </x:c>
      <x:c r="P40" s="159" t="n">
        <x:v>0</x:v>
      </x:c>
      <x:c r="Q40" s="102" t="str">
        <x:v>100%确定成功；不失败吞料</x:v>
      </x:c>
      <x:c r="R40" s="102" t="str">
        <x:v>成品可交易</x:v>
      </x:c>
      <x:c r="S40" s="102" t="str">
        <x:v>约2小时本大陆有效货币产出</x:v>
      </x:c>
      <x:c r="T40" s="103"/>
    </x:row>
    <x:row r="41">
      <x:c r="A41" s="101" t="str">
        <x:v>C04-SYN-ZD-01</x:v>
      </x:c>
      <x:c r="B41" s="102" t="str">
        <x:v>C04</x:v>
      </x:c>
      <x:c r="C41" s="102" t="str">
        <x:v>利耶尼亚海域</x:v>
      </x:c>
      <x:c r="D41" s="102" t="str">
        <x:v>沉潮铸师·伊芙</x:v>
      </x:c>
      <x:c r="E41" s="102" t="str">
        <x:v>生肖合成</x:v>
      </x:c>
      <x:c r="F41" s="102" t="str">
        <x:v>主线/阶段成长</x:v>
      </x:c>
      <x:c r="G41" s="102" t="str">
        <x:v>巳蛇·沉潮缚月</x:v>
      </x:c>
      <x:c r="H41" s="102" t="str">
        <x:v>生肖</x:v>
      </x:c>
      <x:c r="I41" s="102" t="str">
        <x:v>祖魂巳蛇＋罗缇的回流剑</x:v>
      </x:c>
      <x:c r="J41" s="102" t="str">
        <x:v>湖盐结晶×120＋沉湖王印×4</x:v>
      </x:c>
      <x:c r="K41" s="159" t="n">
        <x:v>7400000000</x:v>
      </x:c>
      <x:c r="L41" s="159" t="n">
        <x:v>64500000</x:v>
      </x:c>
      <x:c r="M41" s="159" t="n">
        <x:v>1</x:v>
      </x:c>
      <x:c r="N41" s="159" t="str">
        <x:v>湖盐结晶×120＋沉湖王印×4</x:v>
      </x:c>
      <x:c r="O41" s="159" t="n">
        <x:v>740000000000</x:v>
      </x:c>
      <x:c r="P41" s="159" t="n">
        <x:v>6450000000</x:v>
      </x:c>
      <x:c r="Q41" s="102" t="str">
        <x:v>100%确定成功；不失败吞料</x:v>
      </x:c>
      <x:c r="R41" s="102" t="str">
        <x:v>成品可交易</x:v>
      </x:c>
      <x:c r="S41" s="102" t="str">
        <x:v>约2小时本大陆有效货币产出</x:v>
      </x:c>
      <x:c r="T41" s="103"/>
    </x:row>
    <x:row r="42">
      <x:c r="A42" s="101" t="str">
        <x:v>C05-SYN-ZD-01</x:v>
      </x:c>
      <x:c r="B42" s="102" t="str">
        <x:v>C05</x:v>
      </x:c>
      <x:c r="C42" s="102" t="str">
        <x:v>湖之利耶尼亚</x:v>
      </x:c>
      <x:c r="D42" s="102" t="str">
        <x:v>辉石调律师·蕾娜</x:v>
      </x:c>
      <x:c r="E42" s="102" t="str">
        <x:v>生肖合成</x:v>
      </x:c>
      <x:c r="F42" s="102" t="str">
        <x:v>主线/阶段成长</x:v>
      </x:c>
      <x:c r="G42" s="102" t="str">
        <x:v>卯兔·镜月折辉</x:v>
      </x:c>
      <x:c r="H42" s="102" t="str">
        <x:v>生肖</x:v>
      </x:c>
      <x:c r="I42" s="102" t="str">
        <x:v>无月卯兔＋月契封印带</x:v>
      </x:c>
      <x:c r="J42" s="102" t="str">
        <x:v>辉石碎晶×160＋满月王室印×5</x:v>
      </x:c>
      <x:c r="K42" s="159" t="n">
        <x:v>0</x:v>
      </x:c>
      <x:c r="L42" s="159" t="n">
        <x:v>248000000</x:v>
      </x:c>
      <x:c r="M42" s="159" t="n">
        <x:v>1</x:v>
      </x:c>
      <x:c r="N42" s="159" t="str">
        <x:v>辉石碎晶×160＋满月王室印×5</x:v>
      </x:c>
      <x:c r="O42" s="159" t="n">
        <x:v>0</x:v>
      </x:c>
      <x:c r="P42" s="159" t="n">
        <x:v>24800000000</x:v>
      </x:c>
      <x:c r="Q42" s="102" t="str">
        <x:v>100%确定成功；不失败吞料</x:v>
      </x:c>
      <x:c r="R42" s="102" t="str">
        <x:v>成品可交易</x:v>
      </x:c>
      <x:c r="S42" s="102" t="str">
        <x:v>约2小时本大陆有效货币产出</x:v>
      </x:c>
      <x:c r="T42" s="103"/>
    </x:row>
    <x:row r="43">
      <x:c r="A43" s="101" t="str">
        <x:v>C06-SYN-ZD-01</x:v>
      </x:c>
      <x:c r="B43" s="102" t="str">
        <x:v>C06</x:v>
      </x:c>
      <x:c r="C43" s="102" t="str">
        <x:v>盖利德</x:v>
      </x:c>
      <x:c r="D43" s="102" t="str">
        <x:v>红狮残匠·伯伦</x:v>
      </x:c>
      <x:c r="E43" s="102" t="str">
        <x:v>生肖合成</x:v>
      </x:c>
      <x:c r="F43" s="102" t="str">
        <x:v>主线/阶段成长</x:v>
      </x:c>
      <x:c r="G43" s="102" t="str">
        <x:v>寅虎·红狮焚原</x:v>
      </x:c>
      <x:c r="H43" s="102" t="str">
        <x:v>生肖</x:v>
      </x:c>
      <x:c r="I43" s="102" t="str">
        <x:v>长戟寅虎＋阿格纳龙牙</x:v>
      </x:c>
      <x:c r="J43" s="102" t="str">
        <x:v>猩红矿渣×210＋红狮战印×7</x:v>
      </x:c>
      <x:c r="K43" s="159" t="n">
        <x:v>32500000000</x:v>
      </x:c>
      <x:c r="L43" s="159" t="n">
        <x:v>0</x:v>
      </x:c>
      <x:c r="M43" s="159" t="n">
        <x:v>1</x:v>
      </x:c>
      <x:c r="N43" s="159" t="str">
        <x:v>猩红矿渣×210＋红狮战印×7</x:v>
      </x:c>
      <x:c r="O43" s="159" t="n">
        <x:v>3250000000000</x:v>
      </x:c>
      <x:c r="P43" s="159" t="n">
        <x:v>0</x:v>
      </x:c>
      <x:c r="Q43" s="102" t="str">
        <x:v>100%确定成功；不失败吞料</x:v>
      </x:c>
      <x:c r="R43" s="102" t="str">
        <x:v>成品可交易</x:v>
      </x:c>
      <x:c r="S43" s="102" t="str">
        <x:v>约2小时本大陆有效货币产出</x:v>
      </x:c>
      <x:c r="T43" s="103"/>
    </x:row>
    <x:row r="44">
      <x:c r="A44" s="101" t="str">
        <x:v>C07-SYN-ZD-01</x:v>
      </x:c>
      <x:c r="B44" s="102" t="str">
        <x:v>C07</x:v>
      </x:c>
      <x:c r="C44" s="102" t="str">
        <x:v>化圣雪原</x:v>
      </x:c>
      <x:c r="D44" s="102" t="str">
        <x:v>白金裁缝·弥雅</x:v>
      </x:c>
      <x:c r="E44" s="102" t="str">
        <x:v>生肖合成</x:v>
      </x:c>
      <x:c r="F44" s="102" t="str">
        <x:v>主线/阶段成长</x:v>
      </x:c>
      <x:c r="G44" s="102" t="str">
        <x:v>未羊·永霜引路</x:v>
      </x:c>
      <x:c r="H44" s="102" t="str">
        <x:v>生肖</x:v>
      </x:c>
      <x:c r="I44" s="102" t="str">
        <x:v>葬日未羊＋芙蕾冰冠</x:v>
      </x:c>
      <x:c r="J44" s="102" t="str">
        <x:v>冻晶尘×280＋圣雪誓印×9</x:v>
      </x:c>
      <x:c r="K44" s="159" t="n">
        <x:v>30000000000</x:v>
      </x:c>
      <x:c r="L44" s="159" t="n">
        <x:v>295000000</x:v>
      </x:c>
      <x:c r="M44" s="159" t="n">
        <x:v>1</x:v>
      </x:c>
      <x:c r="N44" s="159" t="str">
        <x:v>冻晶尘×280＋圣雪誓印×9</x:v>
      </x:c>
      <x:c r="O44" s="159" t="n">
        <x:v>3000000000000</x:v>
      </x:c>
      <x:c r="P44" s="159" t="n">
        <x:v>29500000000</x:v>
      </x:c>
      <x:c r="Q44" s="102" t="str">
        <x:v>100%确定成功；不失败吞料</x:v>
      </x:c>
      <x:c r="R44" s="102" t="str">
        <x:v>成品可交易</x:v>
      </x:c>
      <x:c r="S44" s="102" t="str">
        <x:v>约2小时本大陆有效货币产出</x:v>
      </x:c>
      <x:c r="T44" s="103"/>
    </x:row>
    <x:row r="45">
      <x:c r="A45" s="101" t="str">
        <x:v>C08-SYN-ZD-01</x:v>
      </x:c>
      <x:c r="B45" s="102" t="str">
        <x:v>C08</x:v>
      </x:c>
      <x:c r="C45" s="102" t="str">
        <x:v>巨人山顶</x:v>
      </x:c>
      <x:c r="D45" s="102" t="str">
        <x:v>炉火遗民·冈特</x:v>
      </x:c>
      <x:c r="E45" s="102" t="str">
        <x:v>生肖合成</x:v>
      </x:c>
      <x:c r="F45" s="102" t="str">
        <x:v>主线/阶段成长</x:v>
      </x:c>
      <x:c r="G45" s="102" t="str">
        <x:v>午马·霜脊踏天</x:v>
      </x:c>
      <x:c r="H45" s="102" t="str">
        <x:v>生肖</x:v>
      </x:c>
      <x:c r="I45" s="102" t="str">
        <x:v>死水午马＋赫罗姆凿峰槌</x:v>
      </x:c>
      <x:c r="J45" s="102" t="str">
        <x:v>霜脊铁×350＋巨人火印×12</x:v>
      </x:c>
      <x:c r="K45" s="159" t="n">
        <x:v>66000000000</x:v>
      </x:c>
      <x:c r="L45" s="159" t="n">
        <x:v>0</x:v>
      </x:c>
      <x:c r="M45" s="159" t="n">
        <x:v>1</x:v>
      </x:c>
      <x:c r="N45" s="159" t="str">
        <x:v>霜脊铁×350＋巨人火印×12</x:v>
      </x:c>
      <x:c r="O45" s="159" t="n">
        <x:v>6600000000000</x:v>
      </x:c>
      <x:c r="P45" s="159" t="n">
        <x:v>0</x:v>
      </x:c>
      <x:c r="Q45" s="102" t="str">
        <x:v>100%确定成功；不失败吞料</x:v>
      </x:c>
      <x:c r="R45" s="102" t="str">
        <x:v>成品可交易</x:v>
      </x:c>
      <x:c r="S45" s="102" t="str">
        <x:v>约2小时本大陆有效货币产出</x:v>
      </x:c>
      <x:c r="T45" s="103"/>
    </x:row>
    <x:row r="46">
      <x:c r="A46" s="101" t="str">
        <x:v>C09-SYN-ZD-01</x:v>
      </x:c>
      <x:c r="B46" s="102" t="str">
        <x:v>C09</x:v>
      </x:c>
      <x:c r="C46" s="102" t="str">
        <x:v>亚坛高原</x:v>
      </x:c>
      <x:c r="D46" s="102" t="str">
        <x:v>黄金铸师·亚德</x:v>
      </x:c>
      <x:c r="E46" s="102" t="str">
        <x:v>生肖合成</x:v>
      </x:c>
      <x:c r="F46" s="102" t="str">
        <x:v>主线/阶段成长</x:v>
      </x:c>
      <x:c r="G46" s="102" t="str">
        <x:v>酉鸡·鎏日司晨</x:v>
      </x:c>
      <x:c r="H46" s="102" t="str">
        <x:v>生肖</x:v>
      </x:c>
      <x:c r="I46" s="102" t="str">
        <x:v>恶兆酉鸡＋赛维兰裁阳杖</x:v>
      </x:c>
      <x:c r="J46" s="102" t="str">
        <x:v>黄金叶脉×420＋黄金律印×16</x:v>
      </x:c>
      <x:c r="K46" s="159" t="n">
        <x:v>0</x:v>
      </x:c>
      <x:c r="L46" s="159" t="n">
        <x:v>1420000000</x:v>
      </x:c>
      <x:c r="M46" s="159" t="n">
        <x:v>1</x:v>
      </x:c>
      <x:c r="N46" s="159" t="str">
        <x:v>黄金叶脉×420＋黄金律印×16</x:v>
      </x:c>
      <x:c r="O46" s="159" t="n">
        <x:v>0</x:v>
      </x:c>
      <x:c r="P46" s="159" t="n">
        <x:v>142000000000</x:v>
      </x:c>
      <x:c r="Q46" s="102" t="str">
        <x:v>100%确定成功；不失败吞料</x:v>
      </x:c>
      <x:c r="R46" s="102" t="str">
        <x:v>成品可交易</x:v>
      </x:c>
      <x:c r="S46" s="102" t="str">
        <x:v>约2小时本大陆有效货币产出</x:v>
      </x:c>
      <x:c r="T46" s="103"/>
    </x:row>
    <x:row r="47">
      <x:c r="A47" s="101" t="str">
        <x:v>C10-SYN-ZD-01</x:v>
      </x:c>
      <x:c r="B47" s="102" t="str">
        <x:v>C10</x:v>
      </x:c>
      <x:c r="C47" s="102" t="str">
        <x:v>王城罗德尔</x:v>
      </x:c>
      <x:c r="D47" s="102" t="str">
        <x:v>旧王秘匣师·萨芙</x:v>
      </x:c>
      <x:c r="E47" s="102" t="str">
        <x:v>生肖合成</x:v>
      </x:c>
      <x:c r="F47" s="102" t="str">
        <x:v>主线/阶段成长</x:v>
      </x:c>
      <x:c r="G47" s="102" t="str">
        <x:v>戌狗·王座守门</x:v>
      </x:c>
      <x:c r="H47" s="102" t="str">
        <x:v>生肖</x:v>
      </x:c>
      <x:c r="I47" s="102" t="str">
        <x:v>失乡戌狗＋返魂寝门盾</x:v>
      </x:c>
      <x:c r="J47" s="102" t="str">
        <x:v>王城金屑×450＋艾尔登王印×20</x:v>
      </x:c>
      <x:c r="K47" s="159" t="n">
        <x:v>68000000000</x:v>
      </x:c>
      <x:c r="L47" s="159" t="n">
        <x:v>812000000</x:v>
      </x:c>
      <x:c r="M47" s="159" t="n">
        <x:v>1</x:v>
      </x:c>
      <x:c r="N47" s="159" t="str">
        <x:v>王城金屑×450＋艾尔登王印×20</x:v>
      </x:c>
      <x:c r="O47" s="159" t="n">
        <x:v>6800000000000</x:v>
      </x:c>
      <x:c r="P47" s="159" t="n">
        <x:v>81200000000</x:v>
      </x:c>
      <x:c r="Q47" s="102" t="str">
        <x:v>100%确定成功；不失败吞料</x:v>
      </x:c>
      <x:c r="R47" s="102" t="str">
        <x:v>成品可交易</x:v>
      </x:c>
      <x:c r="S47" s="102" t="str">
        <x:v>约2小时本大陆有效货币产出</x:v>
      </x:c>
      <x:c r="T47" s="103"/>
    </x:row>
    <x:row r="48">
      <x:c r="A48" s="101" t="str">
        <x:v>C01-SYN-TT-01</x:v>
      </x:c>
      <x:c r="B48" s="102" t="str">
        <x:v>C01</x:v>
      </x:c>
      <x:c r="C48" s="102" t="str">
        <x:v>漂流群岛</x:v>
      </x:c>
      <x:c r="D48" s="102" t="str">
        <x:v>拾荒匠·阿砾</x:v>
      </x:c>
      <x:c r="E48" s="102" t="str">
        <x:v>独立称号</x:v>
      </x:c>
      <x:c r="F48" s="102" t="str">
        <x:v>主线/阶段成长</x:v>
      </x:c>
      <x:c r="G48" s="102" t="str">
        <x:v>[称号]海岸初誓</x:v>
      </x:c>
      <x:c r="H48" s="102" t="str">
        <x:v>称号</x:v>
      </x:c>
      <x:c r="I48" s="102" t="str">
        <x:v>—</x:v>
      </x:c>
      <x:c r="J48" s="102" t="str">
        <x:v>漂流大陆印记×5＋漂流见证·潮×8＋漂流见证·雷×8</x:v>
      </x:c>
      <x:c r="K48" s="159" t="n">
        <x:v>1200000000</x:v>
      </x:c>
      <x:c r="L48" s="159" t="n">
        <x:v>11500000</x:v>
      </x:c>
      <x:c r="M48" s="159" t="n">
        <x:v>1</x:v>
      </x:c>
      <x:c r="N48" s="159" t="str">
        <x:v>漂流大陆印记×5＋漂流见证·潮×8＋漂流见证·雷×8</x:v>
      </x:c>
      <x:c r="O48" s="159" t="n">
        <x:v>120000000000</x:v>
      </x:c>
      <x:c r="P48" s="159" t="n">
        <x:v>1150000000</x:v>
      </x:c>
      <x:c r="Q48" s="102" t="str">
        <x:v>100%确定成功；不失败吞料</x:v>
      </x:c>
      <x:c r="R48" s="102" t="str">
        <x:v>角色绑定</x:v>
      </x:c>
      <x:c r="S48" s="102" t="str">
        <x:v>约4小时本大陆有效货币产出</x:v>
      </x:c>
      <x:c r="T48" s="103" t="str">
        <x:v>不与贯穿式称号合并</x:v>
      </x:c>
    </x:row>
    <x:row r="49">
      <x:c r="A49" s="101" t="str">
        <x:v>C03-SYN-TT-01</x:v>
      </x:c>
      <x:c r="B49" s="102" t="str">
        <x:v>C03</x:v>
      </x:c>
      <x:c r="C49" s="102" t="str">
        <x:v>宁姆格福西域</x:v>
      </x:c>
      <x:c r="D49" s="102" t="str">
        <x:v>无籍书记·玛尔</x:v>
      </x:c>
      <x:c r="E49" s="102" t="str">
        <x:v>独立称号</x:v>
      </x:c>
      <x:c r="F49" s="102" t="str">
        <x:v>主线/阶段成长</x:v>
      </x:c>
      <x:c r="G49" s="102" t="str">
        <x:v>[称号]西境拓荒者</x:v>
      </x:c>
      <x:c r="H49" s="102" t="str">
        <x:v>称号</x:v>
      </x:c>
      <x:c r="I49" s="102" t="str">
        <x:v>—</x:v>
      </x:c>
      <x:c r="J49" s="102" t="str">
        <x:v>西境战旗×20＋西境战旗印×6＋哨垒旗冠×1</x:v>
      </x:c>
      <x:c r="K49" s="159" t="n">
        <x:v>21000000000</x:v>
      </x:c>
      <x:c r="L49" s="159" t="n">
        <x:v>0</x:v>
      </x:c>
      <x:c r="M49" s="159" t="n">
        <x:v>1</x:v>
      </x:c>
      <x:c r="N49" s="159" t="str">
        <x:v>西境战旗×20＋西境战旗印×6＋哨垒旗冠×1</x:v>
      </x:c>
      <x:c r="O49" s="159" t="n">
        <x:v>2100000000000</x:v>
      </x:c>
      <x:c r="P49" s="159" t="n">
        <x:v>0</x:v>
      </x:c>
      <x:c r="Q49" s="102" t="str">
        <x:v>100%确定成功；不失败吞料</x:v>
      </x:c>
      <x:c r="R49" s="102" t="str">
        <x:v>角色绑定</x:v>
      </x:c>
      <x:c r="S49" s="102" t="str">
        <x:v>约4小时本大陆有效货币产出</x:v>
      </x:c>
      <x:c r="T49" s="103" t="str">
        <x:v>不与贯穿式称号合并</x:v>
      </x:c>
    </x:row>
    <x:row r="50">
      <x:c r="A50" s="101" t="str">
        <x:v>C05-SYN-TT-01</x:v>
      </x:c>
      <x:c r="B50" s="102" t="str">
        <x:v>C05</x:v>
      </x:c>
      <x:c r="C50" s="102" t="str">
        <x:v>湖之利耶尼亚</x:v>
      </x:c>
      <x:c r="D50" s="102" t="str">
        <x:v>月誓见证人·瑟兰</x:v>
      </x:c>
      <x:c r="E50" s="102" t="str">
        <x:v>独立称号</x:v>
      </x:c>
      <x:c r="F50" s="102" t="str">
        <x:v>主线/阶段成长</x:v>
      </x:c>
      <x:c r="G50" s="102" t="str">
        <x:v>[称号]满月见证者</x:v>
      </x:c>
      <x:c r="H50" s="102" t="str">
        <x:v>称号</x:v>
      </x:c>
      <x:c r="I50" s="102" t="str">
        <x:v>—</x:v>
      </x:c>
      <x:c r="J50" s="102" t="str">
        <x:v>卡利亚月露×36＋满月王室印×10＋禁域星钥×2</x:v>
      </x:c>
      <x:c r="K50" s="159" t="n">
        <x:v>0</x:v>
      </x:c>
      <x:c r="L50" s="159" t="n">
        <x:v>496000000</x:v>
      </x:c>
      <x:c r="M50" s="159" t="n">
        <x:v>1</x:v>
      </x:c>
      <x:c r="N50" s="159" t="str">
        <x:v>卡利亚月露×36＋满月王室印×10＋禁域星钥×2</x:v>
      </x:c>
      <x:c r="O50" s="159" t="n">
        <x:v>0</x:v>
      </x:c>
      <x:c r="P50" s="159" t="n">
        <x:v>49600000000</x:v>
      </x:c>
      <x:c r="Q50" s="102" t="str">
        <x:v>100%确定成功；不失败吞料</x:v>
      </x:c>
      <x:c r="R50" s="102" t="str">
        <x:v>角色绑定</x:v>
      </x:c>
      <x:c r="S50" s="102" t="str">
        <x:v>约4小时本大陆有效货币产出</x:v>
      </x:c>
      <x:c r="T50" s="103" t="str">
        <x:v>不与贯穿式称号合并</x:v>
      </x:c>
    </x:row>
    <x:row r="51">
      <x:c r="A51" s="101" t="str">
        <x:v>C07-SYN-TT-01</x:v>
      </x:c>
      <x:c r="B51" s="102" t="str">
        <x:v>C07</x:v>
      </x:c>
      <x:c r="C51" s="102" t="str">
        <x:v>化圣雪原</x:v>
      </x:c>
      <x:c r="D51" s="102" t="str">
        <x:v>无火记录官·洛萨</x:v>
      </x:c>
      <x:c r="E51" s="102" t="str">
        <x:v>独立称号</x:v>
      </x:c>
      <x:c r="F51" s="102" t="str">
        <x:v>主线/阶段成长</x:v>
      </x:c>
      <x:c r="G51" s="102" t="str">
        <x:v>[称号]永霜朝圣者</x:v>
      </x:c>
      <x:c r="H51" s="102" t="str">
        <x:v>称号</x:v>
      </x:c>
      <x:c r="I51" s="102" t="str">
        <x:v>—</x:v>
      </x:c>
      <x:c r="J51" s="102" t="str">
        <x:v>白金纺线×60＋圣雪誓印×18＋圣雪门楔×4</x:v>
      </x:c>
      <x:c r="K51" s="159" t="n">
        <x:v>60000000000</x:v>
      </x:c>
      <x:c r="L51" s="159" t="n">
        <x:v>589000000</x:v>
      </x:c>
      <x:c r="M51" s="159" t="n">
        <x:v>1</x:v>
      </x:c>
      <x:c r="N51" s="159" t="str">
        <x:v>白金纺线×60＋圣雪誓印×18＋圣雪门楔×4</x:v>
      </x:c>
      <x:c r="O51" s="159" t="n">
        <x:v>6000000000000</x:v>
      </x:c>
      <x:c r="P51" s="159" t="n">
        <x:v>58900000000</x:v>
      </x:c>
      <x:c r="Q51" s="102" t="str">
        <x:v>100%确定成功；不失败吞料</x:v>
      </x:c>
      <x:c r="R51" s="102" t="str">
        <x:v>角色绑定</x:v>
      </x:c>
      <x:c r="S51" s="102" t="str">
        <x:v>约4小时本大陆有效货币产出</x:v>
      </x:c>
      <x:c r="T51" s="103" t="str">
        <x:v>不与贯穿式称号合并</x:v>
      </x:c>
    </x:row>
    <x:row r="52">
      <x:c r="A52" s="101" t="str">
        <x:v>C09-SYN-TT-01</x:v>
      </x:c>
      <x:c r="B52" s="102" t="str">
        <x:v>C09</x:v>
      </x:c>
      <x:c r="C52" s="102" t="str">
        <x:v>亚坛高原</x:v>
      </x:c>
      <x:c r="D52" s="102" t="str">
        <x:v>王道见证人·斐洛</x:v>
      </x:c>
      <x:c r="E52" s="102" t="str">
        <x:v>独立称号</x:v>
      </x:c>
      <x:c r="F52" s="102" t="str">
        <x:v>主线/阶段成长</x:v>
      </x:c>
      <x:c r="G52" s="102" t="str">
        <x:v>[称号]黄金律见证者</x:v>
      </x:c>
      <x:c r="H52" s="102" t="str">
        <x:v>称号</x:v>
      </x:c>
      <x:c r="I52" s="102" t="str">
        <x:v>—</x:v>
      </x:c>
      <x:c r="J52" s="102" t="str">
        <x:v>古王律页×105＋黄金律印×30＋高原王诏金版×5</x:v>
      </x:c>
      <x:c r="K52" s="159" t="n">
        <x:v>0</x:v>
      </x:c>
      <x:c r="L52" s="159" t="n">
        <x:v>2840000000</x:v>
      </x:c>
      <x:c r="M52" s="159" t="n">
        <x:v>1</x:v>
      </x:c>
      <x:c r="N52" s="159" t="str">
        <x:v>古王律页×105＋黄金律印×30＋高原王诏金版×5</x:v>
      </x:c>
      <x:c r="O52" s="159" t="n">
        <x:v>0</x:v>
      </x:c>
      <x:c r="P52" s="159" t="n">
        <x:v>284000000000</x:v>
      </x:c>
      <x:c r="Q52" s="102" t="str">
        <x:v>100%确定成功；不失败吞料</x:v>
      </x:c>
      <x:c r="R52" s="102" t="str">
        <x:v>角色绑定</x:v>
      </x:c>
      <x:c r="S52" s="102" t="str">
        <x:v>约4小时本大陆有效货币产出</x:v>
      </x:c>
      <x:c r="T52" s="103" t="str">
        <x:v>不与贯穿式称号合并</x:v>
      </x:c>
    </x:row>
    <x:row r="53">
      <x:c r="A53" s="101" t="str">
        <x:v>C10-SYN-TT-01</x:v>
      </x:c>
      <x:c r="B53" s="102" t="str">
        <x:v>C10</x:v>
      </x:c>
      <x:c r="C53" s="102" t="str">
        <x:v>王城罗德尔</x:v>
      </x:c>
      <x:c r="D53" s="102" t="str">
        <x:v>无冕司礼官·维安</x:v>
      </x:c>
      <x:c r="E53" s="102" t="str">
        <x:v>独立称号</x:v>
      </x:c>
      <x:c r="F53" s="102" t="str">
        <x:v>主线/阶段成长</x:v>
      </x:c>
      <x:c r="G53" s="102" t="str">
        <x:v>[称号]艾尔登之王</x:v>
      </x:c>
      <x:c r="H53" s="102" t="str">
        <x:v>称号</x:v>
      </x:c>
      <x:c r="I53" s="102" t="str">
        <x:v>—</x:v>
      </x:c>
      <x:c r="J53" s="102" t="str">
        <x:v>王宫律文×130＋艾尔登王印×38＋王宫断冠片×6＋失温熔炉楔×22</x:v>
      </x:c>
      <x:c r="K53" s="159" t="n">
        <x:v>136000000000</x:v>
      </x:c>
      <x:c r="L53" s="159" t="n">
        <x:v>1620000000</x:v>
      </x:c>
      <x:c r="M53" s="159" t="n">
        <x:v>1</x:v>
      </x:c>
      <x:c r="N53" s="159" t="str">
        <x:v>王宫律文×130＋艾尔登王印×38＋王宫断冠片×6＋失温熔炉楔×22</x:v>
      </x:c>
      <x:c r="O53" s="159" t="n">
        <x:v>13600000000000</x:v>
      </x:c>
      <x:c r="P53" s="159" t="n">
        <x:v>162000000000</x:v>
      </x:c>
      <x:c r="Q53" s="102" t="str">
        <x:v>100%确定成功；不失败吞料</x:v>
      </x:c>
      <x:c r="R53" s="102" t="str">
        <x:v>角色绑定</x:v>
      </x:c>
      <x:c r="S53" s="102" t="str">
        <x:v>约4小时本大陆有效货币产出</x:v>
      </x:c>
      <x:c r="T53" s="103" t="str">
        <x:v>C10称号材料已从穹律鎏痕拓片修正为失温熔炉楔；不与贯穿式称号合并</x:v>
      </x:c>
    </x:row>
    <x:row r="54">
      <x:c r="A54" s="101" t="str">
        <x:v>C02-AOE-LV1</x:v>
      </x:c>
      <x:c r="B54" s="102" t="str">
        <x:v>C02</x:v>
      </x:c>
      <x:c r="C54" s="102" t="str">
        <x:v>宁姆格福</x:v>
      </x:c>
      <x:c r="D54" s="102" t="str">
        <x:v>风暴工匠·洛克</x:v>
      </x:c>
      <x:c r="E54" s="102" t="str">
        <x:v>群攻生肖</x:v>
      </x:c>
      <x:c r="F54" s="102" t="str">
        <x:v>主线/阶段成长</x:v>
      </x:c>
      <x:c r="G54" s="102" t="str">
        <x:v>群星之核LV1</x:v>
      </x:c>
      <x:c r="H54" s="102" t="str">
        <x:v>生肖9／宝石显示位</x:v>
      </x:c>
      <x:c r="I54" s="102" t="str">
        <x:v>雷冠申猴</x:v>
      </x:c>
      <x:c r="J54" s="102" t="str">
        <x:v>风暴石片×70＋黄金树芽×8＋接肢王印×3</x:v>
      </x:c>
      <x:c r="K54" s="159" t="n">
        <x:v>0</x:v>
      </x:c>
      <x:c r="L54" s="159" t="n">
        <x:v>57500000</x:v>
      </x:c>
      <x:c r="M54" s="159" t="n">
        <x:v>1</x:v>
      </x:c>
      <x:c r="N54" s="159" t="str">
        <x:v>风暴石片×70＋黄金树芽×8＋接肢王印×3</x:v>
      </x:c>
      <x:c r="O54" s="159" t="n">
        <x:v>0</x:v>
      </x:c>
      <x:c r="P54" s="159" t="n">
        <x:v>5750000000</x:v>
      </x:c>
      <x:c r="Q54" s="102" t="str">
        <x:v>100%确定成功；不失败吞料</x:v>
      </x:c>
      <x:c r="R54" s="102" t="str">
        <x:v>成品可交易</x:v>
      </x:c>
      <x:c r="S54" s="102" t="str">
        <x:v>约3小时本大陆有效货币产出</x:v>
      </x:c>
      <x:c r="T54" s="103" t="str">
        <x:v>不暴击、不吸血、不触发处决/斩杀；不吃神力、伤害系数或其他乘区</x:v>
      </x:c>
    </x:row>
    <x:row r="55">
      <x:c r="A55" s="101" t="str">
        <x:v>C03-AOE-LV2</x:v>
      </x:c>
      <x:c r="B55" s="102" t="str">
        <x:v>C03</x:v>
      </x:c>
      <x:c r="C55" s="102" t="str">
        <x:v>宁姆格福西域</x:v>
      </x:c>
      <x:c r="D55" s="102" t="str">
        <x:v>星核校准师·西境</x:v>
      </x:c>
      <x:c r="E55" s="102" t="str">
        <x:v>群攻生肖</x:v>
      </x:c>
      <x:c r="F55" s="102" t="str">
        <x:v>主线/阶段成长</x:v>
      </x:c>
      <x:c r="G55" s="102" t="str">
        <x:v>群星之核LV2</x:v>
      </x:c>
      <x:c r="H55" s="102" t="str">
        <x:v>生肖9／宝石显示位</x:v>
      </x:c>
      <x:c r="I55" s="102" t="str">
        <x:v>群星之核LV1</x:v>
      </x:c>
      <x:c r="J55" s="102" t="str">
        <x:v>风蚀铁片×110＋裂风崖羽×28＋西境战旗印×4</x:v>
      </x:c>
      <x:c r="K55" s="159" t="n">
        <x:v>16000000000</x:v>
      </x:c>
      <x:c r="L55" s="159" t="n">
        <x:v>0</x:v>
      </x:c>
      <x:c r="M55" s="159" t="n">
        <x:v>1</x:v>
      </x:c>
      <x:c r="N55" s="159" t="str">
        <x:v>风蚀铁片×110＋裂风崖羽×28＋西境战旗印×4</x:v>
      </x:c>
      <x:c r="O55" s="159" t="n">
        <x:v>1600000000000</x:v>
      </x:c>
      <x:c r="P55" s="159" t="n">
        <x:v>0</x:v>
      </x:c>
      <x:c r="Q55" s="102" t="str">
        <x:v>100%确定成功；不失败吞料</x:v>
      </x:c>
      <x:c r="R55" s="102" t="str">
        <x:v>成品可交易</x:v>
      </x:c>
      <x:c r="S55" s="102" t="str">
        <x:v>约3小时本大陆有效货币产出</x:v>
      </x:c>
      <x:c r="T55" s="103" t="str">
        <x:v>不暴击、不吸血、不触发处决/斩杀；不吃神力、伤害系数或其他乘区</x:v>
      </x:c>
    </x:row>
    <x:row r="56">
      <x:c r="A56" s="101" t="str">
        <x:v>C05-AOE-LV3</x:v>
      </x:c>
      <x:c r="B56" s="102" t="str">
        <x:v>C05</x:v>
      </x:c>
      <x:c r="C56" s="102" t="str">
        <x:v>湖之利耶尼亚</x:v>
      </x:c>
      <x:c r="D56" s="102" t="str">
        <x:v>星核校准师·湖月</x:v>
      </x:c>
      <x:c r="E56" s="102" t="str">
        <x:v>群攻生肖</x:v>
      </x:c>
      <x:c r="F56" s="102" t="str">
        <x:v>主线/阶段成长</x:v>
      </x:c>
      <x:c r="G56" s="102" t="str">
        <x:v>群星之核LV3</x:v>
      </x:c>
      <x:c r="H56" s="102" t="str">
        <x:v>生肖9／宝石显示位</x:v>
      </x:c>
      <x:c r="I56" s="102" t="str">
        <x:v>群星之核LV2</x:v>
      </x:c>
      <x:c r="J56" s="102" t="str">
        <x:v>辉石碎晶×190＋雾月星砂×48＋满月王室印×6</x:v>
      </x:c>
      <x:c r="K56" s="159" t="n">
        <x:v>0</x:v>
      </x:c>
      <x:c r="L56" s="159" t="n">
        <x:v>372000000</x:v>
      </x:c>
      <x:c r="M56" s="159" t="n">
        <x:v>1</x:v>
      </x:c>
      <x:c r="N56" s="159" t="str">
        <x:v>辉石碎晶×190＋雾月星砂×48＋满月王室印×6</x:v>
      </x:c>
      <x:c r="O56" s="159" t="n">
        <x:v>0</x:v>
      </x:c>
      <x:c r="P56" s="159" t="n">
        <x:v>37200000000</x:v>
      </x:c>
      <x:c r="Q56" s="102" t="str">
        <x:v>100%确定成功；不失败吞料</x:v>
      </x:c>
      <x:c r="R56" s="102" t="str">
        <x:v>成品可交易</x:v>
      </x:c>
      <x:c r="S56" s="102" t="str">
        <x:v>约3小时本大陆有效货币产出</x:v>
      </x:c>
      <x:c r="T56" s="103" t="str">
        <x:v>不暴击、不吸血、不触发处决/斩杀；不吃神力、伤害系数或其他乘区</x:v>
      </x:c>
    </x:row>
    <x:row r="57">
      <x:c r="A57" s="101" t="str">
        <x:v>C07-AOE-LV4</x:v>
      </x:c>
      <x:c r="B57" s="102" t="str">
        <x:v>C07</x:v>
      </x:c>
      <x:c r="C57" s="102" t="str">
        <x:v>化圣雪原</x:v>
      </x:c>
      <x:c r="D57" s="102" t="str">
        <x:v>星核校准师·圣雪</x:v>
      </x:c>
      <x:c r="E57" s="102" t="str">
        <x:v>群攻生肖</x:v>
      </x:c>
      <x:c r="F57" s="102" t="str">
        <x:v>主线/阶段成长</x:v>
      </x:c>
      <x:c r="G57" s="102" t="str">
        <x:v>群星之核LV4</x:v>
      </x:c>
      <x:c r="H57" s="102" t="str">
        <x:v>生肖9／宝石显示位</x:v>
      </x:c>
      <x:c r="I57" s="102" t="str">
        <x:v>群星之核LV3</x:v>
      </x:c>
      <x:c r="J57" s="102" t="str">
        <x:v>冻晶尘×330＋秘树霜芽×7＋圣雪誓印×10</x:v>
      </x:c>
      <x:c r="K57" s="159" t="n">
        <x:v>45000000000</x:v>
      </x:c>
      <x:c r="L57" s="159" t="n">
        <x:v>442000000</x:v>
      </x:c>
      <x:c r="M57" s="159" t="n">
        <x:v>1</x:v>
      </x:c>
      <x:c r="N57" s="159" t="str">
        <x:v>冻晶尘×330＋秘树霜芽×7＋圣雪誓印×10</x:v>
      </x:c>
      <x:c r="O57" s="159" t="n">
        <x:v>4500000000000</x:v>
      </x:c>
      <x:c r="P57" s="159" t="n">
        <x:v>44200000000</x:v>
      </x:c>
      <x:c r="Q57" s="102" t="str">
        <x:v>100%确定成功；不失败吞料</x:v>
      </x:c>
      <x:c r="R57" s="102" t="str">
        <x:v>成品可交易</x:v>
      </x:c>
      <x:c r="S57" s="102" t="str">
        <x:v>约3小时本大陆有效货币产出</x:v>
      </x:c>
      <x:c r="T57" s="103" t="str">
        <x:v>不暴击、不吸血、不触发处决/斩杀；不吃神力、伤害系数或其他乘区</x:v>
      </x:c>
    </x:row>
    <x:row r="58">
      <x:c r="A58" s="101" t="str">
        <x:v>C09-AOE-LV5</x:v>
      </x:c>
      <x:c r="B58" s="102" t="str">
        <x:v>C09</x:v>
      </x:c>
      <x:c r="C58" s="102" t="str">
        <x:v>亚坛高原</x:v>
      </x:c>
      <x:c r="D58" s="102" t="str">
        <x:v>星核校准师·黄金律</x:v>
      </x:c>
      <x:c r="E58" s="102" t="str">
        <x:v>群攻生肖</x:v>
      </x:c>
      <x:c r="F58" s="102" t="str">
        <x:v>主线/阶段成长</x:v>
      </x:c>
      <x:c r="G58" s="102" t="str">
        <x:v>群星之核LV5</x:v>
      </x:c>
      <x:c r="H58" s="102" t="str">
        <x:v>生肖9／宝石显示位</x:v>
      </x:c>
      <x:c r="I58" s="102" t="str">
        <x:v>群星之核LV4</x:v>
      </x:c>
      <x:c r="J58" s="102" t="str">
        <x:v>黄金叶脉×510＋裁文蜡封×10＋黄金律印×18</x:v>
      </x:c>
      <x:c r="K58" s="159" t="n">
        <x:v>0</x:v>
      </x:c>
      <x:c r="L58" s="159" t="n">
        <x:v>2130000000</x:v>
      </x:c>
      <x:c r="M58" s="159" t="n">
        <x:v>1</x:v>
      </x:c>
      <x:c r="N58" s="159" t="str">
        <x:v>黄金叶脉×510＋裁文蜡封×10＋黄金律印×18</x:v>
      </x:c>
      <x:c r="O58" s="159" t="n">
        <x:v>0</x:v>
      </x:c>
      <x:c r="P58" s="159" t="n">
        <x:v>213000000000</x:v>
      </x:c>
      <x:c r="Q58" s="102" t="str">
        <x:v>100%确定成功；不失败吞料</x:v>
      </x:c>
      <x:c r="R58" s="102" t="str">
        <x:v>成品可交易</x:v>
      </x:c>
      <x:c r="S58" s="102" t="str">
        <x:v>约3小时本大陆有效货币产出</x:v>
      </x:c>
      <x:c r="T58" s="103" t="str">
        <x:v>不暴击、不吸血、不触发处决/斩杀；不吃神力、伤害系数或其他乘区</x:v>
      </x:c>
    </x:row>
    <x:row r="59">
      <x:c r="A59" s="101" t="str">
        <x:v>C04-REBIRTH-01</x:v>
      </x:c>
      <x:c r="B59" s="102" t="str">
        <x:v>C04</x:v>
      </x:c>
      <x:c r="C59" s="102" t="str">
        <x:v>利耶尼亚海域</x:v>
      </x:c>
      <x:c r="D59" s="102" t="str">
        <x:v>潮印引渡者·洛弥</x:v>
      </x:c>
      <x:c r="E59" s="102" t="str">
        <x:v>转生</x:v>
      </x:c>
      <x:c r="F59" s="102" t="str">
        <x:v>主线/阶段成长</x:v>
      </x:c>
      <x:c r="G59" s="102" t="str">
        <x:v>第1转·雾潮初醒</x:v>
      </x:c>
      <x:c r="H59" s="102" t="str">
        <x:v>转生状态</x:v>
      </x:c>
      <x:c r="I59" s="102" t="str">
        <x:v>角色等级与前置条件</x:v>
      </x:c>
      <x:c r="J59" s="102" t="str">
        <x:v>湖盐结晶×24＋雾潮银鳞×6＋幽船铆钉×2＋沉湖王印×1＋小卢恩×20</x:v>
      </x:c>
      <x:c r="K59" s="159" t="n">
        <x:v>5500000000</x:v>
      </x:c>
      <x:c r="L59" s="159" t="n">
        <x:v>48000000</x:v>
      </x:c>
      <x:c r="M59" s="159" t="n">
        <x:v>1</x:v>
      </x:c>
      <x:c r="N59" s="159" t="str">
        <x:v>湖盐结晶×24＋雾潮银鳞×6＋幽船铆钉×2＋沉湖王印×1＋小卢恩×20</x:v>
      </x:c>
      <x:c r="O59" s="159" t="n">
        <x:v>550000000000</x:v>
      </x:c>
      <x:c r="P59" s="159" t="n">
        <x:v>4800000000</x:v>
      </x:c>
      <x:c r="Q59" s="102" t="str">
        <x:v>100%确定成功；不失败吞料</x:v>
      </x:c>
      <x:c r="R59" s="102" t="str">
        <x:v>角色绑定</x:v>
      </x:c>
      <x:c r="S59" s="102" t="str">
        <x:v>约1.5小时本大陆有效货币产出</x:v>
      </x:c>
      <x:c r="T59" s="103" t="str">
        <x:v>每个转生NPC承接连续5级；具体神力与数量后算</x:v>
      </x:c>
    </x:row>
    <x:row r="60">
      <x:c r="A60" s="101" t="str">
        <x:v>C04-REBIRTH-02</x:v>
      </x:c>
      <x:c r="B60" s="102" t="str">
        <x:v>C04</x:v>
      </x:c>
      <x:c r="C60" s="102" t="str">
        <x:v>利耶尼亚海域</x:v>
      </x:c>
      <x:c r="D60" s="102" t="str">
        <x:v>潮印引渡者·洛弥</x:v>
      </x:c>
      <x:c r="E60" s="102" t="str">
        <x:v>转生</x:v>
      </x:c>
      <x:c r="F60" s="102" t="str">
        <x:v>主线/阶段成长</x:v>
      </x:c>
      <x:c r="G60" s="102" t="str">
        <x:v>第2转·沉舟回魂</x:v>
      </x:c>
      <x:c r="H60" s="102" t="str">
        <x:v>转生状态</x:v>
      </x:c>
      <x:c r="I60" s="102" t="str">
        <x:v>第1转</x:v>
      </x:c>
      <x:c r="J60" s="102" t="str">
        <x:v>湖盐结晶×34＋雾潮银鳞×8＋幽船铆钉×3＋沉湖王印×1＋小卢恩×30</x:v>
      </x:c>
      <x:c r="K60" s="159" t="n">
        <x:v>7400000000</x:v>
      </x:c>
      <x:c r="L60" s="159" t="n">
        <x:v>64500000</x:v>
      </x:c>
      <x:c r="M60" s="159" t="n">
        <x:v>1</x:v>
      </x:c>
      <x:c r="N60" s="159" t="str">
        <x:v>湖盐结晶×34＋雾潮银鳞×8＋幽船铆钉×3＋沉湖王印×1＋小卢恩×30</x:v>
      </x:c>
      <x:c r="O60" s="159" t="n">
        <x:v>740000000000</x:v>
      </x:c>
      <x:c r="P60" s="159" t="n">
        <x:v>6450000000</x:v>
      </x:c>
      <x:c r="Q60" s="102" t="str">
        <x:v>100%确定成功；不失败吞料</x:v>
      </x:c>
      <x:c r="R60" s="102" t="str">
        <x:v>角色绑定</x:v>
      </x:c>
      <x:c r="S60" s="102" t="str">
        <x:v>约2小时本大陆有效货币产出</x:v>
      </x:c>
      <x:c r="T60" s="103" t="str">
        <x:v>每个转生NPC承接连续5级；具体神力与数量后算</x:v>
      </x:c>
    </x:row>
    <x:row r="61">
      <x:c r="A61" s="101" t="str">
        <x:v>C04-REBIRTH-03</x:v>
      </x:c>
      <x:c r="B61" s="102" t="str">
        <x:v>C04</x:v>
      </x:c>
      <x:c r="C61" s="102" t="str">
        <x:v>利耶尼亚海域</x:v>
      </x:c>
      <x:c r="D61" s="102" t="str">
        <x:v>潮印引渡者·洛弥</x:v>
      </x:c>
      <x:c r="E61" s="102" t="str">
        <x:v>转生</x:v>
      </x:c>
      <x:c r="F61" s="102" t="str">
        <x:v>主线/阶段成长</x:v>
      </x:c>
      <x:c r="G61" s="102" t="str">
        <x:v>第3转·月水洗身</x:v>
      </x:c>
      <x:c r="H61" s="102" t="str">
        <x:v>转生状态</x:v>
      </x:c>
      <x:c r="I61" s="102" t="str">
        <x:v>第2转</x:v>
      </x:c>
      <x:c r="J61" s="102" t="str">
        <x:v>湖盐结晶×44＋雾潮银鳞×10＋幽船铆钉×4＋沉湖王印×1＋小卢恩×45</x:v>
      </x:c>
      <x:c r="K61" s="159" t="n">
        <x:v>9200000000</x:v>
      </x:c>
      <x:c r="L61" s="159" t="n">
        <x:v>80500000</x:v>
      </x:c>
      <x:c r="M61" s="159" t="n">
        <x:v>1</x:v>
      </x:c>
      <x:c r="N61" s="159" t="str">
        <x:v>湖盐结晶×44＋雾潮银鳞×10＋幽船铆钉×4＋沉湖王印×1＋小卢恩×45</x:v>
      </x:c>
      <x:c r="O61" s="159" t="n">
        <x:v>920000000000</x:v>
      </x:c>
      <x:c r="P61" s="159" t="n">
        <x:v>8050000000</x:v>
      </x:c>
      <x:c r="Q61" s="102" t="str">
        <x:v>100%确定成功；不失败吞料</x:v>
      </x:c>
      <x:c r="R61" s="102" t="str">
        <x:v>角色绑定</x:v>
      </x:c>
      <x:c r="S61" s="102" t="str">
        <x:v>约2.5小时本大陆有效货币产出</x:v>
      </x:c>
      <x:c r="T61" s="103" t="str">
        <x:v>每个转生NPC承接连续5级；具体神力与数量后算</x:v>
      </x:c>
    </x:row>
    <x:row r="62">
      <x:c r="A62" s="101" t="str">
        <x:v>C04-REBIRTH-04</x:v>
      </x:c>
      <x:c r="B62" s="102" t="str">
        <x:v>C04</x:v>
      </x:c>
      <x:c r="C62" s="102" t="str">
        <x:v>利耶尼亚海域</x:v>
      </x:c>
      <x:c r="D62" s="102" t="str">
        <x:v>潮印引渡者·洛弥</x:v>
      </x:c>
      <x:c r="E62" s="102" t="str">
        <x:v>转生</x:v>
      </x:c>
      <x:c r="F62" s="102" t="str">
        <x:v>主线/阶段成长</x:v>
      </x:c>
      <x:c r="G62" s="102" t="str">
        <x:v>第4转·湖誓重铸</x:v>
      </x:c>
      <x:c r="H62" s="102" t="str">
        <x:v>转生状态</x:v>
      </x:c>
      <x:c r="I62" s="102" t="str">
        <x:v>第3转</x:v>
      </x:c>
      <x:c r="J62" s="102" t="str">
        <x:v>湖盐结晶×55＋雾潮银鳞×12＋幽船铆钉×5＋沉湖王印×2＋小卢恩×65</x:v>
      </x:c>
      <x:c r="K62" s="159" t="n">
        <x:v>11000000000</x:v>
      </x:c>
      <x:c r="L62" s="159" t="n">
        <x:v>96500000</x:v>
      </x:c>
      <x:c r="M62" s="159" t="n">
        <x:v>1</x:v>
      </x:c>
      <x:c r="N62" s="159" t="str">
        <x:v>湖盐结晶×55＋雾潮银鳞×12＋幽船铆钉×5＋沉湖王印×2＋小卢恩×65</x:v>
      </x:c>
      <x:c r="O62" s="159" t="n">
        <x:v>1100000000000</x:v>
      </x:c>
      <x:c r="P62" s="159" t="n">
        <x:v>9650000000</x:v>
      </x:c>
      <x:c r="Q62" s="102" t="str">
        <x:v>100%确定成功；不失败吞料</x:v>
      </x:c>
      <x:c r="R62" s="102" t="str">
        <x:v>角色绑定</x:v>
      </x:c>
      <x:c r="S62" s="102" t="str">
        <x:v>约3小时本大陆有效货币产出</x:v>
      </x:c>
      <x:c r="T62" s="103" t="str">
        <x:v>每个转生NPC承接连续5级；具体神力与数量后算</x:v>
      </x:c>
    </x:row>
    <x:row r="63">
      <x:c r="A63" s="101" t="str">
        <x:v>C04-REBIRTH-05</x:v>
      </x:c>
      <x:c r="B63" s="102" t="str">
        <x:v>C04</x:v>
      </x:c>
      <x:c r="C63" s="102" t="str">
        <x:v>利耶尼亚海域</x:v>
      </x:c>
      <x:c r="D63" s="102" t="str">
        <x:v>潮印引渡者·洛弥</x:v>
      </x:c>
      <x:c r="E63" s="102" t="str">
        <x:v>转生</x:v>
      </x:c>
      <x:c r="F63" s="102" t="str">
        <x:v>主线/阶段成长</x:v>
      </x:c>
      <x:c r="G63" s="102" t="str">
        <x:v>第5转·闭潮新生</x:v>
      </x:c>
      <x:c r="H63" s="102" t="str">
        <x:v>转生状态</x:v>
      </x:c>
      <x:c r="I63" s="102" t="str">
        <x:v>第4转</x:v>
      </x:c>
      <x:c r="J63" s="102" t="str">
        <x:v>湖盐结晶×70＋雾潮银鳞×16＋幽船铆钉×7＋沉湖王印×2＋小卢恩×90</x:v>
      </x:c>
      <x:c r="K63" s="159" t="n">
        <x:v>13000000000</x:v>
      </x:c>
      <x:c r="L63" s="159" t="n">
        <x:v>113000000</x:v>
      </x:c>
      <x:c r="M63" s="159" t="n">
        <x:v>1</x:v>
      </x:c>
      <x:c r="N63" s="159" t="str">
        <x:v>湖盐结晶×70＋雾潮银鳞×16＋幽船铆钉×7＋沉湖王印×2＋小卢恩×90</x:v>
      </x:c>
      <x:c r="O63" s="159" t="n">
        <x:v>1300000000000</x:v>
      </x:c>
      <x:c r="P63" s="159" t="n">
        <x:v>11300000000</x:v>
      </x:c>
      <x:c r="Q63" s="102" t="str">
        <x:v>100%确定成功；不失败吞料</x:v>
      </x:c>
      <x:c r="R63" s="102" t="str">
        <x:v>角色绑定</x:v>
      </x:c>
      <x:c r="S63" s="102" t="str">
        <x:v>约3.5小时本大陆有效货币产出</x:v>
      </x:c>
      <x:c r="T63" s="103" t="str">
        <x:v>每个转生NPC承接连续5级；具体神力与数量后算</x:v>
      </x:c>
    </x:row>
    <x:row r="64">
      <x:c r="A64" s="101" t="str">
        <x:v>C06-REBIRTH-06</x:v>
      </x:c>
      <x:c r="B64" s="102" t="str">
        <x:v>C06</x:v>
      </x:c>
      <x:c r="C64" s="102" t="str">
        <x:v>盖利德</x:v>
      </x:c>
      <x:c r="D64" s="102" t="str">
        <x:v>红狮洗礼官·卡恩</x:v>
      </x:c>
      <x:c r="E64" s="102" t="str">
        <x:v>转生</x:v>
      </x:c>
      <x:c r="F64" s="102" t="str">
        <x:v>主线/阶段成长</x:v>
      </x:c>
      <x:c r="G64" s="102" t="str">
        <x:v>第6转·灰原灼骨</x:v>
      </x:c>
      <x:c r="H64" s="102" t="str">
        <x:v>转生状态</x:v>
      </x:c>
      <x:c r="I64" s="102" t="str">
        <x:v>第5转</x:v>
      </x:c>
      <x:c r="J64" s="102" t="str">
        <x:v>猩红矿渣×42＋净火腺囊×3＋龙火鳞×4＋红狮战印×1＋大卢恩×30</x:v>
      </x:c>
      <x:c r="K64" s="159" t="n">
        <x:v>24500000000</x:v>
      </x:c>
      <x:c r="L64" s="159" t="n">
        <x:v>0</x:v>
      </x:c>
      <x:c r="M64" s="159" t="n">
        <x:v>1</x:v>
      </x:c>
      <x:c r="N64" s="159" t="str">
        <x:v>猩红矿渣×42＋净火腺囊×3＋龙火鳞×4＋红狮战印×1＋大卢恩×30</x:v>
      </x:c>
      <x:c r="O64" s="159" t="n">
        <x:v>2450000000000</x:v>
      </x:c>
      <x:c r="P64" s="159" t="n">
        <x:v>0</x:v>
      </x:c>
      <x:c r="Q64" s="102" t="str">
        <x:v>100%确定成功；不失败吞料</x:v>
      </x:c>
      <x:c r="R64" s="102" t="str">
        <x:v>角色绑定</x:v>
      </x:c>
      <x:c r="S64" s="102" t="str">
        <x:v>约1.5小时本大陆有效货币产出</x:v>
      </x:c>
      <x:c r="T64" s="103" t="str">
        <x:v>每个转生NPC承接连续5级；具体神力与数量后算</x:v>
      </x:c>
    </x:row>
    <x:row r="65">
      <x:c r="A65" s="101" t="str">
        <x:v>C06-REBIRTH-07</x:v>
      </x:c>
      <x:c r="B65" s="102" t="str">
        <x:v>C06</x:v>
      </x:c>
      <x:c r="C65" s="102" t="str">
        <x:v>盖利德</x:v>
      </x:c>
      <x:c r="D65" s="102" t="str">
        <x:v>红狮洗礼官·卡恩</x:v>
      </x:c>
      <x:c r="E65" s="102" t="str">
        <x:v>转生</x:v>
      </x:c>
      <x:c r="F65" s="102" t="str">
        <x:v>主线/阶段成长</x:v>
      </x:c>
      <x:c r="G65" s="102" t="str">
        <x:v>第7转·腐焰炼血</x:v>
      </x:c>
      <x:c r="H65" s="102" t="str">
        <x:v>转生状态</x:v>
      </x:c>
      <x:c r="I65" s="102" t="str">
        <x:v>第6转</x:v>
      </x:c>
      <x:c r="J65" s="102" t="str">
        <x:v>猩红矿渣×60＋净火腺囊×4＋龙火鳞×6＋红狮战印×2＋大卢恩×45</x:v>
      </x:c>
      <x:c r="K65" s="159" t="n">
        <x:v>32500000000</x:v>
      </x:c>
      <x:c r="L65" s="159" t="n">
        <x:v>0</x:v>
      </x:c>
      <x:c r="M65" s="159" t="n">
        <x:v>1</x:v>
      </x:c>
      <x:c r="N65" s="159" t="str">
        <x:v>猩红矿渣×60＋净火腺囊×4＋龙火鳞×6＋红狮战印×2＋大卢恩×45</x:v>
      </x:c>
      <x:c r="O65" s="159" t="n">
        <x:v>3250000000000</x:v>
      </x:c>
      <x:c r="P65" s="159" t="n">
        <x:v>0</x:v>
      </x:c>
      <x:c r="Q65" s="102" t="str">
        <x:v>100%确定成功；不失败吞料</x:v>
      </x:c>
      <x:c r="R65" s="102" t="str">
        <x:v>角色绑定</x:v>
      </x:c>
      <x:c r="S65" s="102" t="str">
        <x:v>约2小时本大陆有效货币产出</x:v>
      </x:c>
      <x:c r="T65" s="103" t="str">
        <x:v>每个转生NPC承接连续5级；具体神力与数量后算</x:v>
      </x:c>
    </x:row>
    <x:row r="66">
      <x:c r="A66" s="101" t="str">
        <x:v>C06-REBIRTH-08</x:v>
      </x:c>
      <x:c r="B66" s="102" t="str">
        <x:v>C06</x:v>
      </x:c>
      <x:c r="C66" s="102" t="str">
        <x:v>盖利德</x:v>
      </x:c>
      <x:c r="D66" s="102" t="str">
        <x:v>红狮洗礼官·卡恩</x:v>
      </x:c>
      <x:c r="E66" s="102" t="str">
        <x:v>转生</x:v>
      </x:c>
      <x:c r="F66" s="102" t="str">
        <x:v>主线/阶段成长</x:v>
      </x:c>
      <x:c r="G66" s="102" t="str">
        <x:v>第8转·红狮战心</x:v>
      </x:c>
      <x:c r="H66" s="102" t="str">
        <x:v>转生状态</x:v>
      </x:c>
      <x:c r="I66" s="102" t="str">
        <x:v>第7转</x:v>
      </x:c>
      <x:c r="J66" s="102" t="str">
        <x:v>猩红矿渣×75＋净火腺囊×5＋龙火鳞×7＋红狮战印×2＋大卢恩×65</x:v>
      </x:c>
      <x:c r="K66" s="159" t="n">
        <x:v>40500000000</x:v>
      </x:c>
      <x:c r="L66" s="159" t="n">
        <x:v>0</x:v>
      </x:c>
      <x:c r="M66" s="159" t="n">
        <x:v>1</x:v>
      </x:c>
      <x:c r="N66" s="159" t="str">
        <x:v>猩红矿渣×75＋净火腺囊×5＋龙火鳞×7＋红狮战印×2＋大卢恩×65</x:v>
      </x:c>
      <x:c r="O66" s="159" t="n">
        <x:v>4050000000000</x:v>
      </x:c>
      <x:c r="P66" s="159" t="n">
        <x:v>0</x:v>
      </x:c>
      <x:c r="Q66" s="102" t="str">
        <x:v>100%确定成功；不失败吞料</x:v>
      </x:c>
      <x:c r="R66" s="102" t="str">
        <x:v>角色绑定</x:v>
      </x:c>
      <x:c r="S66" s="102" t="str">
        <x:v>约2.5小时本大陆有效货币产出</x:v>
      </x:c>
      <x:c r="T66" s="103" t="str">
        <x:v>每个转生NPC承接连续5级；具体神力与数量后算</x:v>
      </x:c>
    </x:row>
    <x:row r="67">
      <x:c r="A67" s="101" t="str">
        <x:v>C06-REBIRTH-09</x:v>
      </x:c>
      <x:c r="B67" s="102" t="str">
        <x:v>C06</x:v>
      </x:c>
      <x:c r="C67" s="102" t="str">
        <x:v>盖利德</x:v>
      </x:c>
      <x:c r="D67" s="102" t="str">
        <x:v>红狮洗礼官·卡恩</x:v>
      </x:c>
      <x:c r="E67" s="102" t="str">
        <x:v>转生</x:v>
      </x:c>
      <x:c r="F67" s="102" t="str">
        <x:v>主线/阶段成长</x:v>
      </x:c>
      <x:c r="G67" s="102" t="str">
        <x:v>第9转·龙火淬魂</x:v>
      </x:c>
      <x:c r="H67" s="102" t="str">
        <x:v>转生状态</x:v>
      </x:c>
      <x:c r="I67" s="102" t="str">
        <x:v>第8转</x:v>
      </x:c>
      <x:c r="J67" s="102" t="str">
        <x:v>猩红矿渣×95＋净火腺囊×6＋龙火鳞×9＋红狮战印×3＋大卢恩×90</x:v>
      </x:c>
      <x:c r="K67" s="159" t="n">
        <x:v>48500000000</x:v>
      </x:c>
      <x:c r="L67" s="159" t="n">
        <x:v>0</x:v>
      </x:c>
      <x:c r="M67" s="159" t="n">
        <x:v>1</x:v>
      </x:c>
      <x:c r="N67" s="159" t="str">
        <x:v>猩红矿渣×95＋净火腺囊×6＋龙火鳞×9＋红狮战印×3＋大卢恩×90</x:v>
      </x:c>
      <x:c r="O67" s="159" t="n">
        <x:v>4850000000000</x:v>
      </x:c>
      <x:c r="P67" s="159" t="n">
        <x:v>0</x:v>
      </x:c>
      <x:c r="Q67" s="102" t="str">
        <x:v>100%确定成功；不失败吞料</x:v>
      </x:c>
      <x:c r="R67" s="102" t="str">
        <x:v>角色绑定</x:v>
      </x:c>
      <x:c r="S67" s="102" t="str">
        <x:v>约3小时本大陆有效货币产出</x:v>
      </x:c>
      <x:c r="T67" s="103" t="str">
        <x:v>每个转生NPC承接连续5级；具体神力与数量后算</x:v>
      </x:c>
    </x:row>
    <x:row r="68">
      <x:c r="A68" s="101" t="str">
        <x:v>C06-REBIRTH-10</x:v>
      </x:c>
      <x:c r="B68" s="102" t="str">
        <x:v>C06</x:v>
      </x:c>
      <x:c r="C68" s="102" t="str">
        <x:v>盖利德</x:v>
      </x:c>
      <x:c r="D68" s="102" t="str">
        <x:v>红狮洗礼官·卡恩</x:v>
      </x:c>
      <x:c r="E68" s="102" t="str">
        <x:v>转生</x:v>
      </x:c>
      <x:c r="F68" s="102" t="str">
        <x:v>主线/阶段成长</x:v>
      </x:c>
      <x:c r="G68" s="102" t="str">
        <x:v>第10转·碎星再临</x:v>
      </x:c>
      <x:c r="H68" s="102" t="str">
        <x:v>转生状态</x:v>
      </x:c>
      <x:c r="I68" s="102" t="str">
        <x:v>第9转</x:v>
      </x:c>
      <x:c r="J68" s="102" t="str">
        <x:v>猩红矿渣×125＋净火腺囊×8＋龙火鳞×12＋红狮战印×4＋大卢恩×120</x:v>
      </x:c>
      <x:c r="K68" s="159" t="n">
        <x:v>56500000000</x:v>
      </x:c>
      <x:c r="L68" s="159" t="n">
        <x:v>0</x:v>
      </x:c>
      <x:c r="M68" s="159" t="n">
        <x:v>1</x:v>
      </x:c>
      <x:c r="N68" s="159" t="str">
        <x:v>猩红矿渣×125＋净火腺囊×8＋龙火鳞×12＋红狮战印×4＋大卢恩×120</x:v>
      </x:c>
      <x:c r="O68" s="159" t="n">
        <x:v>5650000000000</x:v>
      </x:c>
      <x:c r="P68" s="159" t="n">
        <x:v>0</x:v>
      </x:c>
      <x:c r="Q68" s="102" t="str">
        <x:v>100%确定成功；不失败吞料</x:v>
      </x:c>
      <x:c r="R68" s="102" t="str">
        <x:v>角色绑定</x:v>
      </x:c>
      <x:c r="S68" s="102" t="str">
        <x:v>约3.5小时本大陆有效货币产出</x:v>
      </x:c>
      <x:c r="T68" s="103" t="str">
        <x:v>每个转生NPC承接连续5级；具体神力与数量后算</x:v>
      </x:c>
    </x:row>
    <x:row r="69">
      <x:c r="A69" s="101" t="str">
        <x:v>C08-REBIRTH-11</x:v>
      </x:c>
      <x:c r="B69" s="102" t="str">
        <x:v>C08</x:v>
      </x:c>
      <x:c r="C69" s="102" t="str">
        <x:v>巨人山顶</x:v>
      </x:c>
      <x:c r="D69" s="102" t="str">
        <x:v>炉脉引渡者·赫达</x:v>
      </x:c>
      <x:c r="E69" s="102" t="str">
        <x:v>转生</x:v>
      </x:c>
      <x:c r="F69" s="102" t="str">
        <x:v>主线/阶段成长</x:v>
      </x:c>
      <x:c r="G69" s="102" t="str">
        <x:v>第11转·登霜换骨</x:v>
      </x:c>
      <x:c r="H69" s="102" t="str">
        <x:v>转生状态</x:v>
      </x:c>
      <x:c r="I69" s="102" t="str">
        <x:v>第10转</x:v>
      </x:c>
      <x:c r="J69" s="102" t="str">
        <x:v>霜脊铁×70＋裂峰号角片×4＋巨人火种×7＋巨人火印×2＋巨人熔火卢恩×40</x:v>
      </x:c>
      <x:c r="K69" s="159" t="n">
        <x:v>27000000000</x:v>
      </x:c>
      <x:c r="L69" s="159" t="n">
        <x:v>234000000</x:v>
      </x:c>
      <x:c r="M69" s="159" t="n">
        <x:v>1</x:v>
      </x:c>
      <x:c r="N69" s="159" t="str">
        <x:v>霜脊铁×70＋裂峰号角片×4＋巨人火种×7＋巨人火印×2＋巨人熔火卢恩×40</x:v>
      </x:c>
      <x:c r="O69" s="159" t="n">
        <x:v>2700000000000</x:v>
      </x:c>
      <x:c r="P69" s="159" t="n">
        <x:v>23400000000</x:v>
      </x:c>
      <x:c r="Q69" s="102" t="str">
        <x:v>100%确定成功；不失败吞料</x:v>
      </x:c>
      <x:c r="R69" s="102" t="str">
        <x:v>角色绑定</x:v>
      </x:c>
      <x:c r="S69" s="102" t="str">
        <x:v>约1.5小时本大陆有效货币产出</x:v>
      </x:c>
      <x:c r="T69" s="103" t="str">
        <x:v>每个转生NPC承接连续5级；具体神力与数量后算</x:v>
      </x:c>
    </x:row>
    <x:row r="70">
      <x:c r="A70" s="101" t="str">
        <x:v>C08-REBIRTH-12</x:v>
      </x:c>
      <x:c r="B70" s="102" t="str">
        <x:v>C08</x:v>
      </x:c>
      <x:c r="C70" s="102" t="str">
        <x:v>巨人山顶</x:v>
      </x:c>
      <x:c r="D70" s="102" t="str">
        <x:v>炉脉引渡者·赫达</x:v>
      </x:c>
      <x:c r="E70" s="102" t="str">
        <x:v>转生</x:v>
      </x:c>
      <x:c r="F70" s="102" t="str">
        <x:v>主线/阶段成长</x:v>
      </x:c>
      <x:c r="G70" s="102" t="str">
        <x:v>第12转·炉火铸心</x:v>
      </x:c>
      <x:c r="H70" s="102" t="str">
        <x:v>转生状态</x:v>
      </x:c>
      <x:c r="I70" s="102" t="str">
        <x:v>第11转</x:v>
      </x:c>
      <x:c r="J70" s="102" t="str">
        <x:v>霜脊铁×100＋裂峰号角片×6＋巨人火种×10＋巨人火印×3＋巨人熔火卢恩×60</x:v>
      </x:c>
      <x:c r="K70" s="159" t="n">
        <x:v>36500000000</x:v>
      </x:c>
      <x:c r="L70" s="159" t="n">
        <x:v>311000000</x:v>
      </x:c>
      <x:c r="M70" s="159" t="n">
        <x:v>1</x:v>
      </x:c>
      <x:c r="N70" s="159" t="str">
        <x:v>霜脊铁×100＋裂峰号角片×6＋巨人火种×10＋巨人火印×3＋巨人熔火卢恩×60</x:v>
      </x:c>
      <x:c r="O70" s="159" t="n">
        <x:v>3650000000000</x:v>
      </x:c>
      <x:c r="P70" s="159" t="n">
        <x:v>31100000000</x:v>
      </x:c>
      <x:c r="Q70" s="102" t="str">
        <x:v>100%确定成功；不失败吞料</x:v>
      </x:c>
      <x:c r="R70" s="102" t="str">
        <x:v>角色绑定</x:v>
      </x:c>
      <x:c r="S70" s="102" t="str">
        <x:v>约2小时本大陆有效货币产出</x:v>
      </x:c>
      <x:c r="T70" s="103" t="str">
        <x:v>每个转生NPC承接连续5级；具体神力与数量后算</x:v>
      </x:c>
    </x:row>
    <x:row r="71">
      <x:c r="A71" s="101" t="str">
        <x:v>C08-REBIRTH-13</x:v>
      </x:c>
      <x:c r="B71" s="102" t="str">
        <x:v>C08</x:v>
      </x:c>
      <x:c r="C71" s="102" t="str">
        <x:v>巨人山顶</x:v>
      </x:c>
      <x:c r="D71" s="102" t="str">
        <x:v>炉脉引渡者·赫达</x:v>
      </x:c>
      <x:c r="E71" s="102" t="str">
        <x:v>转生</x:v>
      </x:c>
      <x:c r="F71" s="102" t="str">
        <x:v>主线/阶段成长</x:v>
      </x:c>
      <x:c r="G71" s="102" t="str">
        <x:v>第13转·巨人燃血</x:v>
      </x:c>
      <x:c r="H71" s="102" t="str">
        <x:v>转生状态</x:v>
      </x:c>
      <x:c r="I71" s="102" t="str">
        <x:v>第12转</x:v>
      </x:c>
      <x:c r="J71" s="102" t="str">
        <x:v>霜脊铁×125＋裂峰号角片×8＋巨人火种×12＋巨人火印×4＋巨人熔火卢恩×85</x:v>
      </x:c>
      <x:c r="K71" s="159" t="n">
        <x:v>45500000000</x:v>
      </x:c>
      <x:c r="L71" s="159" t="n">
        <x:v>389000000</x:v>
      </x:c>
      <x:c r="M71" s="159" t="n">
        <x:v>1</x:v>
      </x:c>
      <x:c r="N71" s="159" t="str">
        <x:v>霜脊铁×125＋裂峰号角片×8＋巨人火种×12＋巨人火印×4＋巨人熔火卢恩×85</x:v>
      </x:c>
      <x:c r="O71" s="159" t="n">
        <x:v>4550000000000</x:v>
      </x:c>
      <x:c r="P71" s="159" t="n">
        <x:v>38900000000</x:v>
      </x:c>
      <x:c r="Q71" s="102" t="str">
        <x:v>100%确定成功；不失败吞料</x:v>
      </x:c>
      <x:c r="R71" s="102" t="str">
        <x:v>角色绑定</x:v>
      </x:c>
      <x:c r="S71" s="102" t="str">
        <x:v>约2.5小时本大陆有效货币产出</x:v>
      </x:c>
      <x:c r="T71" s="103" t="str">
        <x:v>每个转生NPC承接连续5级；具体神力与数量后算</x:v>
      </x:c>
    </x:row>
    <x:row r="72">
      <x:c r="A72" s="101" t="str">
        <x:v>C08-REBIRTH-14</x:v>
      </x:c>
      <x:c r="B72" s="102" t="str">
        <x:v>C08</x:v>
      </x:c>
      <x:c r="C72" s="102" t="str">
        <x:v>巨人山顶</x:v>
      </x:c>
      <x:c r="D72" s="102" t="str">
        <x:v>炉脉引渡者·赫达</x:v>
      </x:c>
      <x:c r="E72" s="102" t="str">
        <x:v>转生</x:v>
      </x:c>
      <x:c r="F72" s="102" t="str">
        <x:v>主线/阶段成长</x:v>
      </x:c>
      <x:c r="G72" s="102" t="str">
        <x:v>第14转·吞日化躯</x:v>
      </x:c>
      <x:c r="H72" s="102" t="str">
        <x:v>转生状态</x:v>
      </x:c>
      <x:c r="I72" s="102" t="str">
        <x:v>第13转</x:v>
      </x:c>
      <x:c r="J72" s="102" t="str">
        <x:v>霜脊铁×160＋裂峰号角片×10＋巨人火种×16＋巨人火印×5＋巨人熔火卢恩×115</x:v>
      </x:c>
      <x:c r="K72" s="159" t="n">
        <x:v>54500000000</x:v>
      </x:c>
      <x:c r="L72" s="159" t="n">
        <x:v>467000000</x:v>
      </x:c>
      <x:c r="M72" s="159" t="n">
        <x:v>1</x:v>
      </x:c>
      <x:c r="N72" s="159" t="str">
        <x:v>霜脊铁×160＋裂峰号角片×10＋巨人火种×16＋巨人火印×5＋巨人熔火卢恩×115</x:v>
      </x:c>
      <x:c r="O72" s="159" t="n">
        <x:v>5450000000000</x:v>
      </x:c>
      <x:c r="P72" s="159" t="n">
        <x:v>46700000000</x:v>
      </x:c>
      <x:c r="Q72" s="102" t="str">
        <x:v>100%确定成功；不失败吞料</x:v>
      </x:c>
      <x:c r="R72" s="102" t="str">
        <x:v>角色绑定</x:v>
      </x:c>
      <x:c r="S72" s="102" t="str">
        <x:v>约3小时本大陆有效货币产出</x:v>
      </x:c>
      <x:c r="T72" s="103" t="str">
        <x:v>每个转生NPC承接连续5级；具体神力与数量后算</x:v>
      </x:c>
    </x:row>
    <x:row r="73">
      <x:c r="A73" s="101" t="str">
        <x:v>C08-REBIRTH-15</x:v>
      </x:c>
      <x:c r="B73" s="102" t="str">
        <x:v>C08</x:v>
      </x:c>
      <x:c r="C73" s="102" t="str">
        <x:v>巨人山顶</x:v>
      </x:c>
      <x:c r="D73" s="102" t="str">
        <x:v>炉脉引渡者·赫达</x:v>
      </x:c>
      <x:c r="E73" s="102" t="str">
        <x:v>转生</x:v>
      </x:c>
      <x:c r="F73" s="102" t="str">
        <x:v>主线/阶段成长</x:v>
      </x:c>
      <x:c r="G73" s="102" t="str">
        <x:v>第15转·山巅归一</x:v>
      </x:c>
      <x:c r="H73" s="102" t="str">
        <x:v>转生状态</x:v>
      </x:c>
      <x:c r="I73" s="102" t="str">
        <x:v>第14转</x:v>
      </x:c>
      <x:c r="J73" s="102" t="str">
        <x:v>霜脊铁×210＋裂峰号角片×14＋巨人火种×20＋巨人火印×6＋巨人熔火卢恩×150</x:v>
      </x:c>
      <x:c r="K73" s="159" t="n">
        <x:v>63500000000</x:v>
      </x:c>
      <x:c r="L73" s="159" t="n">
        <x:v>545000000</x:v>
      </x:c>
      <x:c r="M73" s="159" t="n">
        <x:v>1</x:v>
      </x:c>
      <x:c r="N73" s="159" t="str">
        <x:v>霜脊铁×210＋裂峰号角片×14＋巨人火种×20＋巨人火印×6＋巨人熔火卢恩×150</x:v>
      </x:c>
      <x:c r="O73" s="159" t="n">
        <x:v>6350000000000</x:v>
      </x:c>
      <x:c r="P73" s="159" t="n">
        <x:v>54500000000</x:v>
      </x:c>
      <x:c r="Q73" s="102" t="str">
        <x:v>100%确定成功；不失败吞料</x:v>
      </x:c>
      <x:c r="R73" s="102" t="str">
        <x:v>角色绑定</x:v>
      </x:c>
      <x:c r="S73" s="102" t="str">
        <x:v>约3.5小时本大陆有效货币产出</x:v>
      </x:c>
      <x:c r="T73" s="103" t="str">
        <x:v>每个转生NPC承接连续5级；具体神力与数量后算</x:v>
      </x:c>
    </x:row>
    <x:row r="74">
      <x:c r="A74" s="101" t="str">
        <x:v>C10-REBIRTH-16</x:v>
      </x:c>
      <x:c r="B74" s="102" t="str">
        <x:v>C10</x:v>
      </x:c>
      <x:c r="C74" s="102" t="str">
        <x:v>王城罗德尔</x:v>
      </x:c>
      <x:c r="D74" s="102" t="str">
        <x:v>王律司转·埃伦</x:v>
      </x:c>
      <x:c r="E74" s="102" t="str">
        <x:v>转生</x:v>
      </x:c>
      <x:c r="F74" s="102" t="str">
        <x:v>主线/阶段成长</x:v>
      </x:c>
      <x:c r="G74" s="102" t="str">
        <x:v>第16转·王律铭身</x:v>
      </x:c>
      <x:c r="H74" s="102" t="str">
        <x:v>转生状态</x:v>
      </x:c>
      <x:c r="I74" s="102" t="str">
        <x:v>第15转</x:v>
      </x:c>
      <x:c r="J74" s="102" t="str">
        <x:v>王城金屑×90＋王宫律文×12＋王宫断冠片×1＋艾尔登王印×3＋黄金律法卢恩×50</x:v>
      </x:c>
      <x:c r="K74" s="159" t="n">
        <x:v>51000000000</x:v>
      </x:c>
      <x:c r="L74" s="159" t="n">
        <x:v>609000000</x:v>
      </x:c>
      <x:c r="M74" s="159" t="n">
        <x:v>1</x:v>
      </x:c>
      <x:c r="N74" s="159" t="str">
        <x:v>王城金屑×90＋王宫律文×12＋王宫断冠片×1＋艾尔登王印×3＋黄金律法卢恩×50</x:v>
      </x:c>
      <x:c r="O74" s="159" t="n">
        <x:v>5100000000000</x:v>
      </x:c>
      <x:c r="P74" s="159" t="n">
        <x:v>60900000000</x:v>
      </x:c>
      <x:c r="Q74" s="102" t="str">
        <x:v>100%确定成功；不失败吞料</x:v>
      </x:c>
      <x:c r="R74" s="102" t="str">
        <x:v>角色绑定</x:v>
      </x:c>
      <x:c r="S74" s="102" t="str">
        <x:v>约1.5小时本大陆有效货币产出</x:v>
      </x:c>
      <x:c r="T74" s="103" t="str">
        <x:v>每个转生NPC承接连续5级；具体神力与数量后算</x:v>
      </x:c>
    </x:row>
    <x:row r="75">
      <x:c r="A75" s="101" t="str">
        <x:v>C10-REBIRTH-17</x:v>
      </x:c>
      <x:c r="B75" s="102" t="str">
        <x:v>C10</x:v>
      </x:c>
      <x:c r="C75" s="102" t="str">
        <x:v>王城罗德尔</x:v>
      </x:c>
      <x:c r="D75" s="102" t="str">
        <x:v>王律司转·埃伦</x:v>
      </x:c>
      <x:c r="E75" s="102" t="str">
        <x:v>转生</x:v>
      </x:c>
      <x:c r="F75" s="102" t="str">
        <x:v>主线/阶段成长</x:v>
      </x:c>
      <x:c r="G75" s="102" t="str">
        <x:v>第17转·金树烙魂</x:v>
      </x:c>
      <x:c r="H75" s="102" t="str">
        <x:v>转生状态</x:v>
      </x:c>
      <x:c r="I75" s="102" t="str">
        <x:v>第16转</x:v>
      </x:c>
      <x:c r="J75" s="102" t="str">
        <x:v>王城金屑×125＋王宫律文×16＋王宫断冠片×1＋艾尔登王印×4＋黄金律法卢恩×75</x:v>
      </x:c>
      <x:c r="K75" s="159" t="n">
        <x:v>68000000000</x:v>
      </x:c>
      <x:c r="L75" s="159" t="n">
        <x:v>812000000</x:v>
      </x:c>
      <x:c r="M75" s="159" t="n">
        <x:v>1</x:v>
      </x:c>
      <x:c r="N75" s="159" t="str">
        <x:v>王城金屑×125＋王宫律文×16＋王宫断冠片×1＋艾尔登王印×4＋黄金律法卢恩×75</x:v>
      </x:c>
      <x:c r="O75" s="159" t="n">
        <x:v>6800000000000</x:v>
      </x:c>
      <x:c r="P75" s="159" t="n">
        <x:v>81200000000</x:v>
      </x:c>
      <x:c r="Q75" s="102" t="str">
        <x:v>100%确定成功；不失败吞料</x:v>
      </x:c>
      <x:c r="R75" s="102" t="str">
        <x:v>角色绑定</x:v>
      </x:c>
      <x:c r="S75" s="102" t="str">
        <x:v>约2小时本大陆有效货币产出</x:v>
      </x:c>
      <x:c r="T75" s="103" t="str">
        <x:v>每个转生NPC承接连续5级；具体神力与数量后算</x:v>
      </x:c>
    </x:row>
    <x:row r="76">
      <x:c r="A76" s="101" t="str">
        <x:v>C10-REBIRTH-18</x:v>
      </x:c>
      <x:c r="B76" s="102" t="str">
        <x:v>C10</x:v>
      </x:c>
      <x:c r="C76" s="102" t="str">
        <x:v>王城罗德尔</x:v>
      </x:c>
      <x:c r="D76" s="102" t="str">
        <x:v>王律司转·埃伦</x:v>
      </x:c>
      <x:c r="E76" s="102" t="str">
        <x:v>转生</x:v>
      </x:c>
      <x:c r="F76" s="102" t="str">
        <x:v>主线/阶段成长</x:v>
      </x:c>
      <x:c r="G76" s="102" t="str">
        <x:v>第18转·王座承命</x:v>
      </x:c>
      <x:c r="H76" s="102" t="str">
        <x:v>转生状态</x:v>
      </x:c>
      <x:c r="I76" s="102" t="str">
        <x:v>第17转</x:v>
      </x:c>
      <x:c r="J76" s="102" t="str">
        <x:v>王城金屑×160＋王宫律文×20＋王宫断冠片×1＋艾尔登王印×6＋黄金律法卢恩×105</x:v>
      </x:c>
      <x:c r="K76" s="159" t="n">
        <x:v>85000000000</x:v>
      </x:c>
      <x:c r="L76" s="159" t="n">
        <x:v>1010000000</x:v>
      </x:c>
      <x:c r="M76" s="159" t="n">
        <x:v>1</x:v>
      </x:c>
      <x:c r="N76" s="159" t="str">
        <x:v>王城金屑×160＋王宫律文×20＋王宫断冠片×1＋艾尔登王印×6＋黄金律法卢恩×105</x:v>
      </x:c>
      <x:c r="O76" s="159" t="n">
        <x:v>8500000000000</x:v>
      </x:c>
      <x:c r="P76" s="159" t="n">
        <x:v>101000000000</x:v>
      </x:c>
      <x:c r="Q76" s="102" t="str">
        <x:v>100%确定成功；不失败吞料</x:v>
      </x:c>
      <x:c r="R76" s="102" t="str">
        <x:v>角色绑定</x:v>
      </x:c>
      <x:c r="S76" s="102" t="str">
        <x:v>约2.5小时本大陆有效货币产出</x:v>
      </x:c>
      <x:c r="T76" s="103" t="str">
        <x:v>每个转生NPC承接连续5级；具体神力与数量后算</x:v>
      </x:c>
    </x:row>
    <x:row r="77">
      <x:c r="A77" s="101" t="str">
        <x:v>C10-REBIRTH-19</x:v>
      </x:c>
      <x:c r="B77" s="102" t="str">
        <x:v>C10</x:v>
      </x:c>
      <x:c r="C77" s="102" t="str">
        <x:v>王城罗德尔</x:v>
      </x:c>
      <x:c r="D77" s="102" t="str">
        <x:v>王律司转·埃伦</x:v>
      </x:c>
      <x:c r="E77" s="102" t="str">
        <x:v>转生</x:v>
      </x:c>
      <x:c r="F77" s="102" t="str">
        <x:v>主线/阶段成长</x:v>
      </x:c>
      <x:c r="G77" s="102" t="str">
        <x:v>第19转·无冕登临</x:v>
      </x:c>
      <x:c r="H77" s="102" t="str">
        <x:v>转生状态</x:v>
      </x:c>
      <x:c r="I77" s="102" t="str">
        <x:v>第18转</x:v>
      </x:c>
      <x:c r="J77" s="102" t="str">
        <x:v>王城金屑×210＋王宫律文×26＋王宫断冠片×1＋艾尔登王印×7＋黄金律法卢恩×140</x:v>
      </x:c>
      <x:c r="K77" s="159" t="n">
        <x:v>102000000000</x:v>
      </x:c>
      <x:c r="L77" s="159" t="n">
        <x:v>1220000000</x:v>
      </x:c>
      <x:c r="M77" s="159" t="n">
        <x:v>1</x:v>
      </x:c>
      <x:c r="N77" s="159" t="str">
        <x:v>王城金屑×210＋王宫律文×26＋王宫断冠片×1＋艾尔登王印×7＋黄金律法卢恩×140</x:v>
      </x:c>
      <x:c r="O77" s="159" t="n">
        <x:v>10200000000000</x:v>
      </x:c>
      <x:c r="P77" s="159" t="n">
        <x:v>122000000000</x:v>
      </x:c>
      <x:c r="Q77" s="102" t="str">
        <x:v>100%确定成功；不失败吞料</x:v>
      </x:c>
      <x:c r="R77" s="102" t="str">
        <x:v>角色绑定</x:v>
      </x:c>
      <x:c r="S77" s="102" t="str">
        <x:v>约3小时本大陆有效货币产出</x:v>
      </x:c>
      <x:c r="T77" s="103" t="str">
        <x:v>每个转生NPC承接连续5级；具体神力与数量后算</x:v>
      </x:c>
    </x:row>
    <x:row r="78">
      <x:c r="A78" s="104" t="str">
        <x:v>C10-REBIRTH-20</x:v>
      </x:c>
      <x:c r="B78" s="105" t="str">
        <x:v>C10</x:v>
      </x:c>
      <x:c r="C78" s="105" t="str">
        <x:v>王城罗德尔</x:v>
      </x:c>
      <x:c r="D78" s="105" t="str">
        <x:v>王律司转·埃伦</x:v>
      </x:c>
      <x:c r="E78" s="105" t="str">
        <x:v>转生</x:v>
      </x:c>
      <x:c r="F78" s="105" t="str">
        <x:v>主线/阶段成长</x:v>
      </x:c>
      <x:c r="G78" s="105" t="str">
        <x:v>第20转·艾尔登新生</x:v>
      </x:c>
      <x:c r="H78" s="105" t="str">
        <x:v>转生状态</x:v>
      </x:c>
      <x:c r="I78" s="105" t="str">
        <x:v>第19转</x:v>
      </x:c>
      <x:c r="J78" s="105" t="str">
        <x:v>王城金屑×270＋王宫律文×32＋王宫断冠片×2＋艾尔登王印×10＋黄金律法卢恩×180</x:v>
      </x:c>
      <x:c r="K78" s="160" t="n">
        <x:v>119000000000</x:v>
      </x:c>
      <x:c r="L78" s="160" t="n">
        <x:v>1420000000</x:v>
      </x:c>
      <x:c r="M78" s="160" t="n">
        <x:v>1</x:v>
      </x:c>
      <x:c r="N78" s="160" t="str">
        <x:v>王城金屑×270＋王宫律文×32＋王宫断冠片×2＋艾尔登王印×10＋黄金律法卢恩×180</x:v>
      </x:c>
      <x:c r="O78" s="160" t="n">
        <x:v>11900000000000</x:v>
      </x:c>
      <x:c r="P78" s="160" t="n">
        <x:v>142000000000</x:v>
      </x:c>
      <x:c r="Q78" s="105" t="str">
        <x:v>100%确定成功；不失败吞料</x:v>
      </x:c>
      <x:c r="R78" s="105" t="str">
        <x:v>角色绑定</x:v>
      </x:c>
      <x:c r="S78" s="105" t="str">
        <x:v>约3.5小时本大陆有效货币产出</x:v>
      </x:c>
      <x:c r="T78" s="106" t="str">
        <x:v>每个转生NPC承接连续5级；具体神力与数量后算</x:v>
      </x:c>
    </x:row>
  </x:sheetData>
  <x:mergeCells>
    <x:mergeCell ref="A1:T1"/>
    <x:mergeCell ref="A2:T2"/>
  </x:mergeCells>
  <x:conditionalFormatting sqref="O5:P78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{77A09722-01F7-067A-129C-CCB4B18E1548}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a9c9b7b6073429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A09722-01F7-067A-129C-CCB4B18E1548}">
            <x14:dataBar gradient="1">
              <x14:cfvo type="min"/>
              <x14:cfvo type="max"/>
              <x14:fillColor rgb="FF0F9ED5"/>
            </x14:dataBar>
          </x14:cfRule>
          <xm:sqref>O5:P78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28" hidden="0" customWidth="1"/>
    <x:col min="8" max="8" width="36" hidden="0" customWidth="1"/>
    <x:col min="9" max="9" width="14" hidden="0" customWidth="1"/>
    <x:col min="10" max="10" width="14" hidden="0" customWidth="1"/>
    <x:col min="11" max="11" width="10" hidden="0" customWidth="1"/>
    <x:col min="12" max="12" width="38" hidden="0" customWidth="1"/>
    <x:col min="13" max="13" width="16" hidden="0" customWidth="1"/>
    <x:col min="14" max="14" width="16" hidden="0" customWidth="1"/>
    <x:col min="15" max="15" width="14" hidden="0" customWidth="1"/>
    <x:col min="16" max="16" width="42" hidden="0" customWidth="1"/>
  </x:cols>
  <x:sheetData>
    <x:row r="1" ht="28" customHeight="1">
      <x:c r="A1" s="5" t="str">
        <x:v>追加成长系统与重复操作成本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4" t="str">
        <x:v>补齐贯穿称号、基础技能、高级技能、普通洗练、开光、项链幸运和255档神印的成本。建议次数仅用于经济预算，不是次数上限。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2" customHeight="1">
      <x:c r="A4" s="63" t="str">
        <x:v>系统ID</x:v>
      </x:c>
      <x:c r="B4" s="64" t="str">
        <x:v>大陆ID</x:v>
      </x:c>
      <x:c r="C4" s="64" t="str">
        <x:v>大陆</x:v>
      </x:c>
      <x:c r="D4" s="64" t="str">
        <x:v>NPC/入口</x:v>
      </x:c>
      <x:c r="E4" s="64" t="str">
        <x:v>类别</x:v>
      </x:c>
      <x:c r="F4" s="64" t="str">
        <x:v>需求层级</x:v>
      </x:c>
      <x:c r="G4" s="64" t="str">
        <x:v>产物/动作</x:v>
      </x:c>
      <x:c r="H4" s="64" t="str">
        <x:v>每次材料</x:v>
      </x:c>
      <x:c r="I4" s="64" t="str">
        <x:v>每次金币</x:v>
      </x:c>
      <x:c r="J4" s="64" t="str">
        <x:v>每次元宝</x:v>
      </x:c>
      <x:c r="K4" s="64" t="str">
        <x:v>建议次数</x:v>
      </x:c>
      <x:c r="L4" s="64" t="str">
        <x:v>阶段材料总量</x:v>
      </x:c>
      <x:c r="M4" s="64" t="str">
        <x:v>阶段金币总量</x:v>
      </x:c>
      <x:c r="N4" s="64" t="str">
        <x:v>阶段元宝总量</x:v>
      </x:c>
      <x:c r="O4" s="64" t="str">
        <x:v>计入产出需求</x:v>
      </x:c>
      <x:c r="P4" s="65" t="str">
        <x:v>备注</x:v>
      </x:c>
    </x:row>
    <x:row r="5">
      <x:c r="A5" s="98" t="str">
        <x:v>C01-LONGTITLE</x:v>
      </x:c>
      <x:c r="B5" s="99" t="str">
        <x:v>C01</x:v>
      </x:c>
      <x:c r="C5" s="99" t="str">
        <x:v>漂流群岛</x:v>
      </x:c>
      <x:c r="D5" s="99" t="str">
        <x:v>贯穿式称号晋升NPC</x:v>
      </x:c>
      <x:c r="E5" s="99" t="str">
        <x:v>贯穿称号</x:v>
      </x:c>
      <x:c r="F5" s="99" t="str">
        <x:v>主线/阶段成长</x:v>
      </x:c>
      <x:c r="G5" s="99" t="str">
        <x:v>黄金树下·初王（第一阶段10级合计）</x:v>
      </x:c>
      <x:c r="H5" s="99" t="str">
        <x:v>海蚀铁片×120＋漂流大陆印记×2</x:v>
      </x:c>
      <x:c r="I5" s="158" t="n">
        <x:v>629000000</x:v>
      </x:c>
      <x:c r="J5" s="158" t="n">
        <x:v>236500</x:v>
      </x:c>
      <x:c r="K5" s="158" t="n">
        <x:v>1</x:v>
      </x:c>
      <x:c r="L5" s="158" t="str">
        <x:v>海蚀铁片×120＋漂流大陆印记×2</x:v>
      </x:c>
      <x:c r="M5" s="158" t="n">
        <x:v>62900000000</x:v>
      </x:c>
      <x:c r="N5" s="158" t="n">
        <x:v>23650000</x:v>
      </x:c>
      <x:c r="O5" s="99" t="str">
        <x:v>是</x:v>
      </x:c>
      <x:c r="P5" s="100" t="str">
        <x:v>本阶段累计材料；全部来自当前大陆；不消耗失色；保留原金币元宝与灵符替代路径。</x:v>
      </x:c>
    </x:row>
    <x:row r="6">
      <x:c r="A6" s="101" t="str">
        <x:v>C02-LONGTITLE</x:v>
      </x:c>
      <x:c r="B6" s="102" t="str">
        <x:v>C02</x:v>
      </x:c>
      <x:c r="C6" s="102" t="str">
        <x:v>宁姆格福</x:v>
      </x:c>
      <x:c r="D6" s="102" t="str">
        <x:v>贯穿式称号晋升NPC</x:v>
      </x:c>
      <x:c r="E6" s="102" t="str">
        <x:v>贯穿称号</x:v>
      </x:c>
      <x:c r="F6" s="102" t="str">
        <x:v>主线/阶段成长</x:v>
      </x:c>
      <x:c r="G6" s="102" t="str">
        <x:v>贯穿式主线称号·第2大陆阶段</x:v>
      </x:c>
      <x:c r="H6" s="102" t="str">
        <x:v>风暴石片×180＋接肢王印×3</x:v>
      </x:c>
      <x:c r="I6" s="159" t="n">
        <x:v>4100000000</x:v>
      </x:c>
      <x:c r="J6" s="159" t="n">
        <x:v>26500000</x:v>
      </x:c>
      <x:c r="K6" s="159" t="n">
        <x:v>1</x:v>
      </x:c>
      <x:c r="L6" s="159" t="str">
        <x:v>风暴石片×180＋接肢王印×3</x:v>
      </x:c>
      <x:c r="M6" s="159" t="n">
        <x:v>410000000000</x:v>
      </x:c>
      <x:c r="N6" s="159" t="n">
        <x:v>2650000000</x:v>
      </x:c>
      <x:c r="O6" s="102" t="str">
        <x:v>是</x:v>
      </x:c>
      <x:c r="P6" s="103" t="str">
        <x:v>本阶段累计材料；全部来自当前大陆；不消耗失色；保留原金币元宝与灵符替代路径。</x:v>
      </x:c>
    </x:row>
    <x:row r="7">
      <x:c r="A7" s="101" t="str">
        <x:v>C03-LONGTITLE</x:v>
      </x:c>
      <x:c r="B7" s="102" t="str">
        <x:v>C03</x:v>
      </x:c>
      <x:c r="C7" s="102" t="str">
        <x:v>宁姆格福西域</x:v>
      </x:c>
      <x:c r="D7" s="102" t="str">
        <x:v>贯穿式称号晋升NPC</x:v>
      </x:c>
      <x:c r="E7" s="102" t="str">
        <x:v>贯穿称号</x:v>
      </x:c>
      <x:c r="F7" s="102" t="str">
        <x:v>主线/阶段成长</x:v>
      </x:c>
      <x:c r="G7" s="102" t="str">
        <x:v>贯穿式主线称号·第3大陆阶段</x:v>
      </x:c>
      <x:c r="H7" s="102" t="str">
        <x:v>风蚀铁片×260＋西境战旗印×4＋商队火漆×20</x:v>
      </x:c>
      <x:c r="I7" s="159" t="n">
        <x:v>7300000000</x:v>
      </x:c>
      <x:c r="J7" s="159" t="n">
        <x:v>52000000</x:v>
      </x:c>
      <x:c r="K7" s="159" t="n">
        <x:v>1</x:v>
      </x:c>
      <x:c r="L7" s="159" t="str">
        <x:v>风蚀铁片×260＋西境战旗印×4＋商队火漆×20</x:v>
      </x:c>
      <x:c r="M7" s="159" t="n">
        <x:v>730000000000</x:v>
      </x:c>
      <x:c r="N7" s="159" t="n">
        <x:v>5200000000</x:v>
      </x:c>
      <x:c r="O7" s="102" t="str">
        <x:v>是</x:v>
      </x:c>
      <x:c r="P7" s="103" t="str">
        <x:v>本阶段累计材料；全部来自当前大陆；不消耗失色；保留原金币元宝与灵符替代路径。</x:v>
      </x:c>
    </x:row>
    <x:row r="8">
      <x:c r="A8" s="101" t="str">
        <x:v>C04-LONGTITLE</x:v>
      </x:c>
      <x:c r="B8" s="102" t="str">
        <x:v>C04</x:v>
      </x:c>
      <x:c r="C8" s="102" t="str">
        <x:v>利耶尼亚海域</x:v>
      </x:c>
      <x:c r="D8" s="102" t="str">
        <x:v>贯穿式称号晋升NPC</x:v>
      </x:c>
      <x:c r="E8" s="102" t="str">
        <x:v>贯穿称号</x:v>
      </x:c>
      <x:c r="F8" s="102" t="str">
        <x:v>主线/阶段成长</x:v>
      </x:c>
      <x:c r="G8" s="102" t="str">
        <x:v>贯穿式主线称号·第4大陆阶段</x:v>
      </x:c>
      <x:c r="H8" s="102" t="str">
        <x:v>湖盐结晶×340＋沉湖王印×5＋沉船缆扣×12</x:v>
      </x:c>
      <x:c r="I8" s="159" t="n">
        <x:v>9200000000</x:v>
      </x:c>
      <x:c r="J8" s="159" t="n">
        <x:v>80500000</x:v>
      </x:c>
      <x:c r="K8" s="159" t="n">
        <x:v>1</x:v>
      </x:c>
      <x:c r="L8" s="159" t="str">
        <x:v>湖盐结晶×340＋沉湖王印×5＋沉船缆扣×12</x:v>
      </x:c>
      <x:c r="M8" s="159" t="n">
        <x:v>920000000000</x:v>
      </x:c>
      <x:c r="N8" s="159" t="n">
        <x:v>8050000000</x:v>
      </x:c>
      <x:c r="O8" s="102" t="str">
        <x:v>是</x:v>
      </x:c>
      <x:c r="P8" s="103" t="str">
        <x:v>本阶段累计材料；全部来自当前大陆；不消耗失色；保留原金币元宝与灵符替代路径。</x:v>
      </x:c>
    </x:row>
    <x:row r="9">
      <x:c r="A9" s="101" t="str">
        <x:v>C05-LONGTITLE</x:v>
      </x:c>
      <x:c r="B9" s="102" t="str">
        <x:v>C05</x:v>
      </x:c>
      <x:c r="C9" s="102" t="str">
        <x:v>湖之利耶尼亚</x:v>
      </x:c>
      <x:c r="D9" s="102" t="str">
        <x:v>贯穿式称号晋升NPC</x:v>
      </x:c>
      <x:c r="E9" s="102" t="str">
        <x:v>贯穿称号</x:v>
      </x:c>
      <x:c r="F9" s="102" t="str">
        <x:v>主线/阶段成长</x:v>
      </x:c>
      <x:c r="G9" s="102" t="str">
        <x:v>贯穿式主线称号·第5大陆阶段</x:v>
      </x:c>
      <x:c r="H9" s="102" t="str">
        <x:v>辉石碎晶×450＋满月王室印×6＋学院封蜡×24</x:v>
      </x:c>
      <x:c r="I9" s="159" t="n">
        <x:v>15500000000</x:v>
      </x:c>
      <x:c r="J9" s="159" t="n">
        <x:v>171000000</x:v>
      </x:c>
      <x:c r="K9" s="159" t="n">
        <x:v>1</x:v>
      </x:c>
      <x:c r="L9" s="159" t="str">
        <x:v>辉石碎晶×450＋满月王室印×6＋学院封蜡×24</x:v>
      </x:c>
      <x:c r="M9" s="159" t="n">
        <x:v>1550000000000</x:v>
      </x:c>
      <x:c r="N9" s="159" t="n">
        <x:v>17100000000</x:v>
      </x:c>
      <x:c r="O9" s="102" t="str">
        <x:v>是</x:v>
      </x:c>
      <x:c r="P9" s="103" t="str">
        <x:v>本阶段累计材料；全部来自当前大陆；不消耗失色；保留原金币元宝与灵符替代路径。</x:v>
      </x:c>
    </x:row>
    <x:row r="10">
      <x:c r="A10" s="101" t="str">
        <x:v>C06-LONGTITLE</x:v>
      </x:c>
      <x:c r="B10" s="102" t="str">
        <x:v>C06</x:v>
      </x:c>
      <x:c r="C10" s="102" t="str">
        <x:v>盖利德</x:v>
      </x:c>
      <x:c r="D10" s="102" t="str">
        <x:v>贯穿式称号晋升NPC</x:v>
      </x:c>
      <x:c r="E10" s="102" t="str">
        <x:v>贯穿称号</x:v>
      </x:c>
      <x:c r="F10" s="102" t="str">
        <x:v>主线/阶段成长</x:v>
      </x:c>
      <x:c r="G10" s="102" t="str">
        <x:v>贯穿式主线称号·第6大陆阶段</x:v>
      </x:c>
      <x:c r="H10" s="102" t="str">
        <x:v>猩红矿渣×580＋红狮战印×7＋净火腺囊×18</x:v>
      </x:c>
      <x:c r="I10" s="159" t="n">
        <x:v>22500000000</x:v>
      </x:c>
      <x:c r="J10" s="159" t="n">
        <x:v>186000000</x:v>
      </x:c>
      <x:c r="K10" s="159" t="n">
        <x:v>1</x:v>
      </x:c>
      <x:c r="L10" s="159" t="str">
        <x:v>猩红矿渣×580＋红狮战印×7＋净火腺囊×18</x:v>
      </x:c>
      <x:c r="M10" s="159" t="n">
        <x:v>2250000000000</x:v>
      </x:c>
      <x:c r="N10" s="159" t="n">
        <x:v>18600000000</x:v>
      </x:c>
      <x:c r="O10" s="102" t="str">
        <x:v>是</x:v>
      </x:c>
      <x:c r="P10" s="103" t="str">
        <x:v>本阶段累计材料；全部来自当前大陆；不消耗失色；保留原金币元宝与灵符替代路径。</x:v>
      </x:c>
    </x:row>
    <x:row r="11">
      <x:c r="A11" s="101" t="str">
        <x:v>C07-LONGTITLE</x:v>
      </x:c>
      <x:c r="B11" s="102" t="str">
        <x:v>C07</x:v>
      </x:c>
      <x:c r="C11" s="102" t="str">
        <x:v>化圣雪原</x:v>
      </x:c>
      <x:c r="D11" s="102" t="str">
        <x:v>贯穿式称号晋升NPC</x:v>
      </x:c>
      <x:c r="E11" s="102" t="str">
        <x:v>贯穿称号</x:v>
      </x:c>
      <x:c r="F11" s="102" t="str">
        <x:v>主线/阶段成长</x:v>
      </x:c>
      <x:c r="G11" s="102" t="str">
        <x:v>贯穿式主线称号·第7大陆阶段</x:v>
      </x:c>
      <x:c r="H11" s="102" t="str">
        <x:v>冻晶尘×720＋圣雪誓印×8＋冻原银角×30</x:v>
      </x:c>
      <x:c r="I11" s="159" t="n">
        <x:v>37500000000</x:v>
      </x:c>
      <x:c r="J11" s="159" t="n">
        <x:v>368000000</x:v>
      </x:c>
      <x:c r="K11" s="159" t="n">
        <x:v>1</x:v>
      </x:c>
      <x:c r="L11" s="159" t="str">
        <x:v>冻晶尘×720＋圣雪誓印×8＋冻原银角×30</x:v>
      </x:c>
      <x:c r="M11" s="159" t="n">
        <x:v>3750000000000</x:v>
      </x:c>
      <x:c r="N11" s="159" t="n">
        <x:v>36800000000</x:v>
      </x:c>
      <x:c r="O11" s="102" t="str">
        <x:v>是</x:v>
      </x:c>
      <x:c r="P11" s="103" t="str">
        <x:v>本阶段累计材料；全部来自当前大陆；不消耗失色；保留原金币元宝与灵符替代路径。</x:v>
      </x:c>
    </x:row>
    <x:row r="12">
      <x:c r="A12" s="101" t="str">
        <x:v>C08-LONGTITLE</x:v>
      </x:c>
      <x:c r="B12" s="102" t="str">
        <x:v>C08</x:v>
      </x:c>
      <x:c r="C12" s="102" t="str">
        <x:v>巨人山顶</x:v>
      </x:c>
      <x:c r="D12" s="102" t="str">
        <x:v>贯穿式称号晋升NPC</x:v>
      </x:c>
      <x:c r="E12" s="102" t="str">
        <x:v>贯穿称号</x:v>
      </x:c>
      <x:c r="F12" s="102" t="str">
        <x:v>主线/阶段成长</x:v>
      </x:c>
      <x:c r="G12" s="102" t="str">
        <x:v>贯穿式主线称号·第8大陆阶段</x:v>
      </x:c>
      <x:c r="H12" s="102" t="str">
        <x:v>霜脊铁×880＋巨人火印×9＋裂峰号角片×24</x:v>
      </x:c>
      <x:c r="I12" s="159" t="n">
        <x:v>45500000000</x:v>
      </x:c>
      <x:c r="J12" s="159" t="n">
        <x:v>389000000</x:v>
      </x:c>
      <x:c r="K12" s="159" t="n">
        <x:v>1</x:v>
      </x:c>
      <x:c r="L12" s="159" t="str">
        <x:v>霜脊铁×880＋巨人火印×9＋裂峰号角片×24</x:v>
      </x:c>
      <x:c r="M12" s="159" t="n">
        <x:v>4550000000000</x:v>
      </x:c>
      <x:c r="N12" s="159" t="n">
        <x:v>38900000000</x:v>
      </x:c>
      <x:c r="O12" s="102" t="str">
        <x:v>是</x:v>
      </x:c>
      <x:c r="P12" s="103" t="str">
        <x:v>本阶段累计材料；全部来自当前大陆；不消耗失色；保留原金币元宝与灵符替代路径。</x:v>
      </x:c>
    </x:row>
    <x:row r="13">
      <x:c r="A13" s="101" t="str">
        <x:v>C09-LONGTITLE</x:v>
      </x:c>
      <x:c r="B13" s="102" t="str">
        <x:v>C09</x:v>
      </x:c>
      <x:c r="C13" s="102" t="str">
        <x:v>亚坛高原</x:v>
      </x:c>
      <x:c r="D13" s="102" t="str">
        <x:v>贯穿式称号晋升NPC</x:v>
      </x:c>
      <x:c r="E13" s="102" t="str">
        <x:v>贯穿称号</x:v>
      </x:c>
      <x:c r="F13" s="102" t="str">
        <x:v>主线/阶段成长</x:v>
      </x:c>
      <x:c r="G13" s="102" t="str">
        <x:v>贯穿式主线称号·第9大陆阶段</x:v>
      </x:c>
      <x:c r="H13" s="102" t="str">
        <x:v>黄金叶脉×1050＋黄金律印×10＋金叶驿票×50＋矿脉灯芯×20</x:v>
      </x:c>
      <x:c r="I13" s="159" t="n">
        <x:v>70500000000</x:v>
      </x:c>
      <x:c r="J13" s="159" t="n">
        <x:v>977000000</x:v>
      </x:c>
      <x:c r="K13" s="159" t="n">
        <x:v>1</x:v>
      </x:c>
      <x:c r="L13" s="159" t="str">
        <x:v>黄金叶脉×1050＋黄金律印×10＋金叶驿票×50＋矿脉灯芯×20</x:v>
      </x:c>
      <x:c r="M13" s="159" t="n">
        <x:v>7050000000000</x:v>
      </x:c>
      <x:c r="N13" s="159" t="n">
        <x:v>97700000000</x:v>
      </x:c>
      <x:c r="O13" s="102" t="str">
        <x:v>是</x:v>
      </x:c>
      <x:c r="P13" s="103" t="str">
        <x:v>本阶段累计材料；全部来自当前大陆；不消耗失色；保留原金币元宝与灵符替代路径。</x:v>
      </x:c>
    </x:row>
    <x:row r="14">
      <x:c r="A14" s="101" t="str">
        <x:v>C10-LONGTITLE</x:v>
      </x:c>
      <x:c r="B14" s="102" t="str">
        <x:v>C10</x:v>
      </x:c>
      <x:c r="C14" s="102" t="str">
        <x:v>王城罗德尔</x:v>
      </x:c>
      <x:c r="D14" s="102" t="str">
        <x:v>贯穿式称号晋升NPC</x:v>
      </x:c>
      <x:c r="E14" s="102" t="str">
        <x:v>贯穿称号</x:v>
      </x:c>
      <x:c r="F14" s="102" t="str">
        <x:v>主线/阶段成长</x:v>
      </x:c>
      <x:c r="G14" s="102" t="str">
        <x:v>贯穿式主线称号·第10大陆阶段</x:v>
      </x:c>
      <x:c r="H14" s="102" t="str">
        <x:v>王城金屑×1250＋艾尔登王印×12＋旧渠阀芯×30</x:v>
      </x:c>
      <x:c r="I14" s="159" t="n">
        <x:v>85000000000</x:v>
      </x:c>
      <x:c r="J14" s="159" t="n">
        <x:v>1010000000</x:v>
      </x:c>
      <x:c r="K14" s="159" t="n">
        <x:v>1</x:v>
      </x:c>
      <x:c r="L14" s="159" t="str">
        <x:v>王城金屑×1250＋艾尔登王印×12＋旧渠阀芯×30</x:v>
      </x:c>
      <x:c r="M14" s="159" t="n">
        <x:v>8500000000000</x:v>
      </x:c>
      <x:c r="N14" s="159" t="n">
        <x:v>101000000000</x:v>
      </x:c>
      <x:c r="O14" s="102" t="str">
        <x:v>是</x:v>
      </x:c>
      <x:c r="P14" s="103" t="str">
        <x:v>本阶段累计材料；全部来自当前大陆；不消耗失色；保留原金币元宝与灵符替代路径。</x:v>
      </x:c>
    </x:row>
    <x:row r="15">
      <x:c r="A15" s="101" t="str">
        <x:v>C01-SKILL-01</x:v>
      </x:c>
      <x:c r="B15" s="102" t="str">
        <x:v>C01</x:v>
      </x:c>
      <x:c r="C15" s="102" t="str">
        <x:v>漂流群岛</x:v>
      </x:c>
      <x:c r="D15" s="102" t="str">
        <x:v>技能强化页面</x:v>
      </x:c>
      <x:c r="E15" s="102" t="str">
        <x:v>基础技能强化</x:v>
      </x:c>
      <x:c r="F15" s="102" t="str">
        <x:v>主线/阶段成长</x:v>
      </x:c>
      <x:c r="G15" s="102" t="str">
        <x:v>任一基础技能强化至LV1</x:v>
      </x:c>
      <x:c r="H15" s="102" t="str">
        <x:v>技能残页×10</x:v>
      </x:c>
      <x:c r="I15" s="159" t="n">
        <x:v>0</x:v>
      </x:c>
      <x:c r="J15" s="159" t="n">
        <x:v>1000000</x:v>
      </x:c>
      <x:c r="K15" s="159" t="n">
        <x:v>1</x:v>
      </x:c>
      <x:c r="L15" s="159" t="str">
        <x:v>技能残页×10</x:v>
      </x:c>
      <x:c r="M15" s="159" t="n">
        <x:v>0</x:v>
      </x:c>
      <x:c r="N15" s="159" t="n">
        <x:v>100000000</x:v>
      </x:c>
      <x:c r="O15" s="102" t="str">
        <x:v>是</x:v>
      </x:c>
      <x:c r="P15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16">
      <x:c r="A16" s="101" t="str">
        <x:v>C01-SKILL-02</x:v>
      </x:c>
      <x:c r="B16" s="102" t="str">
        <x:v>C01</x:v>
      </x:c>
      <x:c r="C16" s="102" t="str">
        <x:v>漂流群岛</x:v>
      </x:c>
      <x:c r="D16" s="102" t="str">
        <x:v>技能强化页面</x:v>
      </x:c>
      <x:c r="E16" s="102" t="str">
        <x:v>基础技能强化</x:v>
      </x:c>
      <x:c r="F16" s="102" t="str">
        <x:v>主线/阶段成长</x:v>
      </x:c>
      <x:c r="G16" s="102" t="str">
        <x:v>任一基础技能强化至LV2</x:v>
      </x:c>
      <x:c r="H16" s="102" t="str">
        <x:v>技能残页×20</x:v>
      </x:c>
      <x:c r="I16" s="159" t="n">
        <x:v>0</x:v>
      </x:c>
      <x:c r="J16" s="159" t="n">
        <x:v>2000000</x:v>
      </x:c>
      <x:c r="K16" s="159" t="n">
        <x:v>1</x:v>
      </x:c>
      <x:c r="L16" s="159" t="str">
        <x:v>技能残页×20</x:v>
      </x:c>
      <x:c r="M16" s="159" t="n">
        <x:v>0</x:v>
      </x:c>
      <x:c r="N16" s="159" t="n">
        <x:v>200000000</x:v>
      </x:c>
      <x:c r="O16" s="102" t="str">
        <x:v>是</x:v>
      </x:c>
      <x:c r="P16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17">
      <x:c r="A17" s="101" t="str">
        <x:v>C01-SKILL-03</x:v>
      </x:c>
      <x:c r="B17" s="102" t="str">
        <x:v>C01</x:v>
      </x:c>
      <x:c r="C17" s="102" t="str">
        <x:v>漂流群岛</x:v>
      </x:c>
      <x:c r="D17" s="102" t="str">
        <x:v>技能强化页面</x:v>
      </x:c>
      <x:c r="E17" s="102" t="str">
        <x:v>基础技能强化</x:v>
      </x:c>
      <x:c r="F17" s="102" t="str">
        <x:v>主线/阶段成长</x:v>
      </x:c>
      <x:c r="G17" s="102" t="str">
        <x:v>任一基础技能强化至LV3</x:v>
      </x:c>
      <x:c r="H17" s="102" t="str">
        <x:v>技能残页×30</x:v>
      </x:c>
      <x:c r="I17" s="159" t="n">
        <x:v>0</x:v>
      </x:c>
      <x:c r="J17" s="159" t="n">
        <x:v>3000000</x:v>
      </x:c>
      <x:c r="K17" s="159" t="n">
        <x:v>1</x:v>
      </x:c>
      <x:c r="L17" s="159" t="str">
        <x:v>技能残页×30</x:v>
      </x:c>
      <x:c r="M17" s="159" t="n">
        <x:v>0</x:v>
      </x:c>
      <x:c r="N17" s="159" t="n">
        <x:v>300000000</x:v>
      </x:c>
      <x:c r="O17" s="102" t="str">
        <x:v>是</x:v>
      </x:c>
      <x:c r="P17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18">
      <x:c r="A18" s="101" t="str">
        <x:v>C01-SKILL-04</x:v>
      </x:c>
      <x:c r="B18" s="102" t="str">
        <x:v>C01</x:v>
      </x:c>
      <x:c r="C18" s="102" t="str">
        <x:v>漂流群岛</x:v>
      </x:c>
      <x:c r="D18" s="102" t="str">
        <x:v>技能强化页面</x:v>
      </x:c>
      <x:c r="E18" s="102" t="str">
        <x:v>基础技能强化</x:v>
      </x:c>
      <x:c r="F18" s="102" t="str">
        <x:v>主线/阶段成长</x:v>
      </x:c>
      <x:c r="G18" s="102" t="str">
        <x:v>任一基础技能强化至LV4</x:v>
      </x:c>
      <x:c r="H18" s="102" t="str">
        <x:v>技能残页×40</x:v>
      </x:c>
      <x:c r="I18" s="159" t="n">
        <x:v>0</x:v>
      </x:c>
      <x:c r="J18" s="159" t="n">
        <x:v>4000000</x:v>
      </x:c>
      <x:c r="K18" s="159" t="n">
        <x:v>1</x:v>
      </x:c>
      <x:c r="L18" s="159" t="str">
        <x:v>技能残页×40</x:v>
      </x:c>
      <x:c r="M18" s="159" t="n">
        <x:v>0</x:v>
      </x:c>
      <x:c r="N18" s="159" t="n">
        <x:v>400000000</x:v>
      </x:c>
      <x:c r="O18" s="102" t="str">
        <x:v>是</x:v>
      </x:c>
      <x:c r="P18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19">
      <x:c r="A19" s="101" t="str">
        <x:v>C01-SKILL-05</x:v>
      </x:c>
      <x:c r="B19" s="102" t="str">
        <x:v>C01</x:v>
      </x:c>
      <x:c r="C19" s="102" t="str">
        <x:v>漂流群岛</x:v>
      </x:c>
      <x:c r="D19" s="102" t="str">
        <x:v>技能强化页面</x:v>
      </x:c>
      <x:c r="E19" s="102" t="str">
        <x:v>基础技能强化</x:v>
      </x:c>
      <x:c r="F19" s="102" t="str">
        <x:v>主线/阶段成长</x:v>
      </x:c>
      <x:c r="G19" s="102" t="str">
        <x:v>任一基础技能强化至LV5</x:v>
      </x:c>
      <x:c r="H19" s="102" t="str">
        <x:v>技能残页×50</x:v>
      </x:c>
      <x:c r="I19" s="159" t="n">
        <x:v>0</x:v>
      </x:c>
      <x:c r="J19" s="159" t="n">
        <x:v>5000000</x:v>
      </x:c>
      <x:c r="K19" s="159" t="n">
        <x:v>1</x:v>
      </x:c>
      <x:c r="L19" s="159" t="str">
        <x:v>技能残页×50</x:v>
      </x:c>
      <x:c r="M19" s="159" t="n">
        <x:v>0</x:v>
      </x:c>
      <x:c r="N19" s="159" t="n">
        <x:v>500000000</x:v>
      </x:c>
      <x:c r="O19" s="102" t="str">
        <x:v>是</x:v>
      </x:c>
      <x:c r="P19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20">
      <x:c r="A20" s="101" t="str">
        <x:v>C01-SKILL-06</x:v>
      </x:c>
      <x:c r="B20" s="102" t="str">
        <x:v>C01</x:v>
      </x:c>
      <x:c r="C20" s="102" t="str">
        <x:v>漂流群岛</x:v>
      </x:c>
      <x:c r="D20" s="102" t="str">
        <x:v>技能强化页面</x:v>
      </x:c>
      <x:c r="E20" s="102" t="str">
        <x:v>基础技能强化</x:v>
      </x:c>
      <x:c r="F20" s="102" t="str">
        <x:v>主线/阶段成长</x:v>
      </x:c>
      <x:c r="G20" s="102" t="str">
        <x:v>任一基础技能强化至LV6</x:v>
      </x:c>
      <x:c r="H20" s="102" t="str">
        <x:v>技能残页×60</x:v>
      </x:c>
      <x:c r="I20" s="159" t="n">
        <x:v>0</x:v>
      </x:c>
      <x:c r="J20" s="159" t="n">
        <x:v>6000000</x:v>
      </x:c>
      <x:c r="K20" s="159" t="n">
        <x:v>1</x:v>
      </x:c>
      <x:c r="L20" s="159" t="str">
        <x:v>技能残页×60</x:v>
      </x:c>
      <x:c r="M20" s="159" t="n">
        <x:v>0</x:v>
      </x:c>
      <x:c r="N20" s="159" t="n">
        <x:v>600000000</x:v>
      </x:c>
      <x:c r="O20" s="102" t="str">
        <x:v>是</x:v>
      </x:c>
      <x:c r="P20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21">
      <x:c r="A21" s="101" t="str">
        <x:v>C01-SKILL-07</x:v>
      </x:c>
      <x:c r="B21" s="102" t="str">
        <x:v>C01</x:v>
      </x:c>
      <x:c r="C21" s="102" t="str">
        <x:v>漂流群岛</x:v>
      </x:c>
      <x:c r="D21" s="102" t="str">
        <x:v>技能强化页面</x:v>
      </x:c>
      <x:c r="E21" s="102" t="str">
        <x:v>基础技能强化</x:v>
      </x:c>
      <x:c r="F21" s="102" t="str">
        <x:v>主线/阶段成长</x:v>
      </x:c>
      <x:c r="G21" s="102" t="str">
        <x:v>任一基础技能强化至LV7</x:v>
      </x:c>
      <x:c r="H21" s="102" t="str">
        <x:v>技能残页×70</x:v>
      </x:c>
      <x:c r="I21" s="159" t="n">
        <x:v>0</x:v>
      </x:c>
      <x:c r="J21" s="159" t="n">
        <x:v>7000000</x:v>
      </x:c>
      <x:c r="K21" s="159" t="n">
        <x:v>1</x:v>
      </x:c>
      <x:c r="L21" s="159" t="str">
        <x:v>技能残页×70</x:v>
      </x:c>
      <x:c r="M21" s="159" t="n">
        <x:v>0</x:v>
      </x:c>
      <x:c r="N21" s="159" t="n">
        <x:v>700000000</x:v>
      </x:c>
      <x:c r="O21" s="102" t="str">
        <x:v>是</x:v>
      </x:c>
      <x:c r="P21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22">
      <x:c r="A22" s="101" t="str">
        <x:v>C01-SKILL-08</x:v>
      </x:c>
      <x:c r="B22" s="102" t="str">
        <x:v>C01</x:v>
      </x:c>
      <x:c r="C22" s="102" t="str">
        <x:v>漂流群岛</x:v>
      </x:c>
      <x:c r="D22" s="102" t="str">
        <x:v>技能强化页面</x:v>
      </x:c>
      <x:c r="E22" s="102" t="str">
        <x:v>基础技能强化</x:v>
      </x:c>
      <x:c r="F22" s="102" t="str">
        <x:v>主线/阶段成长</x:v>
      </x:c>
      <x:c r="G22" s="102" t="str">
        <x:v>任一基础技能强化至LV8</x:v>
      </x:c>
      <x:c r="H22" s="102" t="str">
        <x:v>技能残页×80</x:v>
      </x:c>
      <x:c r="I22" s="159" t="n">
        <x:v>0</x:v>
      </x:c>
      <x:c r="J22" s="159" t="n">
        <x:v>8000000</x:v>
      </x:c>
      <x:c r="K22" s="159" t="n">
        <x:v>1</x:v>
      </x:c>
      <x:c r="L22" s="159" t="str">
        <x:v>技能残页×80</x:v>
      </x:c>
      <x:c r="M22" s="159" t="n">
        <x:v>0</x:v>
      </x:c>
      <x:c r="N22" s="159" t="n">
        <x:v>800000000</x:v>
      </x:c>
      <x:c r="O22" s="102" t="str">
        <x:v>是</x:v>
      </x:c>
      <x:c r="P22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23">
      <x:c r="A23" s="101" t="str">
        <x:v>C01-SKILL-09</x:v>
      </x:c>
      <x:c r="B23" s="102" t="str">
        <x:v>C01</x:v>
      </x:c>
      <x:c r="C23" s="102" t="str">
        <x:v>漂流群岛</x:v>
      </x:c>
      <x:c r="D23" s="102" t="str">
        <x:v>技能强化页面</x:v>
      </x:c>
      <x:c r="E23" s="102" t="str">
        <x:v>基础技能强化</x:v>
      </x:c>
      <x:c r="F23" s="102" t="str">
        <x:v>主线/阶段成长</x:v>
      </x:c>
      <x:c r="G23" s="102" t="str">
        <x:v>任一基础技能强化至LV9</x:v>
      </x:c>
      <x:c r="H23" s="102" t="str">
        <x:v>技能残页×90</x:v>
      </x:c>
      <x:c r="I23" s="159" t="n">
        <x:v>0</x:v>
      </x:c>
      <x:c r="J23" s="159" t="n">
        <x:v>9000000</x:v>
      </x:c>
      <x:c r="K23" s="159" t="n">
        <x:v>1</x:v>
      </x:c>
      <x:c r="L23" s="159" t="str">
        <x:v>技能残页×90</x:v>
      </x:c>
      <x:c r="M23" s="159" t="n">
        <x:v>0</x:v>
      </x:c>
      <x:c r="N23" s="159" t="n">
        <x:v>900000000</x:v>
      </x:c>
      <x:c r="O23" s="102" t="str">
        <x:v>是</x:v>
      </x:c>
      <x:c r="P23" s="103" t="str">
        <x:v>沿用既有1—9级曲线；单个技能合计技能残页450、元宝45万 本表目前是1项技能预算；人物多技能费用需按实际技能选择数汇总，不声称六项都免费或都已计入。</x:v>
      </x:c>
    </x:row>
    <x:row r="24">
      <x:c r="A24" s="101" t="str">
        <x:v>C02-ADVSKILL-01</x:v>
      </x:c>
      <x:c r="B24" s="102" t="str">
        <x:v>C02</x:v>
      </x:c>
      <x:c r="C24" s="102" t="str">
        <x:v>宁姆格福</x:v>
      </x:c>
      <x:c r="D24" s="102" t="str">
        <x:v>高级技能领悟页面</x:v>
      </x:c>
      <x:c r="E24" s="102" t="str">
        <x:v>高级技能领悟</x:v>
      </x:c>
      <x:c r="F24" s="102" t="str">
        <x:v>深度养成</x:v>
      </x:c>
      <x:c r="G24" s="102" t="str">
        <x:v>基本剑术→开天斩</x:v>
      </x:c>
      <x:c r="H24" s="102" t="str">
        <x:v>宁姆格福誓页×30</x:v>
      </x:c>
      <x:c r="I24" s="159" t="n">
        <x:v>500000000</x:v>
      </x:c>
      <x:c r="J24" s="159" t="n">
        <x:v>50000000</x:v>
      </x:c>
      <x:c r="K24" s="159" t="n">
        <x:v>1</x:v>
      </x:c>
      <x:c r="L24" s="159" t="str">
        <x:v>宁姆格福誓页×30</x:v>
      </x:c>
      <x:c r="M24" s="159" t="n">
        <x:v>50000000000</x:v>
      </x:c>
      <x:c r="N24" s="159" t="n">
        <x:v>5000000000</x:v>
      </x:c>
      <x:c r="O24" s="102" t="str">
        <x:v>是</x:v>
      </x:c>
      <x:c r="P24" s="103" t="str">
        <x:v>9级基础技能保留；领悟100%成功</x:v>
      </x:c>
    </x:row>
    <x:row r="25">
      <x:c r="A25" s="101" t="str">
        <x:v>C02-ADVSKILL-02</x:v>
      </x:c>
      <x:c r="B25" s="102" t="str">
        <x:v>C02</x:v>
      </x:c>
      <x:c r="C25" s="102" t="str">
        <x:v>宁姆格福</x:v>
      </x:c>
      <x:c r="D25" s="102" t="str">
        <x:v>高级技能领悟页面</x:v>
      </x:c>
      <x:c r="E25" s="102" t="str">
        <x:v>高级技能领悟</x:v>
      </x:c>
      <x:c r="F25" s="102" t="str">
        <x:v>深度养成</x:v>
      </x:c>
      <x:c r="G25" s="102" t="str">
        <x:v>攻杀剑术→逐日剑法</x:v>
      </x:c>
      <x:c r="H25" s="102" t="str">
        <x:v>宁姆格福誓页×30</x:v>
      </x:c>
      <x:c r="I25" s="159" t="n">
        <x:v>500000000</x:v>
      </x:c>
      <x:c r="J25" s="159" t="n">
        <x:v>50000000</x:v>
      </x:c>
      <x:c r="K25" s="159" t="n">
        <x:v>1</x:v>
      </x:c>
      <x:c r="L25" s="159" t="str">
        <x:v>宁姆格福誓页×30</x:v>
      </x:c>
      <x:c r="M25" s="159" t="n">
        <x:v>50000000000</x:v>
      </x:c>
      <x:c r="N25" s="159" t="n">
        <x:v>5000000000</x:v>
      </x:c>
      <x:c r="O25" s="102" t="str">
        <x:v>是</x:v>
      </x:c>
      <x:c r="P25" s="103" t="str">
        <x:v>9级基础技能保留；领悟100%成功</x:v>
      </x:c>
    </x:row>
    <x:row r="26">
      <x:c r="A26" s="101" t="str">
        <x:v>C02-ADVSKILL-03</x:v>
      </x:c>
      <x:c r="B26" s="102" t="str">
        <x:v>C02</x:v>
      </x:c>
      <x:c r="C26" s="102" t="str">
        <x:v>宁姆格福</x:v>
      </x:c>
      <x:c r="D26" s="102" t="str">
        <x:v>高级技能领悟页面</x:v>
      </x:c>
      <x:c r="E26" s="102" t="str">
        <x:v>高级技能领悟</x:v>
      </x:c>
      <x:c r="F26" s="102" t="str">
        <x:v>深度养成</x:v>
      </x:c>
      <x:c r="G26" s="102" t="str">
        <x:v>半月弯刀→抱月刀</x:v>
      </x:c>
      <x:c r="H26" s="102" t="str">
        <x:v>宁姆格福誓页×30</x:v>
      </x:c>
      <x:c r="I26" s="159" t="n">
        <x:v>500000000</x:v>
      </x:c>
      <x:c r="J26" s="159" t="n">
        <x:v>50000000</x:v>
      </x:c>
      <x:c r="K26" s="159" t="n">
        <x:v>1</x:v>
      </x:c>
      <x:c r="L26" s="159" t="str">
        <x:v>宁姆格福誓页×30</x:v>
      </x:c>
      <x:c r="M26" s="159" t="n">
        <x:v>50000000000</x:v>
      </x:c>
      <x:c r="N26" s="159" t="n">
        <x:v>5000000000</x:v>
      </x:c>
      <x:c r="O26" s="102" t="str">
        <x:v>是</x:v>
      </x:c>
      <x:c r="P26" s="103" t="str">
        <x:v>9级基础技能保留；领悟100%成功</x:v>
      </x:c>
    </x:row>
    <x:row r="27">
      <x:c r="A27" s="101" t="str">
        <x:v>C02-ADVSKILL-04</x:v>
      </x:c>
      <x:c r="B27" s="102" t="str">
        <x:v>C02</x:v>
      </x:c>
      <x:c r="C27" s="102" t="str">
        <x:v>宁姆格福</x:v>
      </x:c>
      <x:c r="D27" s="102" t="str">
        <x:v>高级技能领悟页面</x:v>
      </x:c>
      <x:c r="E27" s="102" t="str">
        <x:v>高级技能领悟</x:v>
      </x:c>
      <x:c r="F27" s="102" t="str">
        <x:v>深度养成</x:v>
      </x:c>
      <x:c r="G27" s="102" t="str">
        <x:v>野蛮冲撞→十步一杀</x:v>
      </x:c>
      <x:c r="H27" s="102" t="str">
        <x:v>宁姆格福誓页×30</x:v>
      </x:c>
      <x:c r="I27" s="159" t="n">
        <x:v>500000000</x:v>
      </x:c>
      <x:c r="J27" s="159" t="n">
        <x:v>50000000</x:v>
      </x:c>
      <x:c r="K27" s="159" t="n">
        <x:v>1</x:v>
      </x:c>
      <x:c r="L27" s="159" t="str">
        <x:v>宁姆格福誓页×30</x:v>
      </x:c>
      <x:c r="M27" s="159" t="n">
        <x:v>50000000000</x:v>
      </x:c>
      <x:c r="N27" s="159" t="n">
        <x:v>5000000000</x:v>
      </x:c>
      <x:c r="O27" s="102" t="str">
        <x:v>是</x:v>
      </x:c>
      <x:c r="P27" s="103" t="str">
        <x:v>9级基础技能保留；领悟100%成功</x:v>
      </x:c>
    </x:row>
    <x:row r="28">
      <x:c r="A28" s="101" t="str">
        <x:v>C02-ADVSKILL-05</x:v>
      </x:c>
      <x:c r="B28" s="102" t="str">
        <x:v>C02</x:v>
      </x:c>
      <x:c r="C28" s="102" t="str">
        <x:v>宁姆格福</x:v>
      </x:c>
      <x:c r="D28" s="102" t="str">
        <x:v>高级技能领悟页面</x:v>
      </x:c>
      <x:c r="E28" s="102" t="str">
        <x:v>高级技能领悟</x:v>
      </x:c>
      <x:c r="F28" s="102" t="str">
        <x:v>深度养成</x:v>
      </x:c>
      <x:c r="G28" s="102" t="str">
        <x:v>护体神盾→魔法盾</x:v>
      </x:c>
      <x:c r="H28" s="102" t="str">
        <x:v>宁姆格福誓页×30</x:v>
      </x:c>
      <x:c r="I28" s="159" t="n">
        <x:v>500000000</x:v>
      </x:c>
      <x:c r="J28" s="159" t="n">
        <x:v>50000000</x:v>
      </x:c>
      <x:c r="K28" s="159" t="n">
        <x:v>1</x:v>
      </x:c>
      <x:c r="L28" s="159" t="str">
        <x:v>宁姆格福誓页×30</x:v>
      </x:c>
      <x:c r="M28" s="159" t="n">
        <x:v>50000000000</x:v>
      </x:c>
      <x:c r="N28" s="159" t="n">
        <x:v>5000000000</x:v>
      </x:c>
      <x:c r="O28" s="102" t="str">
        <x:v>是</x:v>
      </x:c>
      <x:c r="P28" s="103" t="str">
        <x:v>9级基础技能保留；领悟100%成功</x:v>
      </x:c>
    </x:row>
    <x:row r="29">
      <x:c r="A29" s="101" t="str">
        <x:v>C02-ADVSKILL-06</x:v>
      </x:c>
      <x:c r="B29" s="102" t="str">
        <x:v>C02</x:v>
      </x:c>
      <x:c r="C29" s="102" t="str">
        <x:v>宁姆格福</x:v>
      </x:c>
      <x:c r="D29" s="102" t="str">
        <x:v>高级技能领悟页面</x:v>
      </x:c>
      <x:c r="E29" s="102" t="str">
        <x:v>高级技能领悟</x:v>
      </x:c>
      <x:c r="F29" s="102" t="str">
        <x:v>深度养成</x:v>
      </x:c>
      <x:c r="G29" s="102" t="str">
        <x:v>施毒术→群体施毒／嘲讽</x:v>
      </x:c>
      <x:c r="H29" s="102" t="str">
        <x:v>宁姆格福誓页×30</x:v>
      </x:c>
      <x:c r="I29" s="159" t="n">
        <x:v>500000000</x:v>
      </x:c>
      <x:c r="J29" s="159" t="n">
        <x:v>50000000</x:v>
      </x:c>
      <x:c r="K29" s="159" t="n">
        <x:v>1</x:v>
      </x:c>
      <x:c r="L29" s="159" t="str">
        <x:v>宁姆格福誓页×30</x:v>
      </x:c>
      <x:c r="M29" s="159" t="n">
        <x:v>50000000000</x:v>
      </x:c>
      <x:c r="N29" s="159" t="n">
        <x:v>5000000000</x:v>
      </x:c>
      <x:c r="O29" s="102" t="str">
        <x:v>是</x:v>
      </x:c>
      <x:c r="P29" s="103" t="str">
        <x:v>9级基础技能保留；领悟100%成功</x:v>
      </x:c>
    </x:row>
    <x:row r="30">
      <x:c r="A30" s="101" t="str">
        <x:v>C02-WASH</x:v>
      </x:c>
      <x:c r="B30" s="102" t="str">
        <x:v>C02</x:v>
      </x:c>
      <x:c r="C30" s="102" t="str">
        <x:v>宁姆格福</x:v>
      </x:c>
      <x:c r="D30" s="102" t="str">
        <x:v>普通洗练入口</x:v>
      </x:c>
      <x:c r="E30" s="102" t="str">
        <x:v>普通洗练</x:v>
      </x:c>
      <x:c r="F30" s="102" t="str">
        <x:v>深度养成</x:v>
      </x:c>
      <x:c r="G30" s="102" t="str">
        <x:v>单件装备随机重洗</x:v>
      </x:c>
      <x:c r="H30" s="102" t="str">
        <x:v>失色锻造石×10</x:v>
      </x:c>
      <x:c r="I30" s="159" t="n">
        <x:v>0</x:v>
      </x:c>
      <x:c r="J30" s="159" t="n">
        <x:v>1000000</x:v>
      </x:c>
      <x:c r="K30" s="159" t="n">
        <x:v>120</x:v>
      </x:c>
      <x:c r="L30" s="159" t="str">
        <x:v>失色锻造石×1200</x:v>
      </x:c>
      <x:c r="M30" s="159" t="n">
        <x:v>0</x:v>
      </x:c>
      <x:c r="N30" s="159" t="n">
        <x:v>12000000000</x:v>
      </x:c>
      <x:c r="O30" s="102" t="str">
        <x:v>是</x:v>
      </x:c>
      <x:c r="P30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1">
      <x:c r="A31" s="101" t="str">
        <x:v>C02-OPEN</x:v>
      </x:c>
      <x:c r="B31" s="102" t="str">
        <x:v>C02</x:v>
      </x:c>
      <x:c r="C31" s="102" t="str">
        <x:v>宁姆格福</x:v>
      </x:c>
      <x:c r="D31" s="102" t="str">
        <x:v>装备开光入口</x:v>
      </x:c>
      <x:c r="E31" s="102" t="str">
        <x:v>开光</x:v>
      </x:c>
      <x:c r="F31" s="102" t="str">
        <x:v>深度养成</x:v>
      </x:c>
      <x:c r="G31" s="102" t="str">
        <x:v>7/8词条装备固定条数后重洗</x:v>
      </x:c>
      <x:c r="H31" s="102" t="str">
        <x:v>失色锻造石×50</x:v>
      </x:c>
      <x:c r="I31" s="159" t="n">
        <x:v>0</x:v>
      </x:c>
      <x:c r="J31" s="159" t="n">
        <x:v>5000000</x:v>
      </x:c>
      <x:c r="K31" s="159" t="n">
        <x:v>5</x:v>
      </x:c>
      <x:c r="L31" s="159" t="str">
        <x:v>失色锻造石×250</x:v>
      </x:c>
      <x:c r="M31" s="159" t="n">
        <x:v>0</x:v>
      </x:c>
      <x:c r="N31" s="159" t="n">
        <x:v>2500000000</x:v>
      </x:c>
      <x:c r="O31" s="102" t="str">
        <x:v>是</x:v>
      </x:c>
      <x:c r="P31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2">
      <x:c r="A32" s="101" t="str">
        <x:v>C03-WASH</x:v>
      </x:c>
      <x:c r="B32" s="102" t="str">
        <x:v>C03</x:v>
      </x:c>
      <x:c r="C32" s="102" t="str">
        <x:v>宁姆格福西域</x:v>
      </x:c>
      <x:c r="D32" s="102" t="str">
        <x:v>普通洗练入口</x:v>
      </x:c>
      <x:c r="E32" s="102" t="str">
        <x:v>普通洗练</x:v>
      </x:c>
      <x:c r="F32" s="102" t="str">
        <x:v>深度养成</x:v>
      </x:c>
      <x:c r="G32" s="102" t="str">
        <x:v>单件装备随机重洗</x:v>
      </x:c>
      <x:c r="H32" s="102" t="str">
        <x:v>失色锻造石×10</x:v>
      </x:c>
      <x:c r="I32" s="159" t="n">
        <x:v>0</x:v>
      </x:c>
      <x:c r="J32" s="159" t="n">
        <x:v>1900000</x:v>
      </x:c>
      <x:c r="K32" s="159" t="n">
        <x:v>160</x:v>
      </x:c>
      <x:c r="L32" s="159" t="str">
        <x:v>失色锻造石×1600</x:v>
      </x:c>
      <x:c r="M32" s="159" t="n">
        <x:v>0</x:v>
      </x:c>
      <x:c r="N32" s="159" t="n">
        <x:v>30400000000</x:v>
      </x:c>
      <x:c r="O32" s="102" t="str">
        <x:v>是</x:v>
      </x:c>
      <x:c r="P32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3">
      <x:c r="A33" s="101" t="str">
        <x:v>C03-OPEN</x:v>
      </x:c>
      <x:c r="B33" s="102" t="str">
        <x:v>C03</x:v>
      </x:c>
      <x:c r="C33" s="102" t="str">
        <x:v>宁姆格福西域</x:v>
      </x:c>
      <x:c r="D33" s="102" t="str">
        <x:v>装备开光入口</x:v>
      </x:c>
      <x:c r="E33" s="102" t="str">
        <x:v>开光</x:v>
      </x:c>
      <x:c r="F33" s="102" t="str">
        <x:v>深度养成</x:v>
      </x:c>
      <x:c r="G33" s="102" t="str">
        <x:v>7/8词条装备固定条数后重洗</x:v>
      </x:c>
      <x:c r="H33" s="102" t="str">
        <x:v>失色锻造石×60</x:v>
      </x:c>
      <x:c r="I33" s="159" t="n">
        <x:v>0</x:v>
      </x:c>
      <x:c r="J33" s="159" t="n">
        <x:v>9500000</x:v>
      </x:c>
      <x:c r="K33" s="159" t="n">
        <x:v>8</x:v>
      </x:c>
      <x:c r="L33" s="159" t="str">
        <x:v>失色锻造石×480</x:v>
      </x:c>
      <x:c r="M33" s="159" t="n">
        <x:v>0</x:v>
      </x:c>
      <x:c r="N33" s="159" t="n">
        <x:v>7600000000</x:v>
      </x:c>
      <x:c r="O33" s="102" t="str">
        <x:v>是</x:v>
      </x:c>
      <x:c r="P33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4">
      <x:c r="A34" s="101" t="str">
        <x:v>C04-WASH</x:v>
      </x:c>
      <x:c r="B34" s="102" t="str">
        <x:v>C04</x:v>
      </x:c>
      <x:c r="C34" s="102" t="str">
        <x:v>利耶尼亚海域</x:v>
      </x:c>
      <x:c r="D34" s="102" t="str">
        <x:v>普通洗练入口</x:v>
      </x:c>
      <x:c r="E34" s="102" t="str">
        <x:v>普通洗练</x:v>
      </x:c>
      <x:c r="F34" s="102" t="str">
        <x:v>深度养成</x:v>
      </x:c>
      <x:c r="G34" s="102" t="str">
        <x:v>单件装备随机重洗</x:v>
      </x:c>
      <x:c r="H34" s="102" t="str">
        <x:v>失色锻造石×10</x:v>
      </x:c>
      <x:c r="I34" s="159" t="n">
        <x:v>0</x:v>
      </x:c>
      <x:c r="J34" s="159" t="n">
        <x:v>2900000</x:v>
      </x:c>
      <x:c r="K34" s="159" t="n">
        <x:v>200</x:v>
      </x:c>
      <x:c r="L34" s="159" t="str">
        <x:v>失色锻造石×2000</x:v>
      </x:c>
      <x:c r="M34" s="159" t="n">
        <x:v>0</x:v>
      </x:c>
      <x:c r="N34" s="159" t="n">
        <x:v>58000000000</x:v>
      </x:c>
      <x:c r="O34" s="102" t="str">
        <x:v>是</x:v>
      </x:c>
      <x:c r="P34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5">
      <x:c r="A35" s="101" t="str">
        <x:v>C04-OPEN</x:v>
      </x:c>
      <x:c r="B35" s="102" t="str">
        <x:v>C04</x:v>
      </x:c>
      <x:c r="C35" s="102" t="str">
        <x:v>利耶尼亚海域</x:v>
      </x:c>
      <x:c r="D35" s="102" t="str">
        <x:v>装备开光入口</x:v>
      </x:c>
      <x:c r="E35" s="102" t="str">
        <x:v>开光</x:v>
      </x:c>
      <x:c r="F35" s="102" t="str">
        <x:v>深度养成</x:v>
      </x:c>
      <x:c r="G35" s="102" t="str">
        <x:v>7/8词条装备固定条数后重洗</x:v>
      </x:c>
      <x:c r="H35" s="102" t="str">
        <x:v>失色锻造石×70</x:v>
      </x:c>
      <x:c r="I35" s="159" t="n">
        <x:v>0</x:v>
      </x:c>
      <x:c r="J35" s="159" t="n">
        <x:v>14500000</x:v>
      </x:c>
      <x:c r="K35" s="159" t="n">
        <x:v>10</x:v>
      </x:c>
      <x:c r="L35" s="159" t="str">
        <x:v>失色锻造石×700</x:v>
      </x:c>
      <x:c r="M35" s="159" t="n">
        <x:v>0</x:v>
      </x:c>
      <x:c r="N35" s="159" t="n">
        <x:v>14500000000</x:v>
      </x:c>
      <x:c r="O35" s="102" t="str">
        <x:v>是</x:v>
      </x:c>
      <x:c r="P35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6">
      <x:c r="A36" s="101" t="str">
        <x:v>C05-WASH</x:v>
      </x:c>
      <x:c r="B36" s="102" t="str">
        <x:v>C05</x:v>
      </x:c>
      <x:c r="C36" s="102" t="str">
        <x:v>湖之利耶尼亚</x:v>
      </x:c>
      <x:c r="D36" s="102" t="str">
        <x:v>普通洗练入口</x:v>
      </x:c>
      <x:c r="E36" s="102" t="str">
        <x:v>普通洗练</x:v>
      </x:c>
      <x:c r="F36" s="102" t="str">
        <x:v>深度养成</x:v>
      </x:c>
      <x:c r="G36" s="102" t="str">
        <x:v>单件装备随机重洗</x:v>
      </x:c>
      <x:c r="H36" s="102" t="str">
        <x:v>失色锻造石×20</x:v>
      </x:c>
      <x:c r="I36" s="159" t="n">
        <x:v>0</x:v>
      </x:c>
      <x:c r="J36" s="159" t="n">
        <x:v>6200000</x:v>
      </x:c>
      <x:c r="K36" s="159" t="n">
        <x:v>240</x:v>
      </x:c>
      <x:c r="L36" s="159" t="str">
        <x:v>失色锻造石×4800</x:v>
      </x:c>
      <x:c r="M36" s="159" t="n">
        <x:v>0</x:v>
      </x:c>
      <x:c r="N36" s="159" t="n">
        <x:v>148800000000</x:v>
      </x:c>
      <x:c r="O36" s="102" t="str">
        <x:v>是</x:v>
      </x:c>
      <x:c r="P36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7">
      <x:c r="A37" s="101" t="str">
        <x:v>C05-OPEN</x:v>
      </x:c>
      <x:c r="B37" s="102" t="str">
        <x:v>C05</x:v>
      </x:c>
      <x:c r="C37" s="102" t="str">
        <x:v>湖之利耶尼亚</x:v>
      </x:c>
      <x:c r="D37" s="102" t="str">
        <x:v>装备开光入口</x:v>
      </x:c>
      <x:c r="E37" s="102" t="str">
        <x:v>开光</x:v>
      </x:c>
      <x:c r="F37" s="102" t="str">
        <x:v>深度养成</x:v>
      </x:c>
      <x:c r="G37" s="102" t="str">
        <x:v>7/8词条装备固定条数后重洗</x:v>
      </x:c>
      <x:c r="H37" s="102" t="str">
        <x:v>失色锻造石×90</x:v>
      </x:c>
      <x:c r="I37" s="159" t="n">
        <x:v>0</x:v>
      </x:c>
      <x:c r="J37" s="159" t="n">
        <x:v>31000000</x:v>
      </x:c>
      <x:c r="K37" s="159" t="n">
        <x:v>12</x:v>
      </x:c>
      <x:c r="L37" s="159" t="str">
        <x:v>失色锻造石×1080</x:v>
      </x:c>
      <x:c r="M37" s="159" t="n">
        <x:v>0</x:v>
      </x:c>
      <x:c r="N37" s="159" t="n">
        <x:v>37200000000</x:v>
      </x:c>
      <x:c r="O37" s="102" t="str">
        <x:v>是</x:v>
      </x:c>
      <x:c r="P37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8">
      <x:c r="A38" s="101" t="str">
        <x:v>C06-WASH</x:v>
      </x:c>
      <x:c r="B38" s="102" t="str">
        <x:v>C06</x:v>
      </x:c>
      <x:c r="C38" s="102" t="str">
        <x:v>盖利德</x:v>
      </x:c>
      <x:c r="D38" s="102" t="str">
        <x:v>普通洗练入口</x:v>
      </x:c>
      <x:c r="E38" s="102" t="str">
        <x:v>普通洗练</x:v>
      </x:c>
      <x:c r="F38" s="102" t="str">
        <x:v>深度养成</x:v>
      </x:c>
      <x:c r="G38" s="102" t="str">
        <x:v>单件装备随机重洗</x:v>
      </x:c>
      <x:c r="H38" s="102" t="str">
        <x:v>失色锻造石×20</x:v>
      </x:c>
      <x:c r="I38" s="159" t="n">
        <x:v>0</x:v>
      </x:c>
      <x:c r="J38" s="159" t="n">
        <x:v>6800000</x:v>
      </x:c>
      <x:c r="K38" s="159" t="n">
        <x:v>280</x:v>
      </x:c>
      <x:c r="L38" s="159" t="str">
        <x:v>失色锻造石×5600</x:v>
      </x:c>
      <x:c r="M38" s="159" t="n">
        <x:v>0</x:v>
      </x:c>
      <x:c r="N38" s="159" t="n">
        <x:v>190400000000</x:v>
      </x:c>
      <x:c r="O38" s="102" t="str">
        <x:v>是</x:v>
      </x:c>
      <x:c r="P38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39">
      <x:c r="A39" s="101" t="str">
        <x:v>C06-OPEN</x:v>
      </x:c>
      <x:c r="B39" s="102" t="str">
        <x:v>C06</x:v>
      </x:c>
      <x:c r="C39" s="102" t="str">
        <x:v>盖利德</x:v>
      </x:c>
      <x:c r="D39" s="102" t="str">
        <x:v>装备开光入口</x:v>
      </x:c>
      <x:c r="E39" s="102" t="str">
        <x:v>开光</x:v>
      </x:c>
      <x:c r="F39" s="102" t="str">
        <x:v>深度养成</x:v>
      </x:c>
      <x:c r="G39" s="102" t="str">
        <x:v>7/8词条装备固定条数后重洗</x:v>
      </x:c>
      <x:c r="H39" s="102" t="str">
        <x:v>失色锻造石×110</x:v>
      </x:c>
      <x:c r="I39" s="159" t="n">
        <x:v>0</x:v>
      </x:c>
      <x:c r="J39" s="159" t="n">
        <x:v>34000000</x:v>
      </x:c>
      <x:c r="K39" s="159" t="n">
        <x:v>14</x:v>
      </x:c>
      <x:c r="L39" s="159" t="str">
        <x:v>失色锻造石×1540</x:v>
      </x:c>
      <x:c r="M39" s="159" t="n">
        <x:v>0</x:v>
      </x:c>
      <x:c r="N39" s="159" t="n">
        <x:v>47600000000</x:v>
      </x:c>
      <x:c r="O39" s="102" t="str">
        <x:v>是</x:v>
      </x:c>
      <x:c r="P39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0">
      <x:c r="A40" s="101" t="str">
        <x:v>C07-WASH</x:v>
      </x:c>
      <x:c r="B40" s="102" t="str">
        <x:v>C07</x:v>
      </x:c>
      <x:c r="C40" s="102" t="str">
        <x:v>化圣雪原</x:v>
      </x:c>
      <x:c r="D40" s="102" t="str">
        <x:v>普通洗练入口</x:v>
      </x:c>
      <x:c r="E40" s="102" t="str">
        <x:v>普通洗练</x:v>
      </x:c>
      <x:c r="F40" s="102" t="str">
        <x:v>深度养成</x:v>
      </x:c>
      <x:c r="G40" s="102" t="str">
        <x:v>单件装备随机重洗</x:v>
      </x:c>
      <x:c r="H40" s="102" t="str">
        <x:v>失色锻造石×30</x:v>
      </x:c>
      <x:c r="I40" s="159" t="n">
        <x:v>0</x:v>
      </x:c>
      <x:c r="J40" s="159" t="n">
        <x:v>13500000</x:v>
      </x:c>
      <x:c r="K40" s="159" t="n">
        <x:v>320</x:v>
      </x:c>
      <x:c r="L40" s="159" t="str">
        <x:v>失色锻造石×9600</x:v>
      </x:c>
      <x:c r="M40" s="159" t="n">
        <x:v>0</x:v>
      </x:c>
      <x:c r="N40" s="159" t="n">
        <x:v>432000000000</x:v>
      </x:c>
      <x:c r="O40" s="102" t="str">
        <x:v>是</x:v>
      </x:c>
      <x:c r="P40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1">
      <x:c r="A41" s="101" t="str">
        <x:v>C07-OPEN</x:v>
      </x:c>
      <x:c r="B41" s="102" t="str">
        <x:v>C07</x:v>
      </x:c>
      <x:c r="C41" s="102" t="str">
        <x:v>化圣雪原</x:v>
      </x:c>
      <x:c r="D41" s="102" t="str">
        <x:v>装备开光入口</x:v>
      </x:c>
      <x:c r="E41" s="102" t="str">
        <x:v>开光</x:v>
      </x:c>
      <x:c r="F41" s="102" t="str">
        <x:v>深度养成</x:v>
      </x:c>
      <x:c r="G41" s="102" t="str">
        <x:v>7/8词条装备固定条数后重洗</x:v>
      </x:c>
      <x:c r="H41" s="102" t="str">
        <x:v>失色锻造石×140</x:v>
      </x:c>
      <x:c r="I41" s="159" t="n">
        <x:v>0</x:v>
      </x:c>
      <x:c r="J41" s="159" t="n">
        <x:v>67000000</x:v>
      </x:c>
      <x:c r="K41" s="159" t="n">
        <x:v>16</x:v>
      </x:c>
      <x:c r="L41" s="159" t="str">
        <x:v>失色锻造石×2240</x:v>
      </x:c>
      <x:c r="M41" s="159" t="n">
        <x:v>0</x:v>
      </x:c>
      <x:c r="N41" s="159" t="n">
        <x:v>107200000000</x:v>
      </x:c>
      <x:c r="O41" s="102" t="str">
        <x:v>是</x:v>
      </x:c>
      <x:c r="P41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2">
      <x:c r="A42" s="101" t="str">
        <x:v>C08-WASH</x:v>
      </x:c>
      <x:c r="B42" s="102" t="str">
        <x:v>C08</x:v>
      </x:c>
      <x:c r="C42" s="102" t="str">
        <x:v>巨人山顶</x:v>
      </x:c>
      <x:c r="D42" s="102" t="str">
        <x:v>普通洗练入口</x:v>
      </x:c>
      <x:c r="E42" s="102" t="str">
        <x:v>普通洗练</x:v>
      </x:c>
      <x:c r="F42" s="102" t="str">
        <x:v>深度养成</x:v>
      </x:c>
      <x:c r="G42" s="102" t="str">
        <x:v>单件装备随机重洗</x:v>
      </x:c>
      <x:c r="H42" s="102" t="str">
        <x:v>失色锻造石×30</x:v>
      </x:c>
      <x:c r="I42" s="159" t="n">
        <x:v>0</x:v>
      </x:c>
      <x:c r="J42" s="159" t="n">
        <x:v>14000000</x:v>
      </x:c>
      <x:c r="K42" s="159" t="n">
        <x:v>360</x:v>
      </x:c>
      <x:c r="L42" s="159" t="str">
        <x:v>失色锻造石×10800</x:v>
      </x:c>
      <x:c r="M42" s="159" t="n">
        <x:v>0</x:v>
      </x:c>
      <x:c r="N42" s="159" t="n">
        <x:v>504000000000</x:v>
      </x:c>
      <x:c r="O42" s="102" t="str">
        <x:v>是</x:v>
      </x:c>
      <x:c r="P42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3">
      <x:c r="A43" s="101" t="str">
        <x:v>C08-OPEN</x:v>
      </x:c>
      <x:c r="B43" s="102" t="str">
        <x:v>C08</x:v>
      </x:c>
      <x:c r="C43" s="102" t="str">
        <x:v>巨人山顶</x:v>
      </x:c>
      <x:c r="D43" s="102" t="str">
        <x:v>装备开光入口</x:v>
      </x:c>
      <x:c r="E43" s="102" t="str">
        <x:v>开光</x:v>
      </x:c>
      <x:c r="F43" s="102" t="str">
        <x:v>深度养成</x:v>
      </x:c>
      <x:c r="G43" s="102" t="str">
        <x:v>7/8词条装备固定条数后重洗</x:v>
      </x:c>
      <x:c r="H43" s="102" t="str">
        <x:v>失色锻造石×170</x:v>
      </x:c>
      <x:c r="I43" s="159" t="n">
        <x:v>0</x:v>
      </x:c>
      <x:c r="J43" s="159" t="n">
        <x:v>71000000</x:v>
      </x:c>
      <x:c r="K43" s="159" t="n">
        <x:v>18</x:v>
      </x:c>
      <x:c r="L43" s="159" t="str">
        <x:v>失色锻造石×3060</x:v>
      </x:c>
      <x:c r="M43" s="159" t="n">
        <x:v>0</x:v>
      </x:c>
      <x:c r="N43" s="159" t="n">
        <x:v>127800000000</x:v>
      </x:c>
      <x:c r="O43" s="102" t="str">
        <x:v>是</x:v>
      </x:c>
      <x:c r="P43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4">
      <x:c r="A44" s="101" t="str">
        <x:v>C09-WASH</x:v>
      </x:c>
      <x:c r="B44" s="102" t="str">
        <x:v>C09</x:v>
      </x:c>
      <x:c r="C44" s="102" t="str">
        <x:v>亚坛高原</x:v>
      </x:c>
      <x:c r="D44" s="102" t="str">
        <x:v>普通洗练入口</x:v>
      </x:c>
      <x:c r="E44" s="102" t="str">
        <x:v>普通洗练</x:v>
      </x:c>
      <x:c r="F44" s="102" t="str">
        <x:v>深度养成</x:v>
      </x:c>
      <x:c r="G44" s="102" t="str">
        <x:v>单件装备随机重洗</x:v>
      </x:c>
      <x:c r="H44" s="102" t="str">
        <x:v>失色锻造石×40</x:v>
      </x:c>
      <x:c r="I44" s="159" t="n">
        <x:v>0</x:v>
      </x:c>
      <x:c r="J44" s="159" t="n">
        <x:v>35500000</x:v>
      </x:c>
      <x:c r="K44" s="159" t="n">
        <x:v>400</x:v>
      </x:c>
      <x:c r="L44" s="159" t="str">
        <x:v>失色锻造石×16000</x:v>
      </x:c>
      <x:c r="M44" s="159" t="n">
        <x:v>0</x:v>
      </x:c>
      <x:c r="N44" s="159" t="n">
        <x:v>1420000000000</x:v>
      </x:c>
      <x:c r="O44" s="102" t="str">
        <x:v>是</x:v>
      </x:c>
      <x:c r="P44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5">
      <x:c r="A45" s="101" t="str">
        <x:v>C09-OPEN</x:v>
      </x:c>
      <x:c r="B45" s="102" t="str">
        <x:v>C09</x:v>
      </x:c>
      <x:c r="C45" s="102" t="str">
        <x:v>亚坛高原</x:v>
      </x:c>
      <x:c r="D45" s="102" t="str">
        <x:v>装备开光入口</x:v>
      </x:c>
      <x:c r="E45" s="102" t="str">
        <x:v>开光</x:v>
      </x:c>
      <x:c r="F45" s="102" t="str">
        <x:v>深度养成</x:v>
      </x:c>
      <x:c r="G45" s="102" t="str">
        <x:v>7/8词条装备固定条数后重洗</x:v>
      </x:c>
      <x:c r="H45" s="102" t="str">
        <x:v>失色锻造石×210</x:v>
      </x:c>
      <x:c r="I45" s="159" t="n">
        <x:v>0</x:v>
      </x:c>
      <x:c r="J45" s="159" t="n">
        <x:v>178000000</x:v>
      </x:c>
      <x:c r="K45" s="159" t="n">
        <x:v>20</x:v>
      </x:c>
      <x:c r="L45" s="159" t="str">
        <x:v>失色锻造石×4200</x:v>
      </x:c>
      <x:c r="M45" s="159" t="n">
        <x:v>0</x:v>
      </x:c>
      <x:c r="N45" s="159" t="n">
        <x:v>356000000000</x:v>
      </x:c>
      <x:c r="O45" s="102" t="str">
        <x:v>是</x:v>
      </x:c>
      <x:c r="P45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6">
      <x:c r="A46" s="101" t="str">
        <x:v>C10-WASH</x:v>
      </x:c>
      <x:c r="B46" s="102" t="str">
        <x:v>C10</x:v>
      </x:c>
      <x:c r="C46" s="102" t="str">
        <x:v>王城罗德尔</x:v>
      </x:c>
      <x:c r="D46" s="102" t="str">
        <x:v>普通洗练入口</x:v>
      </x:c>
      <x:c r="E46" s="102" t="str">
        <x:v>普通洗练</x:v>
      </x:c>
      <x:c r="F46" s="102" t="str">
        <x:v>深度养成</x:v>
      </x:c>
      <x:c r="G46" s="102" t="str">
        <x:v>单件装备随机重洗</x:v>
      </x:c>
      <x:c r="H46" s="102" t="str">
        <x:v>失色锻造石×50</x:v>
      </x:c>
      <x:c r="I46" s="159" t="n">
        <x:v>0</x:v>
      </x:c>
      <x:c r="J46" s="159" t="n">
        <x:v>37000000</x:v>
      </x:c>
      <x:c r="K46" s="159" t="n">
        <x:v>450</x:v>
      </x:c>
      <x:c r="L46" s="159" t="str">
        <x:v>失色锻造石×22500</x:v>
      </x:c>
      <x:c r="M46" s="159" t="n">
        <x:v>0</x:v>
      </x:c>
      <x:c r="N46" s="159" t="n">
        <x:v>1665000000000</x:v>
      </x:c>
      <x:c r="O46" s="102" t="str">
        <x:v>是</x:v>
      </x:c>
      <x:c r="P46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7">
      <x:c r="A47" s="101" t="str">
        <x:v>C10-OPEN</x:v>
      </x:c>
      <x:c r="B47" s="102" t="str">
        <x:v>C10</x:v>
      </x:c>
      <x:c r="C47" s="102" t="str">
        <x:v>王城罗德尔</x:v>
      </x:c>
      <x:c r="D47" s="102" t="str">
        <x:v>装备开光入口</x:v>
      </x:c>
      <x:c r="E47" s="102" t="str">
        <x:v>开光</x:v>
      </x:c>
      <x:c r="F47" s="102" t="str">
        <x:v>深度养成</x:v>
      </x:c>
      <x:c r="G47" s="102" t="str">
        <x:v>7/8词条装备固定条数后重洗</x:v>
      </x:c>
      <x:c r="H47" s="102" t="str">
        <x:v>失色锻造石×250</x:v>
      </x:c>
      <x:c r="I47" s="159" t="n">
        <x:v>0</x:v>
      </x:c>
      <x:c r="J47" s="159" t="n">
        <x:v>184000000</x:v>
      </x:c>
      <x:c r="K47" s="159" t="n">
        <x:v>24</x:v>
      </x:c>
      <x:c r="L47" s="159" t="str">
        <x:v>失色锻造石×6000</x:v>
      </x:c>
      <x:c r="M47" s="159" t="n">
        <x:v>0</x:v>
      </x:c>
      <x:c r="N47" s="159" t="n">
        <x:v>441600000000</x:v>
      </x:c>
      <x:c r="O47" s="102" t="str">
        <x:v>是</x:v>
      </x:c>
      <x:c r="P47" s="103" t="str">
        <x:v>按装备固定洗练档收费，不按人物所在地；同名同档不变；预算为整阶段人物总次数，不是每件；材料仅失色。开光无锁单条，无保留旧结果的新功能。</x:v>
      </x:c>
    </x:row>
    <x:row r="48">
      <x:c r="A48" s="101" t="str">
        <x:v>C02-NECKLUCK</x:v>
      </x:c>
      <x:c r="B48" s="102" t="str">
        <x:v>C02</x:v>
      </x:c>
      <x:c r="C48" s="102" t="str">
        <x:v>宁姆格福</x:v>
      </x:c>
      <x:c r="D48" s="102" t="str">
        <x:v>项链幸运入口</x:v>
      </x:c>
      <x:c r="E48" s="102" t="str">
        <x:v>项链幸运</x:v>
      </x:c>
      <x:c r="F48" s="102" t="str">
        <x:v>深度养成</x:v>
      </x:c>
      <x:c r="G48" s="102" t="str">
        <x:v>项链幸运升满平均包</x:v>
      </x:c>
      <x:c r="H48" s="102" t="str">
        <x:v>黄金树芽×1</x:v>
      </x:c>
      <x:c r="I48" s="159" t="n">
        <x:v>0</x:v>
      </x:c>
      <x:c r="J48" s="159" t="n">
        <x:v>1000000</x:v>
      </x:c>
      <x:c r="K48" s="159" t="n">
        <x:v>250</x:v>
      </x:c>
      <x:c r="L48" s="159" t="str">
        <x:v>黄金树芽×250</x:v>
      </x:c>
      <x:c r="M48" s="159" t="n">
        <x:v>0</x:v>
      </x:c>
      <x:c r="N48" s="159" t="n">
        <x:v>25000000000</x:v>
      </x:c>
      <x:c r="O48" s="102" t="str">
        <x:v>是</x:v>
      </x:c>
      <x:c r="P48" s="103" t="str">
        <x:v>250次是平均值，不是硬保底；约250次后提高成功率</x:v>
      </x:c>
    </x:row>
    <x:row r="49">
      <x:c r="A49" s="101" t="str">
        <x:v>C02-BODY-1-50</x:v>
      </x:c>
      <x:c r="B49" s="102" t="str">
        <x:v>C02</x:v>
      </x:c>
      <x:c r="C49" s="102" t="str">
        <x:v>宁姆格福</x:v>
      </x:c>
      <x:c r="D49" s="102" t="str">
        <x:v>神印修行／锻体入口</x:v>
      </x:c>
      <x:c r="E49" s="102" t="str">
        <x:v>神印修行</x:v>
      </x:c>
      <x:c r="F49" s="102" t="str">
        <x:v>长期养成</x:v>
      </x:c>
      <x:c r="G49" s="102" t="str">
        <x:v>第1—50档</x:v>
      </x:c>
      <x:c r="H49" s="102" t="str">
        <x:v>见255档明细</x:v>
      </x:c>
      <x:c r="I49" s="159" t="n">
        <x:v>0</x:v>
      </x:c>
      <x:c r="J49" s="159" t="n">
        <x:v>0</x:v>
      </x:c>
      <x:c r="K49" s="159" t="n">
        <x:v>50</x:v>
      </x:c>
      <x:c r="L49" s="159" t="str">
        <x:v>野兽骨片×1725</x:v>
      </x:c>
      <x:c r="M49" s="159" t="n">
        <x:v>8970000000</x:v>
      </x:c>
      <x:c r="N49" s="159" t="n">
        <x:v>0</x:v>
      </x:c>
      <x:c r="O49" s="102" t="str">
        <x:v>是</x:v>
      </x:c>
      <x:c r="P49" s="103" t="str">
        <x:v>每档100%成功；21→22需31个、22→23需32个已保持</x:v>
      </x:c>
    </x:row>
    <x:row r="50">
      <x:c r="A50" s="101" t="str">
        <x:v>C03-BODY-51-80</x:v>
      </x:c>
      <x:c r="B50" s="102" t="str">
        <x:v>C03</x:v>
      </x:c>
      <x:c r="C50" s="102" t="str">
        <x:v>宁姆格福西域</x:v>
      </x:c>
      <x:c r="D50" s="102" t="str">
        <x:v>神印修行／锻体入口</x:v>
      </x:c>
      <x:c r="E50" s="102" t="str">
        <x:v>神印修行</x:v>
      </x:c>
      <x:c r="F50" s="102" t="str">
        <x:v>长期养成</x:v>
      </x:c>
      <x:c r="G50" s="102" t="str">
        <x:v>第51—80档</x:v>
      </x:c>
      <x:c r="H50" s="102" t="str">
        <x:v>见255档明细</x:v>
      </x:c>
      <x:c r="I50" s="159" t="n">
        <x:v>0</x:v>
      </x:c>
      <x:c r="J50" s="159" t="n">
        <x:v>0</x:v>
      </x:c>
      <x:c r="K50" s="159" t="n">
        <x:v>30</x:v>
      </x:c>
      <x:c r="L50" s="159" t="str">
        <x:v>野兽骨片×2730</x:v>
      </x:c>
      <x:c r="M50" s="159" t="n">
        <x:v>15920000000</x:v>
      </x:c>
      <x:c r="N50" s="159" t="n">
        <x:v>0</x:v>
      </x:c>
      <x:c r="O50" s="102" t="str">
        <x:v>是</x:v>
      </x:c>
      <x:c r="P50" s="103" t="str">
        <x:v>每档100%成功；21→22需31个、22→23需32个已保持</x:v>
      </x:c>
    </x:row>
    <x:row r="51">
      <x:c r="A51" s="101" t="str">
        <x:v>C04-BODY-81-110</x:v>
      </x:c>
      <x:c r="B51" s="102" t="str">
        <x:v>C04</x:v>
      </x:c>
      <x:c r="C51" s="102" t="str">
        <x:v>利耶尼亚海域</x:v>
      </x:c>
      <x:c r="D51" s="102" t="str">
        <x:v>神印修行／锻体入口</x:v>
      </x:c>
      <x:c r="E51" s="102" t="str">
        <x:v>神印修行</x:v>
      </x:c>
      <x:c r="F51" s="102" t="str">
        <x:v>长期养成</x:v>
      </x:c>
      <x:c r="G51" s="102" t="str">
        <x:v>第81—110档</x:v>
      </x:c>
      <x:c r="H51" s="102" t="str">
        <x:v>见255档明细</x:v>
      </x:c>
      <x:c r="I51" s="159" t="n">
        <x:v>0</x:v>
      </x:c>
      <x:c r="J51" s="159" t="n">
        <x:v>0</x:v>
      </x:c>
      <x:c r="K51" s="159" t="n">
        <x:v>30</x:v>
      </x:c>
      <x:c r="L51" s="159" t="str">
        <x:v>野兽骨片×4585</x:v>
      </x:c>
      <x:c r="M51" s="159" t="n">
        <x:v>20070000000</x:v>
      </x:c>
      <x:c r="N51" s="159" t="n">
        <x:v>0</x:v>
      </x:c>
      <x:c r="O51" s="102" t="str">
        <x:v>是</x:v>
      </x:c>
      <x:c r="P51" s="103" t="str">
        <x:v>每档100%成功；21→22需31个、22→23需32个已保持</x:v>
      </x:c>
    </x:row>
    <x:row r="52">
      <x:c r="A52" s="101" t="str">
        <x:v>C05-BODY-111-140</x:v>
      </x:c>
      <x:c r="B52" s="102" t="str">
        <x:v>C05</x:v>
      </x:c>
      <x:c r="C52" s="102" t="str">
        <x:v>湖之利耶尼亚</x:v>
      </x:c>
      <x:c r="D52" s="102" t="str">
        <x:v>神印修行／锻体入口</x:v>
      </x:c>
      <x:c r="E52" s="102" t="str">
        <x:v>神印修行</x:v>
      </x:c>
      <x:c r="F52" s="102" t="str">
        <x:v>长期养成</x:v>
      </x:c>
      <x:c r="G52" s="102" t="str">
        <x:v>第111—140档</x:v>
      </x:c>
      <x:c r="H52" s="102" t="str">
        <x:v>见255档明细</x:v>
      </x:c>
      <x:c r="I52" s="159" t="n">
        <x:v>0</x:v>
      </x:c>
      <x:c r="J52" s="159" t="n">
        <x:v>0</x:v>
      </x:c>
      <x:c r="K52" s="159" t="n">
        <x:v>30</x:v>
      </x:c>
      <x:c r="L52" s="159" t="str">
        <x:v>野兽骨片×7095</x:v>
      </x:c>
      <x:c r="M52" s="159" t="n">
        <x:v>34250000000</x:v>
      </x:c>
      <x:c r="N52" s="159" t="n">
        <x:v>0</x:v>
      </x:c>
      <x:c r="O52" s="102" t="str">
        <x:v>是</x:v>
      </x:c>
      <x:c r="P52" s="103" t="str">
        <x:v>每档100%成功；21→22需31个、22→23需32个已保持</x:v>
      </x:c>
    </x:row>
    <x:row r="53">
      <x:c r="A53" s="101" t="str">
        <x:v>C06-BODY-141-170</x:v>
      </x:c>
      <x:c r="B53" s="102" t="str">
        <x:v>C06</x:v>
      </x:c>
      <x:c r="C53" s="102" t="str">
        <x:v>盖利德</x:v>
      </x:c>
      <x:c r="D53" s="102" t="str">
        <x:v>神印修行／锻体入口</x:v>
      </x:c>
      <x:c r="E53" s="102" t="str">
        <x:v>神印修行</x:v>
      </x:c>
      <x:c r="F53" s="102" t="str">
        <x:v>长期养成</x:v>
      </x:c>
      <x:c r="G53" s="102" t="str">
        <x:v>第141—170档</x:v>
      </x:c>
      <x:c r="H53" s="102" t="str">
        <x:v>见255档明细</x:v>
      </x:c>
      <x:c r="I53" s="159" t="n">
        <x:v>0</x:v>
      </x:c>
      <x:c r="J53" s="159" t="n">
        <x:v>0</x:v>
      </x:c>
      <x:c r="K53" s="159" t="n">
        <x:v>30</x:v>
      </x:c>
      <x:c r="L53" s="159" t="str">
        <x:v>野兽骨片×10215</x:v>
      </x:c>
      <x:c r="M53" s="159" t="n">
        <x:v>48480000000</x:v>
      </x:c>
      <x:c r="N53" s="159" t="n">
        <x:v>0</x:v>
      </x:c>
      <x:c r="O53" s="102" t="str">
        <x:v>是</x:v>
      </x:c>
      <x:c r="P53" s="103" t="str">
        <x:v>每档100%成功；21→22需31个、22→23需32个已保持</x:v>
      </x:c>
    </x:row>
    <x:row r="54">
      <x:c r="A54" s="101" t="str">
        <x:v>C07-BODY-171-195</x:v>
      </x:c>
      <x:c r="B54" s="102" t="str">
        <x:v>C07</x:v>
      </x:c>
      <x:c r="C54" s="102" t="str">
        <x:v>化圣雪原</x:v>
      </x:c>
      <x:c r="D54" s="102" t="str">
        <x:v>神印修行／锻体入口</x:v>
      </x:c>
      <x:c r="E54" s="102" t="str">
        <x:v>神印修行</x:v>
      </x:c>
      <x:c r="F54" s="102" t="str">
        <x:v>长期养成</x:v>
      </x:c>
      <x:c r="G54" s="102" t="str">
        <x:v>第171—195档</x:v>
      </x:c>
      <x:c r="H54" s="102" t="str">
        <x:v>见255档明细</x:v>
      </x:c>
      <x:c r="I54" s="159" t="n">
        <x:v>0</x:v>
      </x:c>
      <x:c r="J54" s="159" t="n">
        <x:v>0</x:v>
      </x:c>
      <x:c r="K54" s="159" t="n">
        <x:v>25</x:v>
      </x:c>
      <x:c r="L54" s="159" t="str">
        <x:v>野兽骨片×11875</x:v>
      </x:c>
      <x:c r="M54" s="159" t="n">
        <x:v>81800000000</x:v>
      </x:c>
      <x:c r="N54" s="159" t="n">
        <x:v>0</x:v>
      </x:c>
      <x:c r="O54" s="102" t="str">
        <x:v>是</x:v>
      </x:c>
      <x:c r="P54" s="103" t="str">
        <x:v>每档100%成功；21→22需31个、22→23需32个已保持</x:v>
      </x:c>
    </x:row>
    <x:row r="55">
      <x:c r="A55" s="101" t="str">
        <x:v>C08-BODY-196-220</x:v>
      </x:c>
      <x:c r="B55" s="102" t="str">
        <x:v>C08</x:v>
      </x:c>
      <x:c r="C55" s="102" t="str">
        <x:v>巨人山顶</x:v>
      </x:c>
      <x:c r="D55" s="102" t="str">
        <x:v>神印修行／锻体入口</x:v>
      </x:c>
      <x:c r="E55" s="102" t="str">
        <x:v>神印修行</x:v>
      </x:c>
      <x:c r="F55" s="102" t="str">
        <x:v>长期养成</x:v>
      </x:c>
      <x:c r="G55" s="102" t="str">
        <x:v>第196—220档</x:v>
      </x:c>
      <x:c r="H55" s="102" t="str">
        <x:v>见255档明细</x:v>
      </x:c>
      <x:c r="I55" s="159" t="n">
        <x:v>0</x:v>
      </x:c>
      <x:c r="J55" s="159" t="n">
        <x:v>0</x:v>
      </x:c>
      <x:c r="K55" s="159" t="n">
        <x:v>25</x:v>
      </x:c>
      <x:c r="L55" s="159" t="str">
        <x:v>野兽骨片×15630</x:v>
      </x:c>
      <x:c r="M55" s="159" t="n">
        <x:v>99000000000</x:v>
      </x:c>
      <x:c r="N55" s="159" t="n">
        <x:v>0</x:v>
      </x:c>
      <x:c r="O55" s="102" t="str">
        <x:v>是</x:v>
      </x:c>
      <x:c r="P55" s="103" t="str">
        <x:v>每档100%成功；21→22需31个、22→23需32个已保持</x:v>
      </x:c>
    </x:row>
    <x:row r="56">
      <x:c r="A56" s="101" t="str">
        <x:v>C09-BODY-221-240</x:v>
      </x:c>
      <x:c r="B56" s="102" t="str">
        <x:v>C09</x:v>
      </x:c>
      <x:c r="C56" s="102" t="str">
        <x:v>亚坛高原</x:v>
      </x:c>
      <x:c r="D56" s="102" t="str">
        <x:v>神印修行／锻体入口</x:v>
      </x:c>
      <x:c r="E56" s="102" t="str">
        <x:v>神印修行</x:v>
      </x:c>
      <x:c r="F56" s="102" t="str">
        <x:v>长期养成</x:v>
      </x:c>
      <x:c r="G56" s="102" t="str">
        <x:v>第221—240档</x:v>
      </x:c>
      <x:c r="H56" s="102" t="str">
        <x:v>见255档明细</x:v>
      </x:c>
      <x:c r="I56" s="159" t="n">
        <x:v>0</x:v>
      </x:c>
      <x:c r="J56" s="159" t="n">
        <x:v>0</x:v>
      </x:c>
      <x:c r="K56" s="159" t="n">
        <x:v>20</x:v>
      </x:c>
      <x:c r="L56" s="159" t="str">
        <x:v>野兽骨片×16080</x:v>
      </x:c>
      <x:c r="M56" s="159" t="n">
        <x:v>154400000000</x:v>
      </x:c>
      <x:c r="N56" s="159" t="n">
        <x:v>0</x:v>
      </x:c>
      <x:c r="O56" s="102" t="str">
        <x:v>是</x:v>
      </x:c>
      <x:c r="P56" s="103" t="str">
        <x:v>每档100%成功；21→22需31个、22→23需32个已保持</x:v>
      </x:c>
    </x:row>
    <x:row r="57">
      <x:c r="A57" s="104" t="str">
        <x:v>C10-BODY-241-255</x:v>
      </x:c>
      <x:c r="B57" s="105" t="str">
        <x:v>C10</x:v>
      </x:c>
      <x:c r="C57" s="105" t="str">
        <x:v>王城罗德尔</x:v>
      </x:c>
      <x:c r="D57" s="105" t="str">
        <x:v>神印修行／锻体入口</x:v>
      </x:c>
      <x:c r="E57" s="105" t="str">
        <x:v>神印修行</x:v>
      </x:c>
      <x:c r="F57" s="105" t="str">
        <x:v>长期养成</x:v>
      </x:c>
      <x:c r="G57" s="105" t="str">
        <x:v>第241—255档</x:v>
      </x:c>
      <x:c r="H57" s="105" t="str">
        <x:v>见255档明细</x:v>
      </x:c>
      <x:c r="I57" s="160" t="n">
        <x:v>0</x:v>
      </x:c>
      <x:c r="J57" s="160" t="n">
        <x:v>0</x:v>
      </x:c>
      <x:c r="K57" s="160" t="n">
        <x:v>15</x:v>
      </x:c>
      <x:c r="L57" s="160" t="str">
        <x:v>野兽骨片×14160</x:v>
      </x:c>
      <x:c r="M57" s="160" t="n">
        <x:v>185800000000</x:v>
      </x:c>
      <x:c r="N57" s="160" t="n">
        <x:v>0</x:v>
      </x:c>
      <x:c r="O57" s="105" t="str">
        <x:v>是</x:v>
      </x:c>
      <x:c r="P57" s="106" t="str">
        <x:v>每档100%成功；21→22需31个、22→23需32个已保持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98414a8e6134c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0" hidden="0" customWidth="1"/>
    <x:col min="7" max="7" width="20" hidden="0" customWidth="1"/>
    <x:col min="8" max="8" width="16" hidden="0" customWidth="1"/>
    <x:col min="9" max="9" width="12" hidden="0" customWidth="1"/>
    <x:col min="10" max="10" width="16" hidden="0" customWidth="1"/>
    <x:col min="11" max="11" width="14" hidden="0" customWidth="1"/>
    <x:col min="12" max="12" width="42" hidden="0" customWidth="1"/>
  </x:cols>
  <x:sheetData>
    <x:row r="1" ht="28" customHeight="1">
      <x:c r="A1" s="5" t="str">
        <x:v>材料需求、自产目标与交易缺口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4" t="str">
        <x:v>需求由13号明细逐行求和。高产主材沿用情景产量，其他为自产覆盖假设；PVP旁账和库存跨大陆单列。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32" customHeight="1">
      <x:c r="A4" s="63" t="str">
        <x:v>大陆ID</x:v>
      </x:c>
      <x:c r="B4" s="64" t="str">
        <x:v>大陆</x:v>
      </x:c>
      <x:c r="C4" s="64" t="str">
        <x:v>材料名称</x:v>
      </x:c>
      <x:c r="D4" s="64" t="str">
        <x:v>类别</x:v>
      </x:c>
      <x:c r="E4" s="64" t="str">
        <x:v>阶段NPC建议需求</x:v>
      </x:c>
      <x:c r="F4" s="64" t="str">
        <x:v>观察小时</x:v>
      </x:c>
      <x:c r="G4" s="64" t="str">
        <x:v>满赞助建议实际产量/小时</x:v>
      </x:c>
      <x:c r="H4" s="64" t="str">
        <x:v>阶段预计自产</x:v>
      </x:c>
      <x:c r="I4" s="64" t="str">
        <x:v>自产覆盖率</x:v>
      </x:c>
      <x:c r="J4" s="64" t="str">
        <x:v>剩余缺口</x:v>
      </x:c>
      <x:c r="K4" s="64" t="str">
        <x:v>计入货币模型</x:v>
      </x:c>
      <x:c r="L4" s="65" t="str">
        <x:v>备注</x:v>
      </x:c>
    </x:row>
    <x:row r="5">
      <x:c r="A5" s="98" t="str">
        <x:v>C01</x:v>
      </x:c>
      <x:c r="B5" s="99" t="str">
        <x:v>漂流群岛</x:v>
      </x:c>
      <x:c r="C5" s="99" t="str">
        <x:v>海蚀铁片</x:v>
      </x:c>
      <x:c r="D5" s="99" t="str">
        <x:v>大陆通用材料</x:v>
      </x:c>
      <x:c r="E5" s="165" t="n">
        <x:f>SUMIFS('13_材料消耗明细'!$F$5:$F$324,'13_材料消耗明细'!$B$5:$B$324,A5,'13_材料消耗明细'!$C$5:$C$324,C5)</x:f>
        <x:v>200</x:v>
      </x:c>
      <x:c r="F5" s="165" t="n">
        <x:v>8</x:v>
      </x:c>
      <x:c r="G5" s="165" t="n">
        <x:v>48</x:v>
      </x:c>
      <x:c r="H5" s="165" t="n">
        <x:f>F5*G5</x:f>
        <x:v>384</x:v>
      </x:c>
      <x:c r="I5" s="258" t="n">
        <x:f>IF(E5=0,0,H5/E5)</x:f>
        <x:v>1.92</x:v>
      </x:c>
      <x:c r="J5" s="165" t="n">
        <x:f>MAX(E5-H5,0)</x:f>
        <x:v>0</x:v>
      </x:c>
      <x:c r="K5" s="99" t="str">
        <x:v>是</x:v>
      </x:c>
      <x:c r="L5" s="100" t="str">
        <x:v>高产主材产量沿用情景输入；先扣全部建议需求</x:v>
      </x:c>
    </x:row>
    <x:row r="6">
      <x:c r="A6" s="101" t="str">
        <x:v>C01</x:v>
      </x:c>
      <x:c r="B6" s="102" t="str">
        <x:v>漂流群岛</x:v>
      </x:c>
      <x:c r="C6" s="102" t="str">
        <x:v>失色锻造石</x:v>
      </x:c>
      <x:c r="D6" s="102" t="str">
        <x:v>全局辅助材料</x:v>
      </x:c>
      <x:c r="E6" s="165" t="n">
        <x:v>100</x:v>
      </x:c>
      <x:c r="F6" s="165" t="n">
        <x:v>8</x:v>
      </x:c>
      <x:c r="G6" s="165"/>
      <x:c r="H6" s="165"/>
      <x:c r="I6" s="258"/>
      <x:c r="J6" s="165"/>
      <x:c r="K6" s="102" t="str">
        <x:v>否</x:v>
      </x:c>
      <x:c r="L6" s="103" t="str">
        <x:v>数值尺度修订：失色产出/消耗统一×10；最终供给仍待561怪专属爆率反算</x:v>
      </x:c>
    </x:row>
    <x:row r="7">
      <x:c r="A7" s="101" t="str">
        <x:v>C01</x:v>
      </x:c>
      <x:c r="B7" s="102" t="str">
        <x:v>漂流群岛</x:v>
      </x:c>
      <x:c r="C7" s="102" t="str">
        <x:v>技能残页</x:v>
      </x:c>
      <x:c r="D7" s="102" t="str">
        <x:v>技能材料</x:v>
      </x:c>
      <x:c r="E7" s="165" t="n">
        <x:f>SUMIFS('13_材料消耗明细'!$F$5:$F$324,'13_材料消耗明细'!$B$5:$B$324,A7,'13_材料消耗明细'!$C$5:$C$324,C7)</x:f>
        <x:v>450</x:v>
      </x:c>
      <x:c r="F7" s="165" t="n">
        <x:v>8</x:v>
      </x:c>
      <x:c r="G7" s="165" t="n">
        <x:f>IF(F7=0,0,E7*I7/F7)</x:f>
        <x:v>56.25</x:v>
      </x:c>
      <x:c r="H7" s="165" t="n">
        <x:f>E7*I7</x:f>
        <x:v>450</x:v>
      </x:c>
      <x:c r="I7" s="258" t="n">
        <x:v>1</x:v>
      </x:c>
      <x:c r="J7" s="165" t="n">
        <x:f>MAX(E7-H7,0)</x:f>
        <x:v>0</x:v>
      </x:c>
      <x:c r="K7" s="102" t="str">
        <x:v>否</x:v>
      </x:c>
      <x:c r="L7" s="103" t="str">
        <x:v>仅消费覆盖情景；不是已写入TXT的实际产量</x:v>
      </x:c>
    </x:row>
    <x:row r="8">
      <x:c r="A8" s="101" t="str">
        <x:v>C01</x:v>
      </x:c>
      <x:c r="B8" s="102" t="str">
        <x:v>漂流群岛</x:v>
      </x:c>
      <x:c r="C8" s="102" t="str">
        <x:v>漂流大陆印记</x:v>
      </x:c>
      <x:c r="D8" s="102" t="str">
        <x:v>大陆剧情印记</x:v>
      </x:c>
      <x:c r="E8" s="165" t="n">
        <x:f>SUMIFS('13_材料消耗明细'!$F$5:$F$324,'13_材料消耗明细'!$B$5:$B$324,A8,'13_材料消耗明细'!$C$5:$C$324,C8)</x:f>
        <x:v>10</x:v>
      </x:c>
      <x:c r="F8" s="165" t="n">
        <x:v>8</x:v>
      </x:c>
      <x:c r="G8" s="165" t="n">
        <x:f>IF(F8=0,0,E8*I8/F8)</x:f>
        <x:v>0.75</x:v>
      </x:c>
      <x:c r="H8" s="165" t="n">
        <x:f>E8*I8</x:f>
        <x:v>6</x:v>
      </x:c>
      <x:c r="I8" s="258" t="n">
        <x:v>0.6</x:v>
      </x:c>
      <x:c r="J8" s="165" t="n">
        <x:f>MAX(E8-H8,0)</x:f>
        <x:v>4</x:v>
      </x:c>
      <x:c r="K8" s="102" t="str">
        <x:v>否</x:v>
      </x:c>
      <x:c r="L8" s="103" t="str">
        <x:v>仅消费覆盖情景；不是已写入TXT的实际产量</x:v>
      </x:c>
    </x:row>
    <x:row r="9">
      <x:c r="A9" s="101" t="str">
        <x:v>C01</x:v>
      </x:c>
      <x:c r="B9" s="102" t="str">
        <x:v>漂流群岛</x:v>
      </x:c>
      <x:c r="C9" s="102" t="str">
        <x:v>漂流见证·潮</x:v>
      </x:c>
      <x:c r="D9" s="102" t="str">
        <x:v>剧情进度材料</x:v>
      </x:c>
      <x:c r="E9" s="165" t="n">
        <x:f>SUMIFS('13_材料消耗明细'!$F$5:$F$324,'13_材料消耗明细'!$B$5:$B$324,A9,'13_材料消耗明细'!$C$5:$C$324,C9)</x:f>
        <x:v>8</x:v>
      </x:c>
      <x:c r="F9" s="165" t="n">
        <x:v>8</x:v>
      </x:c>
      <x:c r="G9" s="165" t="n">
        <x:f>IF(F9=0,0,E9*I9/F9)</x:f>
        <x:v>0.6</x:v>
      </x:c>
      <x:c r="H9" s="165" t="n">
        <x:f>E9*I9</x:f>
        <x:v>4.8</x:v>
      </x:c>
      <x:c r="I9" s="258" t="n">
        <x:v>0.6</x:v>
      </x:c>
      <x:c r="J9" s="165" t="n">
        <x:f>MAX(E9-H9,0)</x:f>
        <x:v>3.2</x:v>
      </x:c>
      <x:c r="K9" s="102" t="str">
        <x:v>否</x:v>
      </x:c>
      <x:c r="L9" s="103" t="str">
        <x:v>仅消费覆盖情景；不是已写入TXT的实际产量</x:v>
      </x:c>
    </x:row>
    <x:row r="10">
      <x:c r="A10" s="101" t="str">
        <x:v>C01</x:v>
      </x:c>
      <x:c r="B10" s="102" t="str">
        <x:v>漂流群岛</x:v>
      </x:c>
      <x:c r="C10" s="102" t="str">
        <x:v>漂流见证·雷</x:v>
      </x:c>
      <x:c r="D10" s="102" t="str">
        <x:v>剧情进度材料</x:v>
      </x:c>
      <x:c r="E10" s="165" t="n">
        <x:f>SUMIFS('13_材料消耗明细'!$F$5:$F$324,'13_材料消耗明细'!$B$5:$B$324,A10,'13_材料消耗明细'!$C$5:$C$324,C10)</x:f>
        <x:v>8</x:v>
      </x:c>
      <x:c r="F10" s="165" t="n">
        <x:v>8</x:v>
      </x:c>
      <x:c r="G10" s="165" t="n">
        <x:f>IF(F10=0,0,E10*I10/F10)</x:f>
        <x:v>0.6</x:v>
      </x:c>
      <x:c r="H10" s="165" t="n">
        <x:f>E10*I10</x:f>
        <x:v>4.8</x:v>
      </x:c>
      <x:c r="I10" s="258" t="n">
        <x:v>0.6</x:v>
      </x:c>
      <x:c r="J10" s="165" t="n">
        <x:f>MAX(E10-H10,0)</x:f>
        <x:v>3.2</x:v>
      </x:c>
      <x:c r="K10" s="102" t="str">
        <x:v>否</x:v>
      </x:c>
      <x:c r="L10" s="103" t="str">
        <x:v>仅消费覆盖情景；不是已写入TXT的实际产量</x:v>
      </x:c>
    </x:row>
    <x:row r="11">
      <x:c r="A11" s="101" t="str">
        <x:v>C01</x:v>
      </x:c>
      <x:c r="B11" s="102" t="str">
        <x:v>漂流群岛</x:v>
      </x:c>
      <x:c r="C11" s="102" t="str">
        <x:v>潮痕结晶</x:v>
      </x:c>
      <x:c r="D11" s="102" t="str">
        <x:v>大陆稀有材料</x:v>
      </x:c>
      <x:c r="E11" s="165" t="n">
        <x:f>SUMIFS('13_材料消耗明细'!$F$5:$F$324,'13_材料消耗明细'!$B$5:$B$324,A11,'13_材料消耗明细'!$C$5:$C$324,C11)</x:f>
        <x:v>8</x:v>
      </x:c>
      <x:c r="F11" s="165" t="n">
        <x:v>8</x:v>
      </x:c>
      <x:c r="G11" s="165" t="n">
        <x:f>IF(F11=0,0,E11*I11/F11)</x:f>
        <x:v>0.4</x:v>
      </x:c>
      <x:c r="H11" s="165" t="n">
        <x:f>E11*I11</x:f>
        <x:v>3.2</x:v>
      </x:c>
      <x:c r="I11" s="258" t="n">
        <x:v>0.4</x:v>
      </x:c>
      <x:c r="J11" s="165" t="n">
        <x:f>MAX(E11-H11,0)</x:f>
        <x:v>4.8</x:v>
      </x:c>
      <x:c r="K11" s="102" t="str">
        <x:v>否</x:v>
      </x:c>
      <x:c r="L11" s="103" t="str">
        <x:v>仅消费覆盖情景；不是已写入TXT的实际产量</x:v>
      </x:c>
    </x:row>
    <x:row r="12">
      <x:c r="A12" s="101" t="str">
        <x:v>C01</x:v>
      </x:c>
      <x:c r="B12" s="102" t="str">
        <x:v>漂流群岛</x:v>
      </x:c>
      <x:c r="C12" s="102" t="str">
        <x:v>神秘符文</x:v>
      </x:c>
      <x:c r="D12" s="102" t="str">
        <x:v>命格材料</x:v>
      </x:c>
      <x:c r="E12" s="165" t="n">
        <x:f>SUMIFS('13_材料消耗明细'!$F$5:$F$324,'13_材料消耗明细'!$B$5:$B$324,A12,'13_材料消耗明细'!$C$5:$C$324,C12)</x:f>
        <x:v>100</x:v>
      </x:c>
      <x:c r="F12" s="165" t="n">
        <x:v>8</x:v>
      </x:c>
      <x:c r="G12" s="165" t="n">
        <x:f>IF(F12=0,0,E12*I12/F12)</x:f>
        <x:v>3.125</x:v>
      </x:c>
      <x:c r="H12" s="165" t="n">
        <x:f>E12*I12</x:f>
        <x:v>25</x:v>
      </x:c>
      <x:c r="I12" s="258" t="n">
        <x:v>0.25</x:v>
      </x:c>
      <x:c r="J12" s="165" t="n">
        <x:f>MAX(E12-H12,0)</x:f>
        <x:v>75</x:v>
      </x:c>
      <x:c r="K12" s="102" t="str">
        <x:v>否</x:v>
      </x:c>
      <x:c r="L12" s="103" t="str">
        <x:v>仅消费覆盖情景；不是已写入TXT的实际产量</x:v>
      </x:c>
    </x:row>
    <x:row r="13">
      <x:c r="A13" s="101" t="str">
        <x:v>C02</x:v>
      </x:c>
      <x:c r="B13" s="102" t="str">
        <x:v>宁姆格福</x:v>
      </x:c>
      <x:c r="C13" s="102" t="str">
        <x:v>风暴石片</x:v>
      </x:c>
      <x:c r="D13" s="102" t="str">
        <x:v>大陆通用材料</x:v>
      </x:c>
      <x:c r="E13" s="165" t="n">
        <x:f>SUMIFS('13_材料消耗明细'!$F$5:$F$324,'13_材料消耗明细'!$B$5:$B$324,A13,'13_材料消耗明细'!$C$5:$C$324,C13)</x:f>
        <x:v>550</x:v>
      </x:c>
      <x:c r="F13" s="165" t="n">
        <x:v>24</x:v>
      </x:c>
      <x:c r="G13" s="165" t="n">
        <x:v>60</x:v>
      </x:c>
      <x:c r="H13" s="165" t="n">
        <x:f>F13*G13</x:f>
        <x:v>1440</x:v>
      </x:c>
      <x:c r="I13" s="258" t="n">
        <x:f>IF(E13=0,0,H13/E13)</x:f>
        <x:v>2.618181818181818</x:v>
      </x:c>
      <x:c r="J13" s="165" t="n">
        <x:f>MAX(E13-H13,0)</x:f>
        <x:v>0</x:v>
      </x:c>
      <x:c r="K13" s="102" t="str">
        <x:v>是</x:v>
      </x:c>
      <x:c r="L13" s="103" t="str">
        <x:v>高产主材产量沿用情景输入；先扣全部建议需求</x:v>
      </x:c>
    </x:row>
    <x:row r="14">
      <x:c r="A14" s="101" t="str">
        <x:v>C02</x:v>
      </x:c>
      <x:c r="B14" s="102" t="str">
        <x:v>宁姆格福</x:v>
      </x:c>
      <x:c r="C14" s="102" t="str">
        <x:v>失色锻造石</x:v>
      </x:c>
      <x:c r="D14" s="102" t="str">
        <x:v>全局辅助材料</x:v>
      </x:c>
      <x:c r="E14" s="165" t="n">
        <x:v>1770</x:v>
      </x:c>
      <x:c r="F14" s="165" t="n">
        <x:v>24</x:v>
      </x:c>
      <x:c r="G14" s="165"/>
      <x:c r="H14" s="165"/>
      <x:c r="I14" s="258"/>
      <x:c r="J14" s="165"/>
      <x:c r="K14" s="102" t="str">
        <x:v>否</x:v>
      </x:c>
      <x:c r="L14" s="103" t="str">
        <x:v>数值尺度修订：失色产出/消耗统一×10；最终供给仍待561怪专属爆率反算</x:v>
      </x:c>
    </x:row>
    <x:row r="15">
      <x:c r="A15" s="101" t="str">
        <x:v>C02</x:v>
      </x:c>
      <x:c r="B15" s="102" t="str">
        <x:v>宁姆格福</x:v>
      </x:c>
      <x:c r="C15" s="102" t="str">
        <x:v>宁姆格福誓页</x:v>
      </x:c>
      <x:c r="D15" s="102" t="str">
        <x:v>剧情进度材料</x:v>
      </x:c>
      <x:c r="E15" s="165" t="n">
        <x:f>SUMIFS('13_材料消耗明细'!$F$5:$F$324,'13_材料消耗明细'!$B$5:$B$324,A15,'13_材料消耗明细'!$C$5:$C$324,C15)</x:f>
        <x:v>180</x:v>
      </x:c>
      <x:c r="F15" s="165" t="n">
        <x:v>24</x:v>
      </x:c>
      <x:c r="G15" s="165" t="n">
        <x:f>IF(F15=0,0,E15*I15/F15)</x:f>
        <x:v>3.75</x:v>
      </x:c>
      <x:c r="H15" s="165" t="n">
        <x:f>E15*I15</x:f>
        <x:v>90</x:v>
      </x:c>
      <x:c r="I15" s="258" t="n">
        <x:v>0.5</x:v>
      </x:c>
      <x:c r="J15" s="165" t="n">
        <x:f>MAX(E15-H15,0)</x:f>
        <x:v>90</x:v>
      </x:c>
      <x:c r="K15" s="102" t="str">
        <x:v>否</x:v>
      </x:c>
      <x:c r="L15" s="103" t="str">
        <x:v>仅消费覆盖情景；不是已写入TXT的实际产量</x:v>
      </x:c>
    </x:row>
    <x:row r="16">
      <x:c r="A16" s="101" t="str">
        <x:v>C02</x:v>
      </x:c>
      <x:c r="B16" s="102" t="str">
        <x:v>宁姆格福</x:v>
      </x:c>
      <x:c r="C16" s="102" t="str">
        <x:v>接肢王印</x:v>
      </x:c>
      <x:c r="D16" s="102" t="str">
        <x:v>大陆剧情印记</x:v>
      </x:c>
      <x:c r="E16" s="165" t="n">
        <x:f>SUMIFS('13_材料消耗明细'!$F$5:$F$324,'13_材料消耗明细'!$B$5:$B$324,A16,'13_材料消耗明细'!$C$5:$C$324,C16)</x:f>
        <x:v>16</x:v>
      </x:c>
      <x:c r="F16" s="165" t="n">
        <x:v>24</x:v>
      </x:c>
      <x:c r="G16" s="165" t="n">
        <x:f>IF(F16=0,0,E16*I16/F16)</x:f>
        <x:v>0.39999999999999997</x:v>
      </x:c>
      <x:c r="H16" s="165" t="n">
        <x:f>E16*I16</x:f>
        <x:v>9.6</x:v>
      </x:c>
      <x:c r="I16" s="258" t="n">
        <x:v>0.6</x:v>
      </x:c>
      <x:c r="J16" s="165" t="n">
        <x:f>MAX(E16-H16,0)</x:f>
        <x:v>6.4</x:v>
      </x:c>
      <x:c r="K16" s="102" t="str">
        <x:v>否</x:v>
      </x:c>
      <x:c r="L16" s="103" t="str">
        <x:v>仅消费覆盖情景；不是已写入TXT的实际产量</x:v>
      </x:c>
    </x:row>
    <x:row r="17">
      <x:c r="A17" s="101" t="str">
        <x:v>C02</x:v>
      </x:c>
      <x:c r="B17" s="102" t="str">
        <x:v>宁姆格福</x:v>
      </x:c>
      <x:c r="C17" s="102" t="str">
        <x:v>海蚀铁片</x:v>
      </x:c>
      <x:c r="D17" s="102" t="str">
        <x:v>大陆通用材料</x:v>
      </x:c>
      <x:c r="E17" s="165" t="n">
        <x:f>SUMIFS('13_材料消耗明细'!$F$5:$F$324,'13_材料消耗明细'!$B$5:$B$324,A17,'13_材料消耗明细'!$C$5:$C$324,C17)</x:f>
        <x:v>40</x:v>
      </x:c>
      <x:c r="F17" s="165" t="n">
        <x:v>24</x:v>
      </x:c>
      <x:c r="G17" s="165" t="n">
        <x:f>IF(F17=0,0,E17*I17/F17)</x:f>
        <x:v>0</x:v>
      </x:c>
      <x:c r="H17" s="165" t="n">
        <x:f>E17*I17</x:f>
        <x:v>0</x:v>
      </x:c>
      <x:c r="I17" s="258" t="n">
        <x:v>0</x:v>
      </x:c>
      <x:c r="J17" s="165" t="n">
        <x:f>MAX(E17-H17,0)</x:f>
        <x:v>40</x:v>
      </x:c>
      <x:c r="K17" s="102" t="str">
        <x:v>否</x:v>
      </x:c>
      <x:c r="L17" s="103" t="str">
        <x:v>来自前阶段库存/交易；不臆造本大陆掉落</x:v>
      </x:c>
    </x:row>
    <x:row r="18">
      <x:c r="A18" s="101" t="str">
        <x:v>C02</x:v>
      </x:c>
      <x:c r="B18" s="102" t="str">
        <x:v>宁姆格福</x:v>
      </x:c>
      <x:c r="C18" s="102" t="str">
        <x:v>漂流见证·潮</x:v>
      </x:c>
      <x:c r="D18" s="102" t="str">
        <x:v>剧情进度材料</x:v>
      </x:c>
      <x:c r="E18" s="165" t="n">
        <x:f>SUMIFS('13_材料消耗明细'!$F$5:$F$324,'13_材料消耗明细'!$B$5:$B$324,A18,'13_材料消耗明细'!$C$5:$C$324,C18)</x:f>
        <x:v>6</x:v>
      </x:c>
      <x:c r="F18" s="165" t="n">
        <x:v>24</x:v>
      </x:c>
      <x:c r="G18" s="165" t="n">
        <x:f>IF(F18=0,0,E18*I18/F18)</x:f>
        <x:v>0</x:v>
      </x:c>
      <x:c r="H18" s="165" t="n">
        <x:f>E18*I18</x:f>
        <x:v>0</x:v>
      </x:c>
      <x:c r="I18" s="258" t="n">
        <x:v>0</x:v>
      </x:c>
      <x:c r="J18" s="165" t="n">
        <x:f>MAX(E18-H18,0)</x:f>
        <x:v>6</x:v>
      </x:c>
      <x:c r="K18" s="102" t="str">
        <x:v>否</x:v>
      </x:c>
      <x:c r="L18" s="103" t="str">
        <x:v>来自前阶段库存/交易；不臆造本大陆掉落</x:v>
      </x:c>
    </x:row>
    <x:row r="19">
      <x:c r="A19" s="101" t="str">
        <x:v>C02</x:v>
      </x:c>
      <x:c r="B19" s="102" t="str">
        <x:v>宁姆格福</x:v>
      </x:c>
      <x:c r="C19" s="102" t="str">
        <x:v>野兽骨片</x:v>
      </x:c>
      <x:c r="D19" s="102" t="str">
        <x:v>技能材料</x:v>
      </x:c>
      <x:c r="E19" s="165" t="n">
        <x:f>SUMIFS('13_材料消耗明细'!$F$5:$F$324,'13_材料消耗明细'!$B$5:$B$324,A19,'13_材料消耗明细'!$C$5:$C$324,C19)</x:f>
        <x:v>1725</x:v>
      </x:c>
      <x:c r="F19" s="165" t="n">
        <x:v>24</x:v>
      </x:c>
      <x:c r="G19" s="165" t="n">
        <x:f>IF(F19=0,0,E19*I19/F19)</x:f>
        <x:v>25.15625</x:v>
      </x:c>
      <x:c r="H19" s="165" t="n">
        <x:f>E19*I19</x:f>
        <x:v>603.75</x:v>
      </x:c>
      <x:c r="I19" s="258" t="n">
        <x:v>0.35</x:v>
      </x:c>
      <x:c r="J19" s="165" t="n">
        <x:f>MAX(E19-H19,0)</x:f>
        <x:v>1121.25</x:v>
      </x:c>
      <x:c r="K19" s="102" t="str">
        <x:v>否</x:v>
      </x:c>
      <x:c r="L19" s="103" t="str">
        <x:v>仅消费覆盖情景；不是已写入TXT的实际产量</x:v>
      </x:c>
    </x:row>
    <x:row r="20">
      <x:c r="A20" s="101" t="str">
        <x:v>C02</x:v>
      </x:c>
      <x:c r="B20" s="102" t="str">
        <x:v>宁姆格福</x:v>
      </x:c>
      <x:c r="C20" s="102" t="str">
        <x:v>黄金树芽</x:v>
      </x:c>
      <x:c r="D20" s="102" t="str">
        <x:v>大陆稀有材料</x:v>
      </x:c>
      <x:c r="E20" s="165" t="n">
        <x:f>SUMIFS('13_材料消耗明细'!$F$5:$F$324,'13_材料消耗明细'!$B$5:$B$324,A20,'13_材料消耗明细'!$C$5:$C$324,C20)</x:f>
        <x:v>282</x:v>
      </x:c>
      <x:c r="F20" s="165" t="n">
        <x:v>24</x:v>
      </x:c>
      <x:c r="G20" s="165" t="n">
        <x:f>IF(F20=0,0,E20*I20/F20)</x:f>
        <x:v>4.7</x:v>
      </x:c>
      <x:c r="H20" s="165" t="n">
        <x:f>E20*I20</x:f>
        <x:v>112.80000000000001</x:v>
      </x:c>
      <x:c r="I20" s="258" t="n">
        <x:v>0.4</x:v>
      </x:c>
      <x:c r="J20" s="165" t="n">
        <x:f>MAX(E20-H20,0)</x:f>
        <x:v>169.2</x:v>
      </x:c>
      <x:c r="K20" s="102" t="str">
        <x:v>否</x:v>
      </x:c>
      <x:c r="L20" s="103" t="str">
        <x:v>仅消费覆盖情景；不是已写入TXT的实际产量</x:v>
      </x:c>
    </x:row>
    <x:row r="21">
      <x:c r="A21" s="101" t="str">
        <x:v>C03</x:v>
      </x:c>
      <x:c r="B21" s="102" t="str">
        <x:v>宁姆格福西域</x:v>
      </x:c>
      <x:c r="C21" s="102" t="str">
        <x:v>风蚀铁片</x:v>
      </x:c>
      <x:c r="D21" s="102" t="str">
        <x:v>大陆通用材料</x:v>
      </x:c>
      <x:c r="E21" s="165" t="n">
        <x:f>SUMIFS('13_材料消耗明细'!$F$5:$F$324,'13_材料消耗明细'!$B$5:$B$324,A21,'13_材料消耗明细'!$C$5:$C$324,C21)</x:f>
        <x:v>820</x:v>
      </x:c>
      <x:c r="F21" s="165" t="n">
        <x:v>32</x:v>
      </x:c>
      <x:c r="G21" s="165" t="n">
        <x:v>70</x:v>
      </x:c>
      <x:c r="H21" s="165" t="n">
        <x:f>F21*G21</x:f>
        <x:v>2240</x:v>
      </x:c>
      <x:c r="I21" s="258" t="n">
        <x:f>IF(E21=0,0,H21/E21)</x:f>
        <x:v>2.731707317073171</x:v>
      </x:c>
      <x:c r="J21" s="165" t="n">
        <x:f>MAX(E21-H21,0)</x:f>
        <x:v>0</x:v>
      </x:c>
      <x:c r="K21" s="102" t="str">
        <x:v>是</x:v>
      </x:c>
      <x:c r="L21" s="103" t="str">
        <x:v>高产主材产量沿用情景输入；先扣全部建议需求</x:v>
      </x:c>
    </x:row>
    <x:row r="22">
      <x:c r="A22" s="101" t="str">
        <x:v>C03</x:v>
      </x:c>
      <x:c r="B22" s="102" t="str">
        <x:v>宁姆格福西域</x:v>
      </x:c>
      <x:c r="C22" s="102" t="str">
        <x:v>哨垒旗冠</x:v>
      </x:c>
      <x:c r="D22" s="102" t="str">
        <x:v>守关BOSS证物</x:v>
      </x:c>
      <x:c r="E22" s="165" t="n">
        <x:f>SUMIFS('13_材料消耗明细'!$F$5:$F$324,'13_材料消耗明细'!$B$5:$B$324,A22,'13_材料消耗明细'!$C$5:$C$324,C22)</x:f>
        <x:v>2</x:v>
      </x:c>
      <x:c r="F22" s="165" t="n">
        <x:v>32</x:v>
      </x:c>
      <x:c r="G22" s="165" t="n">
        <x:f>IF(F22=0,0,E22*I22/F22)</x:f>
        <x:v>0.025</x:v>
      </x:c>
      <x:c r="H22" s="165" t="n">
        <x:f>E22*I22</x:f>
        <x:v>0.8</x:v>
      </x:c>
      <x:c r="I22" s="258" t="n">
        <x:v>0.4</x:v>
      </x:c>
      <x:c r="J22" s="165" t="n">
        <x:f>MAX(E22-H22,0)</x:f>
        <x:v>1.2</x:v>
      </x:c>
      <x:c r="K22" s="102" t="str">
        <x:v>否</x:v>
      </x:c>
      <x:c r="L22" s="103" t="str">
        <x:v>仅消费覆盖情景；不是已写入TXT的实际产量</x:v>
      </x:c>
    </x:row>
    <x:row r="23">
      <x:c r="A23" s="101" t="str">
        <x:v>C03</x:v>
      </x:c>
      <x:c r="B23" s="102" t="str">
        <x:v>宁姆格福西域</x:v>
      </x:c>
      <x:c r="C23" s="102" t="str">
        <x:v>商队火漆</x:v>
      </x:c>
      <x:c r="D23" s="102" t="str">
        <x:v>精英证物</x:v>
      </x:c>
      <x:c r="E23" s="165" t="n">
        <x:f>SUMIFS('13_材料消耗明细'!$F$5:$F$324,'13_材料消耗明细'!$B$5:$B$324,A23,'13_材料消耗明细'!$C$5:$C$324,C23)</x:f>
        <x:v>20</x:v>
      </x:c>
      <x:c r="F23" s="165" t="n">
        <x:v>32</x:v>
      </x:c>
      <x:c r="G23" s="165" t="n">
        <x:f>IF(F23=0,0,E23*I23/F23)</x:f>
        <x:v>0.25</x:v>
      </x:c>
      <x:c r="H23" s="165" t="n">
        <x:f>E23*I23</x:f>
        <x:v>8</x:v>
      </x:c>
      <x:c r="I23" s="258" t="n">
        <x:v>0.4</x:v>
      </x:c>
      <x:c r="J23" s="165" t="n">
        <x:f>MAX(E23-H23,0)</x:f>
        <x:v>12</x:v>
      </x:c>
      <x:c r="K23" s="102" t="str">
        <x:v>否</x:v>
      </x:c>
      <x:c r="L23" s="103" t="str">
        <x:v>仅消费覆盖情景；不是已写入TXT的实际产量</x:v>
      </x:c>
    </x:row>
    <x:row r="24">
      <x:c r="A24" s="101" t="str">
        <x:v>C03</x:v>
      </x:c>
      <x:c r="B24" s="102" t="str">
        <x:v>宁姆格福西域</x:v>
      </x:c>
      <x:c r="C24" s="102" t="str">
        <x:v>失色锻造石</x:v>
      </x:c>
      <x:c r="D24" s="102" t="str">
        <x:v>全局辅助材料</x:v>
      </x:c>
      <x:c r="E24" s="165" t="n">
        <x:v>2560</x:v>
      </x:c>
      <x:c r="F24" s="165" t="n">
        <x:v>32</x:v>
      </x:c>
      <x:c r="G24" s="165"/>
      <x:c r="H24" s="165"/>
      <x:c r="I24" s="258"/>
      <x:c r="J24" s="165"/>
      <x:c r="K24" s="102" t="str">
        <x:v>否</x:v>
      </x:c>
      <x:c r="L24" s="103" t="str">
        <x:v>数值尺度修订：失色产出/消耗统一×10；最终供给仍待561怪专属爆率反算</x:v>
      </x:c>
    </x:row>
    <x:row r="25">
      <x:c r="A25" s="101" t="str">
        <x:v>C03</x:v>
      </x:c>
      <x:c r="B25" s="102" t="str">
        <x:v>宁姆格福西域</x:v>
      </x:c>
      <x:c r="C25" s="102" t="str">
        <x:v>守垒铜钥</x:v>
      </x:c>
      <x:c r="D25" s="102" t="str">
        <x:v>地图BOSS证物</x:v>
      </x:c>
      <x:c r="E25" s="165" t="n">
        <x:f>SUMIFS('13_材料消耗明细'!$F$5:$F$324,'13_材料消耗明细'!$B$5:$B$324,A25,'13_材料消耗明细'!$C$5:$C$324,C25)</x:f>
        <x:v>4</x:v>
      </x:c>
      <x:c r="F25" s="165" t="n">
        <x:v>32</x:v>
      </x:c>
      <x:c r="G25" s="165" t="n">
        <x:f>IF(F25=0,0,E25*I25/F25)</x:f>
        <x:v>0.05</x:v>
      </x:c>
      <x:c r="H25" s="165" t="n">
        <x:f>E25*I25</x:f>
        <x:v>1.6</x:v>
      </x:c>
      <x:c r="I25" s="258" t="n">
        <x:v>0.4</x:v>
      </x:c>
      <x:c r="J25" s="165" t="n">
        <x:f>MAX(E25-H25,0)</x:f>
        <x:v>2.4</x:v>
      </x:c>
      <x:c r="K25" s="102" t="str">
        <x:v>否</x:v>
      </x:c>
      <x:c r="L25" s="103" t="str">
        <x:v>仅消费覆盖情景；不是已写入TXT的实际产量</x:v>
      </x:c>
    </x:row>
    <x:row r="26">
      <x:c r="A26" s="101" t="str">
        <x:v>C03</x:v>
      </x:c>
      <x:c r="B26" s="102" t="str">
        <x:v>宁姆格福西域</x:v>
      </x:c>
      <x:c r="C26" s="102" t="str">
        <x:v>裂风崖羽</x:v>
      </x:c>
      <x:c r="D26" s="102" t="str">
        <x:v>普通怪证物</x:v>
      </x:c>
      <x:c r="E26" s="165" t="n">
        <x:f>SUMIFS('13_材料消耗明细'!$F$5:$F$324,'13_材料消耗明细'!$B$5:$B$324,A26,'13_材料消耗明细'!$C$5:$C$324,C26)</x:f>
        <x:v>68</x:v>
      </x:c>
      <x:c r="F26" s="165" t="n">
        <x:v>32</x:v>
      </x:c>
      <x:c r="G26" s="165" t="n">
        <x:f>IF(F26=0,0,E26*I26/F26)</x:f>
        <x:v>0.8500000000000001</x:v>
      </x:c>
      <x:c r="H26" s="165" t="n">
        <x:f>E26*I26</x:f>
        <x:v>27.200000000000003</x:v>
      </x:c>
      <x:c r="I26" s="258" t="n">
        <x:v>0.4</x:v>
      </x:c>
      <x:c r="J26" s="165" t="n">
        <x:f>MAX(E26-H26,0)</x:f>
        <x:v>40.8</x:v>
      </x:c>
      <x:c r="K26" s="102" t="str">
        <x:v>否</x:v>
      </x:c>
      <x:c r="L26" s="103" t="str">
        <x:v>仅消费覆盖情景；不是已写入TXT的实际产量</x:v>
      </x:c>
    </x:row>
    <x:row r="27">
      <x:c r="A27" s="101" t="str">
        <x:v>C03</x:v>
      </x:c>
      <x:c r="B27" s="102" t="str">
        <x:v>宁姆格福西域</x:v>
      </x:c>
      <x:c r="C27" s="102" t="str">
        <x:v>西境战旗</x:v>
      </x:c>
      <x:c r="D27" s="102" t="str">
        <x:v>大陆稀有材料</x:v>
      </x:c>
      <x:c r="E27" s="165" t="n">
        <x:f>SUMIFS('13_材料消耗明细'!$F$5:$F$324,'13_材料消耗明细'!$B$5:$B$324,A27,'13_材料消耗明细'!$C$5:$C$324,C27)</x:f>
        <x:v>20</x:v>
      </x:c>
      <x:c r="F27" s="165" t="n">
        <x:v>32</x:v>
      </x:c>
      <x:c r="G27" s="165" t="n">
        <x:f>IF(F27=0,0,E27*I27/F27)</x:f>
        <x:v>0.25</x:v>
      </x:c>
      <x:c r="H27" s="165" t="n">
        <x:f>E27*I27</x:f>
        <x:v>8</x:v>
      </x:c>
      <x:c r="I27" s="258" t="n">
        <x:v>0.4</x:v>
      </x:c>
      <x:c r="J27" s="165" t="n">
        <x:f>MAX(E27-H27,0)</x:f>
        <x:v>12</x:v>
      </x:c>
      <x:c r="K27" s="102" t="str">
        <x:v>否</x:v>
      </x:c>
      <x:c r="L27" s="103" t="str">
        <x:v>仅消费覆盖情景；不是已写入TXT的实际产量</x:v>
      </x:c>
    </x:row>
    <x:row r="28">
      <x:c r="A28" s="101" t="str">
        <x:v>C03</x:v>
      </x:c>
      <x:c r="B28" s="102" t="str">
        <x:v>宁姆格福西域</x:v>
      </x:c>
      <x:c r="C28" s="102" t="str">
        <x:v>西境战旗印</x:v>
      </x:c>
      <x:c r="D28" s="102" t="str">
        <x:v>大陆剧情印记</x:v>
      </x:c>
      <x:c r="E28" s="165" t="n">
        <x:f>SUMIFS('13_材料消耗明细'!$F$5:$F$324,'13_材料消耗明细'!$B$5:$B$324,A28,'13_材料消耗明细'!$C$5:$C$324,C28)</x:f>
        <x:v>22</x:v>
      </x:c>
      <x:c r="F28" s="165" t="n">
        <x:v>32</x:v>
      </x:c>
      <x:c r="G28" s="165" t="n">
        <x:f>IF(F28=0,0,E28*I28/F28)</x:f>
        <x:v>0.4125</x:v>
      </x:c>
      <x:c r="H28" s="165" t="n">
        <x:f>E28*I28</x:f>
        <x:v>13.2</x:v>
      </x:c>
      <x:c r="I28" s="258" t="n">
        <x:v>0.6</x:v>
      </x:c>
      <x:c r="J28" s="165" t="n">
        <x:f>MAX(E28-H28,0)</x:f>
        <x:v>8.8</x:v>
      </x:c>
      <x:c r="K28" s="102" t="str">
        <x:v>否</x:v>
      </x:c>
      <x:c r="L28" s="103" t="str">
        <x:v>仅消费覆盖情景；不是已写入TXT的实际产量</x:v>
      </x:c>
    </x:row>
    <x:row r="29">
      <x:c r="A29" s="101" t="str">
        <x:v>C03</x:v>
      </x:c>
      <x:c r="B29" s="102" t="str">
        <x:v>宁姆格福西域</x:v>
      </x:c>
      <x:c r="C29" s="102" t="str">
        <x:v>野兽骨片</x:v>
      </x:c>
      <x:c r="D29" s="102" t="str">
        <x:v>技能材料</x:v>
      </x:c>
      <x:c r="E29" s="165" t="n">
        <x:f>SUMIFS('13_材料消耗明细'!$F$5:$F$324,'13_材料消耗明细'!$B$5:$B$324,A29,'13_材料消耗明细'!$C$5:$C$324,C29)</x:f>
        <x:v>2730</x:v>
      </x:c>
      <x:c r="F29" s="165" t="n">
        <x:v>32</x:v>
      </x:c>
      <x:c r="G29" s="165" t="n">
        <x:f>IF(F29=0,0,E29*I29/F29)</x:f>
        <x:v>29.859374999999996</x:v>
      </x:c>
      <x:c r="H29" s="165" t="n">
        <x:f>E29*I29</x:f>
        <x:v>955.4999999999999</x:v>
      </x:c>
      <x:c r="I29" s="258" t="n">
        <x:v>0.35</x:v>
      </x:c>
      <x:c r="J29" s="165" t="n">
        <x:f>MAX(E29-H29,0)</x:f>
        <x:v>1774.5</x:v>
      </x:c>
      <x:c r="K29" s="102" t="str">
        <x:v>否</x:v>
      </x:c>
      <x:c r="L29" s="103" t="str">
        <x:v>仅消费覆盖情景；不是已写入TXT的实际产量</x:v>
      </x:c>
    </x:row>
    <x:row r="30">
      <x:c r="A30" s="101" t="str">
        <x:v>C04</x:v>
      </x:c>
      <x:c r="B30" s="102" t="str">
        <x:v>利耶尼亚海域</x:v>
      </x:c>
      <x:c r="C30" s="102" t="str">
        <x:v>湖盐结晶</x:v>
      </x:c>
      <x:c r="D30" s="102" t="str">
        <x:v>大陆通用材料</x:v>
      </x:c>
      <x:c r="E30" s="165" t="n">
        <x:f>SUMIFS('13_材料消耗明细'!$F$5:$F$324,'13_材料消耗明细'!$B$5:$B$324,A30,'13_材料消耗明细'!$C$5:$C$324,C30)</x:f>
        <x:v>1477</x:v>
      </x:c>
      <x:c r="F30" s="165" t="n">
        <x:v>40</x:v>
      </x:c>
      <x:c r="G30" s="165" t="n">
        <x:v>78</x:v>
      </x:c>
      <x:c r="H30" s="165" t="n">
        <x:f>F30*G30</x:f>
        <x:v>3120</x:v>
      </x:c>
      <x:c r="I30" s="258" t="n">
        <x:f>IF(E30=0,0,H30/E30)</x:f>
        <x:v>2.1123899796885577</x:v>
      </x:c>
      <x:c r="J30" s="165" t="n">
        <x:f>MAX(E30-H30,0)</x:f>
        <x:v>0</x:v>
      </x:c>
      <x:c r="K30" s="102" t="str">
        <x:v>是</x:v>
      </x:c>
      <x:c r="L30" s="103" t="str">
        <x:v>高产主材产量沿用情景输入；先扣全部建议需求</x:v>
      </x:c>
    </x:row>
    <x:row r="31">
      <x:c r="A31" s="101" t="str">
        <x:v>C04</x:v>
      </x:c>
      <x:c r="B31" s="102" t="str">
        <x:v>利耶尼亚海域</x:v>
      </x:c>
      <x:c r="C31" s="102" t="str">
        <x:v>失色锻造石</x:v>
      </x:c>
      <x:c r="D31" s="102" t="str">
        <x:v>全局辅助材料</x:v>
      </x:c>
      <x:c r="E31" s="165" t="n">
        <x:v>3880</x:v>
      </x:c>
      <x:c r="F31" s="165" t="n">
        <x:v>40</x:v>
      </x:c>
      <x:c r="G31" s="165"/>
      <x:c r="H31" s="165"/>
      <x:c r="I31" s="258"/>
      <x:c r="J31" s="165"/>
      <x:c r="K31" s="102" t="str">
        <x:v>否</x:v>
      </x:c>
      <x:c r="L31" s="103" t="str">
        <x:v>数值尺度修订：失色产出/消耗统一×10；最终供给仍待561怪专属爆率反算</x:v>
      </x:c>
    </x:row>
    <x:row r="32">
      <x:c r="A32" s="101" t="str">
        <x:v>C04</x:v>
      </x:c>
      <x:c r="B32" s="102" t="str">
        <x:v>利耶尼亚海域</x:v>
      </x:c>
      <x:c r="C32" s="102" t="str">
        <x:v>小卢恩</x:v>
      </x:c>
      <x:c r="D32" s="102" t="str">
        <x:v>转生材料</x:v>
      </x:c>
      <x:c r="E32" s="165" t="n">
        <x:f>SUMIFS('13_材料消耗明细'!$F$5:$F$324,'13_材料消耗明细'!$B$5:$B$324,A32,'13_材料消耗明细'!$C$5:$C$324,C32)</x:f>
        <x:v>250</x:v>
      </x:c>
      <x:c r="F32" s="165" t="n">
        <x:v>40</x:v>
      </x:c>
      <x:c r="G32" s="165" t="n">
        <x:f>IF(F32=0,0,E32*I32/F32)</x:f>
        <x:v>2.5</x:v>
      </x:c>
      <x:c r="H32" s="165" t="n">
        <x:f>E32*I32</x:f>
        <x:v>100</x:v>
      </x:c>
      <x:c r="I32" s="258" t="n">
        <x:v>0.4</x:v>
      </x:c>
      <x:c r="J32" s="165" t="n">
        <x:f>MAX(E32-H32,0)</x:f>
        <x:v>150</x:v>
      </x:c>
      <x:c r="K32" s="102" t="str">
        <x:v>否</x:v>
      </x:c>
      <x:c r="L32" s="103" t="str">
        <x:v>仅消费覆盖情景；不是已写入TXT的实际产量</x:v>
      </x:c>
    </x:row>
    <x:row r="33">
      <x:c r="A33" s="101" t="str">
        <x:v>C04</x:v>
      </x:c>
      <x:c r="B33" s="102" t="str">
        <x:v>利耶尼亚海域</x:v>
      </x:c>
      <x:c r="C33" s="102" t="str">
        <x:v>幽船铆钉</x:v>
      </x:c>
      <x:c r="D33" s="102" t="str">
        <x:v>大陆稀有材料</x:v>
      </x:c>
      <x:c r="E33" s="165" t="n">
        <x:f>SUMIFS('13_材料消耗明细'!$F$5:$F$324,'13_材料消耗明细'!$B$5:$B$324,A33,'13_材料消耗明细'!$C$5:$C$324,C33)</x:f>
        <x:v>21</x:v>
      </x:c>
      <x:c r="F33" s="165" t="n">
        <x:v>40</x:v>
      </x:c>
      <x:c r="G33" s="165" t="n">
        <x:f>IF(F33=0,0,E33*I33/F33)</x:f>
        <x:v>0.21000000000000002</x:v>
      </x:c>
      <x:c r="H33" s="165" t="n">
        <x:f>E33*I33</x:f>
        <x:v>8.4</x:v>
      </x:c>
      <x:c r="I33" s="258" t="n">
        <x:v>0.4</x:v>
      </x:c>
      <x:c r="J33" s="165" t="n">
        <x:f>MAX(E33-H33,0)</x:f>
        <x:v>12.6</x:v>
      </x:c>
      <x:c r="K33" s="102" t="str">
        <x:v>否</x:v>
      </x:c>
      <x:c r="L33" s="103" t="str">
        <x:v>仅消费覆盖情景；不是已写入TXT的实际产量</x:v>
      </x:c>
    </x:row>
    <x:row r="34">
      <x:c r="A34" s="101" t="str">
        <x:v>C04</x:v>
      </x:c>
      <x:c r="B34" s="102" t="str">
        <x:v>利耶尼亚海域</x:v>
      </x:c>
      <x:c r="C34" s="102" t="str">
        <x:v>沉湖王印</x:v>
      </x:c>
      <x:c r="D34" s="102" t="str">
        <x:v>大陆剧情印记</x:v>
      </x:c>
      <x:c r="E34" s="165" t="n">
        <x:f>SUMIFS('13_材料消耗明细'!$F$5:$F$324,'13_材料消耗明细'!$B$5:$B$324,A34,'13_材料消耗明细'!$C$5:$C$324,C34)</x:f>
        <x:v>32</x:v>
      </x:c>
      <x:c r="F34" s="165" t="n">
        <x:v>40</x:v>
      </x:c>
      <x:c r="G34" s="165" t="n">
        <x:f>IF(F34=0,0,E34*I34/F34)</x:f>
        <x:v>0.48</x:v>
      </x:c>
      <x:c r="H34" s="165" t="n">
        <x:f>E34*I34</x:f>
        <x:v>19.2</x:v>
      </x:c>
      <x:c r="I34" s="258" t="n">
        <x:v>0.6</x:v>
      </x:c>
      <x:c r="J34" s="165" t="n">
        <x:f>MAX(E34-H34,0)</x:f>
        <x:v>12.8</x:v>
      </x:c>
      <x:c r="K34" s="102" t="str">
        <x:v>否</x:v>
      </x:c>
      <x:c r="L34" s="103" t="str">
        <x:v>仅消费覆盖情景；不是已写入TXT的实际产量</x:v>
      </x:c>
    </x:row>
    <x:row r="35">
      <x:c r="A35" s="101" t="str">
        <x:v>C04</x:v>
      </x:c>
      <x:c r="B35" s="102" t="str">
        <x:v>利耶尼亚海域</x:v>
      </x:c>
      <x:c r="C35" s="102" t="str">
        <x:v>沉船缆扣</x:v>
      </x:c>
      <x:c r="D35" s="102" t="str">
        <x:v>精英证物</x:v>
      </x:c>
      <x:c r="E35" s="165" t="n">
        <x:f>SUMIFS('13_材料消耗明细'!$F$5:$F$324,'13_材料消耗明细'!$B$5:$B$324,A35,'13_材料消耗明细'!$C$5:$C$324,C35)</x:f>
        <x:v>28</x:v>
      </x:c>
      <x:c r="F35" s="165" t="n">
        <x:v>40</x:v>
      </x:c>
      <x:c r="G35" s="165" t="n">
        <x:f>IF(F35=0,0,E35*I35/F35)</x:f>
        <x:v>0.28</x:v>
      </x:c>
      <x:c r="H35" s="165" t="n">
        <x:f>E35*I35</x:f>
        <x:v>11.200000000000001</x:v>
      </x:c>
      <x:c r="I35" s="258" t="n">
        <x:v>0.4</x:v>
      </x:c>
      <x:c r="J35" s="165" t="n">
        <x:f>MAX(E35-H35,0)</x:f>
        <x:v>16.799999999999997</x:v>
      </x:c>
      <x:c r="K35" s="102" t="str">
        <x:v>否</x:v>
      </x:c>
      <x:c r="L35" s="103" t="str">
        <x:v>仅消费覆盖情景；不是已写入TXT的实际产量</x:v>
      </x:c>
    </x:row>
    <x:row r="36">
      <x:c r="A36" s="101" t="str">
        <x:v>C04</x:v>
      </x:c>
      <x:c r="B36" s="102" t="str">
        <x:v>利耶尼亚海域</x:v>
      </x:c>
      <x:c r="C36" s="102" t="str">
        <x:v>深湖压舱印</x:v>
      </x:c>
      <x:c r="D36" s="102" t="str">
        <x:v>地图BOSS证物</x:v>
      </x:c>
      <x:c r="E36" s="165" t="n">
        <x:f>SUMIFS('13_材料消耗明细'!$F$5:$F$324,'13_材料消耗明细'!$B$5:$B$324,A36,'13_材料消耗明细'!$C$5:$C$324,C36)</x:f>
        <x:v>6</x:v>
      </x:c>
      <x:c r="F36" s="165" t="n">
        <x:v>40</x:v>
      </x:c>
      <x:c r="G36" s="165" t="n">
        <x:f>IF(F36=0,0,E36*I36/F36)</x:f>
        <x:v>0.06000000000000001</x:v>
      </x:c>
      <x:c r="H36" s="165" t="n">
        <x:f>E36*I36</x:f>
        <x:v>2.4000000000000004</x:v>
      </x:c>
      <x:c r="I36" s="258" t="n">
        <x:v>0.4</x:v>
      </x:c>
      <x:c r="J36" s="165" t="n">
        <x:f>MAX(E36-H36,0)</x:f>
        <x:v>3.5999999999999996</x:v>
      </x:c>
      <x:c r="K36" s="102" t="str">
        <x:v>否</x:v>
      </x:c>
      <x:c r="L36" s="103" t="str">
        <x:v>仅消费覆盖情景；不是已写入TXT的实际产量</x:v>
      </x:c>
    </x:row>
    <x:row r="37">
      <x:c r="A37" s="101" t="str">
        <x:v>C04</x:v>
      </x:c>
      <x:c r="B37" s="102" t="str">
        <x:v>利耶尼亚海域</x:v>
      </x:c>
      <x:c r="C37" s="102" t="str">
        <x:v>湖底封门珠</x:v>
      </x:c>
      <x:c r="D37" s="102" t="str">
        <x:v>守关BOSS证物</x:v>
      </x:c>
      <x:c r="E37" s="165" t="n">
        <x:f>SUMIFS('13_材料消耗明细'!$F$5:$F$324,'13_材料消耗明细'!$B$5:$B$324,A37,'13_材料消耗明细'!$C$5:$C$324,C37)</x:f>
        <x:v>2</x:v>
      </x:c>
      <x:c r="F37" s="165" t="n">
        <x:v>40</x:v>
      </x:c>
      <x:c r="G37" s="165" t="n">
        <x:f>IF(F37=0,0,E37*I37/F37)</x:f>
        <x:v>0.02</x:v>
      </x:c>
      <x:c r="H37" s="165" t="n">
        <x:f>E37*I37</x:f>
        <x:v>0.8</x:v>
      </x:c>
      <x:c r="I37" s="258" t="n">
        <x:v>0.4</x:v>
      </x:c>
      <x:c r="J37" s="165" t="n">
        <x:f>MAX(E37-H37,0)</x:f>
        <x:v>1.2</x:v>
      </x:c>
      <x:c r="K37" s="102" t="str">
        <x:v>否</x:v>
      </x:c>
      <x:c r="L37" s="103" t="str">
        <x:v>仅消费覆盖情景；不是已写入TXT的实际产量</x:v>
      </x:c>
    </x:row>
    <x:row r="38">
      <x:c r="A38" s="101" t="str">
        <x:v>C04</x:v>
      </x:c>
      <x:c r="B38" s="102" t="str">
        <x:v>利耶尼亚海域</x:v>
      </x:c>
      <x:c r="C38" s="102" t="str">
        <x:v>野兽骨片</x:v>
      </x:c>
      <x:c r="D38" s="102" t="str">
        <x:v>技能材料</x:v>
      </x:c>
      <x:c r="E38" s="165" t="n">
        <x:f>SUMIFS('13_材料消耗明细'!$F$5:$F$324,'13_材料消耗明细'!$B$5:$B$324,A38,'13_材料消耗明细'!$C$5:$C$324,C38)</x:f>
        <x:v>4585</x:v>
      </x:c>
      <x:c r="F38" s="165" t="n">
        <x:v>40</x:v>
      </x:c>
      <x:c r="G38" s="165" t="n">
        <x:f>IF(F38=0,0,E38*I38/F38)</x:f>
        <x:v>40.11875</x:v>
      </x:c>
      <x:c r="H38" s="165" t="n">
        <x:f>E38*I38</x:f>
        <x:v>1604.75</x:v>
      </x:c>
      <x:c r="I38" s="258" t="n">
        <x:v>0.35</x:v>
      </x:c>
      <x:c r="J38" s="165" t="n">
        <x:f>MAX(E38-H38,0)</x:f>
        <x:v>2980.25</x:v>
      </x:c>
      <x:c r="K38" s="102" t="str">
        <x:v>否</x:v>
      </x:c>
      <x:c r="L38" s="103" t="str">
        <x:v>仅消费覆盖情景；不是已写入TXT的实际产量</x:v>
      </x:c>
    </x:row>
    <x:row r="39">
      <x:c r="A39" s="101" t="str">
        <x:v>C04</x:v>
      </x:c>
      <x:c r="B39" s="102" t="str">
        <x:v>利耶尼亚海域</x:v>
      </x:c>
      <x:c r="C39" s="102" t="str">
        <x:v>雾潮银鳞</x:v>
      </x:c>
      <x:c r="D39" s="102" t="str">
        <x:v>普通怪证物</x:v>
      </x:c>
      <x:c r="E39" s="165" t="n">
        <x:f>SUMIFS('13_材料消耗明细'!$F$5:$F$324,'13_材料消耗明细'!$B$5:$B$324,A39,'13_材料消耗明细'!$C$5:$C$324,C39)</x:f>
        <x:v>107</x:v>
      </x:c>
      <x:c r="F39" s="165" t="n">
        <x:v>40</x:v>
      </x:c>
      <x:c r="G39" s="165" t="n">
        <x:f>IF(F39=0,0,E39*I39/F39)</x:f>
        <x:v>1.07</x:v>
      </x:c>
      <x:c r="H39" s="165" t="n">
        <x:f>E39*I39</x:f>
        <x:v>42.800000000000004</x:v>
      </x:c>
      <x:c r="I39" s="258" t="n">
        <x:v>0.4</x:v>
      </x:c>
      <x:c r="J39" s="165" t="n">
        <x:f>MAX(E39-H39,0)</x:f>
        <x:v>64.19999999999999</x:v>
      </x:c>
      <x:c r="K39" s="102" t="str">
        <x:v>否</x:v>
      </x:c>
      <x:c r="L39" s="103" t="str">
        <x:v>仅消费覆盖情景；不是已写入TXT的实际产量</x:v>
      </x:c>
    </x:row>
    <x:row r="40">
      <x:c r="A40" s="101" t="str">
        <x:v>C05</x:v>
      </x:c>
      <x:c r="B40" s="102" t="str">
        <x:v>湖之利耶尼亚</x:v>
      </x:c>
      <x:c r="C40" s="102" t="str">
        <x:v>辉石碎晶</x:v>
      </x:c>
      <x:c r="D40" s="102" t="str">
        <x:v>大陆通用材料</x:v>
      </x:c>
      <x:c r="E40" s="165" t="n">
        <x:f>SUMIFS('13_材料消耗明细'!$F$5:$F$324,'13_材料消耗明细'!$B$5:$B$324,A40,'13_材料消耗明细'!$C$5:$C$324,C40)</x:f>
        <x:v>1600</x:v>
      </x:c>
      <x:c r="F40" s="165" t="n">
        <x:v>48</x:v>
      </x:c>
      <x:c r="G40" s="165" t="n">
        <x:v>84</x:v>
      </x:c>
      <x:c r="H40" s="165" t="n">
        <x:f>F40*G40</x:f>
        <x:v>4032</x:v>
      </x:c>
      <x:c r="I40" s="258" t="n">
        <x:f>IF(E40=0,0,H40/E40)</x:f>
        <x:v>2.52</x:v>
      </x:c>
      <x:c r="J40" s="165" t="n">
        <x:f>MAX(E40-H40,0)</x:f>
        <x:v>0</x:v>
      </x:c>
      <x:c r="K40" s="102" t="str">
        <x:v>是</x:v>
      </x:c>
      <x:c r="L40" s="103" t="str">
        <x:v>高产主材产量沿用情景输入；先扣全部建议需求</x:v>
      </x:c>
    </x:row>
    <x:row r="41">
      <x:c r="A41" s="101" t="str">
        <x:v>C05</x:v>
      </x:c>
      <x:c r="B41" s="102" t="str">
        <x:v>湖之利耶尼亚</x:v>
      </x:c>
      <x:c r="C41" s="102" t="str">
        <x:v>卡利亚月露</x:v>
      </x:c>
      <x:c r="D41" s="102" t="str">
        <x:v>大陆稀有材料</x:v>
      </x:c>
      <x:c r="E41" s="165" t="n">
        <x:f>SUMIFS('13_材料消耗明细'!$F$5:$F$324,'13_材料消耗明细'!$B$5:$B$324,A41,'13_材料消耗明细'!$C$5:$C$324,C41)</x:f>
        <x:v>36</x:v>
      </x:c>
      <x:c r="F41" s="165" t="n">
        <x:v>48</x:v>
      </x:c>
      <x:c r="G41" s="165" t="n">
        <x:f>IF(F41=0,0,E41*I41/F41)</x:f>
        <x:v>0.3</x:v>
      </x:c>
      <x:c r="H41" s="165" t="n">
        <x:f>E41*I41</x:f>
        <x:v>14.4</x:v>
      </x:c>
      <x:c r="I41" s="258" t="n">
        <x:v>0.4</x:v>
      </x:c>
      <x:c r="J41" s="165" t="n">
        <x:f>MAX(E41-H41,0)</x:f>
        <x:v>21.6</x:v>
      </x:c>
      <x:c r="K41" s="102" t="str">
        <x:v>否</x:v>
      </x:c>
      <x:c r="L41" s="103" t="str">
        <x:v>仅消费覆盖情景；不是已写入TXT的实际产量</x:v>
      </x:c>
    </x:row>
    <x:row r="42">
      <x:c r="A42" s="101" t="str">
        <x:v>C05</x:v>
      </x:c>
      <x:c r="B42" s="102" t="str">
        <x:v>湖之利耶尼亚</x:v>
      </x:c>
      <x:c r="C42" s="102" t="str">
        <x:v>失色锻造石</x:v>
      </x:c>
      <x:c r="D42" s="102" t="str">
        <x:v>全局辅助材料</x:v>
      </x:c>
      <x:c r="E42" s="165" t="n">
        <x:v>7130</x:v>
      </x:c>
      <x:c r="F42" s="165" t="n">
        <x:v>48</x:v>
      </x:c>
      <x:c r="G42" s="165"/>
      <x:c r="H42" s="165"/>
      <x:c r="I42" s="258"/>
      <x:c r="J42" s="165"/>
      <x:c r="K42" s="102" t="str">
        <x:v>否</x:v>
      </x:c>
      <x:c r="L42" s="103" t="str">
        <x:v>数值尺度修订：失色产出/消耗统一×10；最终供给仍待561怪专属爆率反算</x:v>
      </x:c>
    </x:row>
    <x:row r="43">
      <x:c r="A43" s="101" t="str">
        <x:v>C05</x:v>
      </x:c>
      <x:c r="B43" s="102" t="str">
        <x:v>湖之利耶尼亚</x:v>
      </x:c>
      <x:c r="C43" s="102" t="str">
        <x:v>学院封蜡</x:v>
      </x:c>
      <x:c r="D43" s="102" t="str">
        <x:v>精英证物</x:v>
      </x:c>
      <x:c r="E43" s="165" t="n">
        <x:f>SUMIFS('13_材料消耗明细'!$F$5:$F$324,'13_材料消耗明细'!$B$5:$B$324,A43,'13_材料消耗明细'!$C$5:$C$324,C43)</x:f>
        <x:v>24</x:v>
      </x:c>
      <x:c r="F43" s="165" t="n">
        <x:v>48</x:v>
      </x:c>
      <x:c r="G43" s="165" t="n">
        <x:f>IF(F43=0,0,E43*I43/F43)</x:f>
        <x:v>0.20000000000000004</x:v>
      </x:c>
      <x:c r="H43" s="165" t="n">
        <x:f>E43*I43</x:f>
        <x:v>9.600000000000001</x:v>
      </x:c>
      <x:c r="I43" s="258" t="n">
        <x:v>0.4</x:v>
      </x:c>
      <x:c r="J43" s="165" t="n">
        <x:f>MAX(E43-H43,0)</x:f>
        <x:v>14.399999999999999</x:v>
      </x:c>
      <x:c r="K43" s="102" t="str">
        <x:v>否</x:v>
      </x:c>
      <x:c r="L43" s="103" t="str">
        <x:v>仅消费覆盖情景；不是已写入TXT的实际产量</x:v>
      </x:c>
    </x:row>
    <x:row r="44">
      <x:c r="A44" s="101" t="str">
        <x:v>C05</x:v>
      </x:c>
      <x:c r="B44" s="102" t="str">
        <x:v>湖之利耶尼亚</x:v>
      </x:c>
      <x:c r="C44" s="102" t="str">
        <x:v>月蚀镜片</x:v>
      </x:c>
      <x:c r="D44" s="102" t="str">
        <x:v>地图BOSS证物</x:v>
      </x:c>
      <x:c r="E44" s="165" t="n">
        <x:f>SUMIFS('13_材料消耗明细'!$F$5:$F$324,'13_材料消耗明细'!$B$5:$B$324,A44,'13_材料消耗明细'!$C$5:$C$324,C44)</x:f>
        <x:v>7</x:v>
      </x:c>
      <x:c r="F44" s="165" t="n">
        <x:v>48</x:v>
      </x:c>
      <x:c r="G44" s="165" t="n">
        <x:f>IF(F44=0,0,E44*I44/F44)</x:f>
        <x:v>0.05833333333333334</x:v>
      </x:c>
      <x:c r="H44" s="165" t="n">
        <x:f>E44*I44</x:f>
        <x:v>2.8000000000000003</x:v>
      </x:c>
      <x:c r="I44" s="258" t="n">
        <x:v>0.4</x:v>
      </x:c>
      <x:c r="J44" s="165" t="n">
        <x:f>MAX(E44-H44,0)</x:f>
        <x:v>4.199999999999999</x:v>
      </x:c>
      <x:c r="K44" s="102" t="str">
        <x:v>否</x:v>
      </x:c>
      <x:c r="L44" s="103" t="str">
        <x:v>仅消费覆盖情景；不是已写入TXT的实际产量</x:v>
      </x:c>
    </x:row>
    <x:row r="45">
      <x:c r="A45" s="101" t="str">
        <x:v>C05</x:v>
      </x:c>
      <x:c r="B45" s="102" t="str">
        <x:v>湖之利耶尼亚</x:v>
      </x:c>
      <x:c r="C45" s="102" t="str">
        <x:v>满月王室印</x:v>
      </x:c>
      <x:c r="D45" s="102" t="str">
        <x:v>大陆剧情印记</x:v>
      </x:c>
      <x:c r="E45" s="165" t="n">
        <x:f>SUMIFS('13_材料消耗明细'!$F$5:$F$324,'13_材料消耗明细'!$B$5:$B$324,A45,'13_材料消耗明细'!$C$5:$C$324,C45)</x:f>
        <x:v>37</x:v>
      </x:c>
      <x:c r="F45" s="165" t="n">
        <x:v>48</x:v>
      </x:c>
      <x:c r="G45" s="165" t="n">
        <x:f>IF(F45=0,0,E45*I45/F45)</x:f>
        <x:v>0.46249999999999997</x:v>
      </x:c>
      <x:c r="H45" s="165" t="n">
        <x:f>E45*I45</x:f>
        <x:v>22.2</x:v>
      </x:c>
      <x:c r="I45" s="258" t="n">
        <x:v>0.6</x:v>
      </x:c>
      <x:c r="J45" s="165" t="n">
        <x:f>MAX(E45-H45,0)</x:f>
        <x:v>14.8</x:v>
      </x:c>
      <x:c r="K45" s="102" t="str">
        <x:v>否</x:v>
      </x:c>
      <x:c r="L45" s="103" t="str">
        <x:v>仅消费覆盖情景；不是已写入TXT的实际产量</x:v>
      </x:c>
    </x:row>
    <x:row r="46">
      <x:c r="A46" s="101" t="str">
        <x:v>C05</x:v>
      </x:c>
      <x:c r="B46" s="102" t="str">
        <x:v>湖之利耶尼亚</x:v>
      </x:c>
      <x:c r="C46" s="102" t="str">
        <x:v>禁域星钥</x:v>
      </x:c>
      <x:c r="D46" s="102" t="str">
        <x:v>守关BOSS证物</x:v>
      </x:c>
      <x:c r="E46" s="165" t="n">
        <x:f>SUMIFS('13_材料消耗明细'!$F$5:$F$324,'13_材料消耗明细'!$B$5:$B$324,A46,'13_材料消耗明细'!$C$5:$C$324,C46)</x:f>
        <x:v>4</x:v>
      </x:c>
      <x:c r="F46" s="165" t="n">
        <x:v>48</x:v>
      </x:c>
      <x:c r="G46" s="165" t="n">
        <x:f>IF(F46=0,0,E46*I46/F46)</x:f>
        <x:v>0.03333333333333333</x:v>
      </x:c>
      <x:c r="H46" s="165" t="n">
        <x:f>E46*I46</x:f>
        <x:v>1.6</x:v>
      </x:c>
      <x:c r="I46" s="258" t="n">
        <x:v>0.4</x:v>
      </x:c>
      <x:c r="J46" s="165" t="n">
        <x:f>MAX(E46-H46,0)</x:f>
        <x:v>2.4</x:v>
      </x:c>
      <x:c r="K46" s="102" t="str">
        <x:v>否</x:v>
      </x:c>
      <x:c r="L46" s="103" t="str">
        <x:v>仅消费覆盖情景；不是已写入TXT的实际产量</x:v>
      </x:c>
    </x:row>
    <x:row r="47">
      <x:c r="A47" s="101" t="str">
        <x:v>C05</x:v>
      </x:c>
      <x:c r="B47" s="102" t="str">
        <x:v>湖之利耶尼亚</x:v>
      </x:c>
      <x:c r="C47" s="102" t="str">
        <x:v>野兽骨片</x:v>
      </x:c>
      <x:c r="D47" s="102" t="str">
        <x:v>技能材料</x:v>
      </x:c>
      <x:c r="E47" s="165" t="n">
        <x:f>SUMIFS('13_材料消耗明细'!$F$5:$F$324,'13_材料消耗明细'!$B$5:$B$324,A47,'13_材料消耗明细'!$C$5:$C$324,C47)</x:f>
        <x:v>7095</x:v>
      </x:c>
      <x:c r="F47" s="165" t="n">
        <x:v>48</x:v>
      </x:c>
      <x:c r="G47" s="165" t="n">
        <x:f>IF(F47=0,0,E47*I47/F47)</x:f>
        <x:v>51.734375</x:v>
      </x:c>
      <x:c r="H47" s="165" t="n">
        <x:f>E47*I47</x:f>
        <x:v>2483.25</x:v>
      </x:c>
      <x:c r="I47" s="258" t="n">
        <x:v>0.35</x:v>
      </x:c>
      <x:c r="J47" s="165" t="n">
        <x:f>MAX(E47-H47,0)</x:f>
        <x:v>4611.75</x:v>
      </x:c>
      <x:c r="K47" s="102" t="str">
        <x:v>否</x:v>
      </x:c>
      <x:c r="L47" s="103" t="str">
        <x:v>仅消费覆盖情景；不是已写入TXT的实际产量</x:v>
      </x:c>
    </x:row>
    <x:row r="48">
      <x:c r="A48" s="101" t="str">
        <x:v>C05</x:v>
      </x:c>
      <x:c r="B48" s="102" t="str">
        <x:v>湖之利耶尼亚</x:v>
      </x:c>
      <x:c r="C48" s="102" t="str">
        <x:v>雾月星砂</x:v>
      </x:c>
      <x:c r="D48" s="102" t="str">
        <x:v>普通怪证物</x:v>
      </x:c>
      <x:c r="E48" s="165" t="n">
        <x:f>SUMIFS('13_材料消耗明细'!$F$5:$F$324,'13_材料消耗明细'!$B$5:$B$324,A48,'13_材料消耗明细'!$C$5:$C$324,C48)</x:f>
        <x:v>138</x:v>
      </x:c>
      <x:c r="F48" s="165" t="n">
        <x:v>48</x:v>
      </x:c>
      <x:c r="G48" s="165" t="n">
        <x:f>IF(F48=0,0,E48*I48/F48)</x:f>
        <x:v>1.1500000000000001</x:v>
      </x:c>
      <x:c r="H48" s="165" t="n">
        <x:f>E48*I48</x:f>
        <x:v>55.2</x:v>
      </x:c>
      <x:c r="I48" s="258" t="n">
        <x:v>0.4</x:v>
      </x:c>
      <x:c r="J48" s="165" t="n">
        <x:f>MAX(E48-H48,0)</x:f>
        <x:v>82.8</x:v>
      </x:c>
      <x:c r="K48" s="102" t="str">
        <x:v>否</x:v>
      </x:c>
      <x:c r="L48" s="103" t="str">
        <x:v>仅消费覆盖情景；不是已写入TXT的实际产量</x:v>
      </x:c>
    </x:row>
    <x:row r="49">
      <x:c r="A49" s="101" t="str">
        <x:v>C06</x:v>
      </x:c>
      <x:c r="B49" s="102" t="str">
        <x:v>盖利德</x:v>
      </x:c>
      <x:c r="C49" s="102" t="str">
        <x:v>猩红矿渣</x:v>
      </x:c>
      <x:c r="D49" s="102" t="str">
        <x:v>大陆通用材料</x:v>
      </x:c>
      <x:c r="E49" s="165" t="n">
        <x:f>SUMIFS('13_材料消耗明细'!$F$5:$F$324,'13_材料消耗明细'!$B$5:$B$324,A49,'13_材料消耗明细'!$C$5:$C$324,C49)</x:f>
        <x:v>2577</x:v>
      </x:c>
      <x:c r="F49" s="165" t="n">
        <x:v>56</x:v>
      </x:c>
      <x:c r="G49" s="165" t="n">
        <x:v>89</x:v>
      </x:c>
      <x:c r="H49" s="165" t="n">
        <x:f>F49*G49</x:f>
        <x:v>4984</x:v>
      </x:c>
      <x:c r="I49" s="258" t="n">
        <x:f>IF(E49=0,0,H49/E49)</x:f>
        <x:v>1.9340318199456732</x:v>
      </x:c>
      <x:c r="J49" s="165" t="n">
        <x:f>MAX(E49-H49,0)</x:f>
        <x:v>0</x:v>
      </x:c>
      <x:c r="K49" s="102" t="str">
        <x:v>是</x:v>
      </x:c>
      <x:c r="L49" s="103" t="str">
        <x:v>高产主材产量沿用情景输入；先扣全部建议需求</x:v>
      </x:c>
    </x:row>
    <x:row r="50">
      <x:c r="A50" s="101" t="str">
        <x:v>C06</x:v>
      </x:c>
      <x:c r="B50" s="102" t="str">
        <x:v>盖利德</x:v>
      </x:c>
      <x:c r="C50" s="102" t="str">
        <x:v>净火腺囊</x:v>
      </x:c>
      <x:c r="D50" s="102" t="str">
        <x:v>精英证物</x:v>
      </x:c>
      <x:c r="E50" s="165" t="n">
        <x:f>SUMIFS('13_材料消耗明细'!$F$5:$F$324,'13_材料消耗明细'!$B$5:$B$324,A50,'13_材料消耗明细'!$C$5:$C$324,C50)</x:f>
        <x:v>70</x:v>
      </x:c>
      <x:c r="F50" s="165" t="n">
        <x:v>56</x:v>
      </x:c>
      <x:c r="G50" s="165" t="n">
        <x:f>IF(F50=0,0,E50*I50/F50)</x:f>
        <x:v>0.5</x:v>
      </x:c>
      <x:c r="H50" s="165" t="n">
        <x:f>E50*I50</x:f>
        <x:v>28</x:v>
      </x:c>
      <x:c r="I50" s="258" t="n">
        <x:v>0.4</x:v>
      </x:c>
      <x:c r="J50" s="165" t="n">
        <x:f>MAX(E50-H50,0)</x:f>
        <x:v>42</x:v>
      </x:c>
      <x:c r="K50" s="102" t="str">
        <x:v>否</x:v>
      </x:c>
      <x:c r="L50" s="103" t="str">
        <x:v>仅消费覆盖情景；不是已写入TXT的实际产量</x:v>
      </x:c>
    </x:row>
    <x:row r="51">
      <x:c r="A51" s="101" t="str">
        <x:v>C06</x:v>
      </x:c>
      <x:c r="B51" s="102" t="str">
        <x:v>盖利德</x:v>
      </x:c>
      <x:c r="C51" s="102" t="str">
        <x:v>大卢恩</x:v>
      </x:c>
      <x:c r="D51" s="102" t="str">
        <x:v>转生材料</x:v>
      </x:c>
      <x:c r="E51" s="165" t="n">
        <x:f>SUMIFS('13_材料消耗明细'!$F$5:$F$324,'13_材料消耗明细'!$B$5:$B$324,A51,'13_材料消耗明细'!$C$5:$C$324,C51)</x:f>
        <x:v>350</x:v>
      </x:c>
      <x:c r="F51" s="165" t="n">
        <x:v>56</x:v>
      </x:c>
      <x:c r="G51" s="165" t="n">
        <x:f>IF(F51=0,0,E51*I51/F51)</x:f>
        <x:v>2.5</x:v>
      </x:c>
      <x:c r="H51" s="165" t="n">
        <x:f>E51*I51</x:f>
        <x:v>140</x:v>
      </x:c>
      <x:c r="I51" s="258" t="n">
        <x:v>0.4</x:v>
      </x:c>
      <x:c r="J51" s="165" t="n">
        <x:f>MAX(E51-H51,0)</x:f>
        <x:v>210</x:v>
      </x:c>
      <x:c r="K51" s="102" t="str">
        <x:v>否</x:v>
      </x:c>
      <x:c r="L51" s="103" t="str">
        <x:v>仅消费覆盖情景；不是已写入TXT的实际产量</x:v>
      </x:c>
    </x:row>
    <x:row r="52">
      <x:c r="A52" s="101" t="str">
        <x:v>C06</x:v>
      </x:c>
      <x:c r="B52" s="102" t="str">
        <x:v>盖利德</x:v>
      </x:c>
      <x:c r="C52" s="102" t="str">
        <x:v>失色锻造石</x:v>
      </x:c>
      <x:c r="D52" s="102" t="str">
        <x:v>全局辅助材料</x:v>
      </x:c>
      <x:c r="E52" s="165" t="n">
        <x:v>9440</x:v>
      </x:c>
      <x:c r="F52" s="165" t="n">
        <x:v>56</x:v>
      </x:c>
      <x:c r="G52" s="165"/>
      <x:c r="H52" s="165"/>
      <x:c r="I52" s="258"/>
      <x:c r="J52" s="165"/>
      <x:c r="K52" s="102" t="str">
        <x:v>否</x:v>
      </x:c>
      <x:c r="L52" s="103" t="str">
        <x:v>数值尺度修订：失色产出/消耗统一×10；最终供给仍待561怪专属爆率反算</x:v>
      </x:c>
    </x:row>
    <x:row r="53">
      <x:c r="A53" s="101" t="str">
        <x:v>C06</x:v>
      </x:c>
      <x:c r="B53" s="102" t="str">
        <x:v>盖利德</x:v>
      </x:c>
      <x:c r="C53" s="102" t="str">
        <x:v>碎星仪仗钉</x:v>
      </x:c>
      <x:c r="D53" s="102" t="str">
        <x:v>守关BOSS证物</x:v>
      </x:c>
      <x:c r="E53" s="165" t="n">
        <x:f>SUMIFS('13_材料消耗明细'!$F$5:$F$324,'13_材料消耗明细'!$B$5:$B$324,A53,'13_材料消耗明细'!$C$5:$C$324,C53)</x:f>
        <x:v>2</x:v>
      </x:c>
      <x:c r="F53" s="165" t="n">
        <x:v>56</x:v>
      </x:c>
      <x:c r="G53" s="165" t="n">
        <x:f>IF(F53=0,0,E53*I53/F53)</x:f>
        <x:v>0.014285714285714287</x:v>
      </x:c>
      <x:c r="H53" s="165" t="n">
        <x:f>E53*I53</x:f>
        <x:v>0.8</x:v>
      </x:c>
      <x:c r="I53" s="258" t="n">
        <x:v>0.4</x:v>
      </x:c>
      <x:c r="J53" s="165" t="n">
        <x:f>MAX(E53-H53,0)</x:f>
        <x:v>1.2</x:v>
      </x:c>
      <x:c r="K53" s="102" t="str">
        <x:v>否</x:v>
      </x:c>
      <x:c r="L53" s="103" t="str">
        <x:v>仅消费覆盖情景；不是已写入TXT的实际产量</x:v>
      </x:c>
    </x:row>
    <x:row r="54">
      <x:c r="A54" s="101" t="str">
        <x:v>C06</x:v>
      </x:c>
      <x:c r="B54" s="102" t="str">
        <x:v>盖利德</x:v>
      </x:c>
      <x:c r="C54" s="102" t="str">
        <x:v>红狮战印</x:v>
      </x:c>
      <x:c r="D54" s="102" t="str">
        <x:v>大陆剧情印记</x:v>
      </x:c>
      <x:c r="E54" s="165" t="n">
        <x:f>SUMIFS('13_材料消耗明细'!$F$5:$F$324,'13_材料消耗明细'!$B$5:$B$324,A54,'13_材料消耗明细'!$C$5:$C$324,C54)</x:f>
        <x:v>54</x:v>
      </x:c>
      <x:c r="F54" s="165" t="n">
        <x:v>56</x:v>
      </x:c>
      <x:c r="G54" s="165" t="n">
        <x:f>IF(F54=0,0,E54*I54/F54)</x:f>
        <x:v>0.5785714285714285</x:v>
      </x:c>
      <x:c r="H54" s="165" t="n">
        <x:f>E54*I54</x:f>
        <x:v>32.4</x:v>
      </x:c>
      <x:c r="I54" s="258" t="n">
        <x:v>0.6</x:v>
      </x:c>
      <x:c r="J54" s="165" t="n">
        <x:f>MAX(E54-H54,0)</x:f>
        <x:v>21.6</x:v>
      </x:c>
      <x:c r="K54" s="102" t="str">
        <x:v>否</x:v>
      </x:c>
      <x:c r="L54" s="103" t="str">
        <x:v>仅消费覆盖情景；不是已写入TXT的实际产量</x:v>
      </x:c>
    </x:row>
    <x:row r="55">
      <x:c r="A55" s="101" t="str">
        <x:v>C06</x:v>
      </x:c>
      <x:c r="B55" s="102" t="str">
        <x:v>盖利德</x:v>
      </x:c>
      <x:c r="C55" s="102" t="str">
        <x:v>红狮断箭</x:v>
      </x:c>
      <x:c r="D55" s="102" t="str">
        <x:v>普通怪证物</x:v>
      </x:c>
      <x:c r="E55" s="165" t="n">
        <x:f>SUMIFS('13_材料消耗明细'!$F$5:$F$324,'13_材料消耗明细'!$B$5:$B$324,A55,'13_材料消耗明细'!$C$5:$C$324,C55)</x:f>
        <x:v>90</x:v>
      </x:c>
      <x:c r="F55" s="165" t="n">
        <x:v>56</x:v>
      </x:c>
      <x:c r="G55" s="165" t="n">
        <x:f>IF(F55=0,0,E55*I55/F55)</x:f>
        <x:v>0.6428571428571429</x:v>
      </x:c>
      <x:c r="H55" s="165" t="n">
        <x:f>E55*I55</x:f>
        <x:v>36</x:v>
      </x:c>
      <x:c r="I55" s="258" t="n">
        <x:v>0.4</x:v>
      </x:c>
      <x:c r="J55" s="165" t="n">
        <x:f>MAX(E55-H55,0)</x:f>
        <x:v>54</x:v>
      </x:c>
      <x:c r="K55" s="102" t="str">
        <x:v>否</x:v>
      </x:c>
      <x:c r="L55" s="103" t="str">
        <x:v>仅消费覆盖情景；不是已写入TXT的实际产量</x:v>
      </x:c>
    </x:row>
    <x:row r="56">
      <x:c r="A56" s="101" t="str">
        <x:v>C06</x:v>
      </x:c>
      <x:c r="B56" s="102" t="str">
        <x:v>盖利德</x:v>
      </x:c>
      <x:c r="C56" s="102" t="str">
        <x:v>野兽骨片</x:v>
      </x:c>
      <x:c r="D56" s="102" t="str">
        <x:v>技能材料</x:v>
      </x:c>
      <x:c r="E56" s="165" t="n">
        <x:f>SUMIFS('13_材料消耗明细'!$F$5:$F$324,'13_材料消耗明细'!$B$5:$B$324,A56,'13_材料消耗明细'!$C$5:$C$324,C56)</x:f>
        <x:v>10215</x:v>
      </x:c>
      <x:c r="F56" s="165" t="n">
        <x:v>56</x:v>
      </x:c>
      <x:c r="G56" s="165" t="n">
        <x:f>IF(F56=0,0,E56*I56/F56)</x:f>
        <x:v>63.84375</x:v>
      </x:c>
      <x:c r="H56" s="165" t="n">
        <x:f>E56*I56</x:f>
        <x:v>3575.25</x:v>
      </x:c>
      <x:c r="I56" s="258" t="n">
        <x:v>0.35</x:v>
      </x:c>
      <x:c r="J56" s="165" t="n">
        <x:f>MAX(E56-H56,0)</x:f>
        <x:v>6639.75</x:v>
      </x:c>
      <x:c r="K56" s="102" t="str">
        <x:v>否</x:v>
      </x:c>
      <x:c r="L56" s="103" t="str">
        <x:v>仅消费覆盖情景；不是已写入TXT的实际产量</x:v>
      </x:c>
    </x:row>
    <x:row r="57">
      <x:c r="A57" s="101" t="str">
        <x:v>C06</x:v>
      </x:c>
      <x:c r="B57" s="102" t="str">
        <x:v>盖利德</x:v>
      </x:c>
      <x:c r="C57" s="102" t="str">
        <x:v>龙火鳞</x:v>
      </x:c>
      <x:c r="D57" s="102" t="str">
        <x:v>大陆稀有材料</x:v>
      </x:c>
      <x:c r="E57" s="165" t="n">
        <x:f>SUMIFS('13_材料消耗明细'!$F$5:$F$324,'13_材料消耗明细'!$B$5:$B$324,A57,'13_材料消耗明细'!$C$5:$C$324,C57)</x:f>
        <x:v>38</x:v>
      </x:c>
      <x:c r="F57" s="165" t="n">
        <x:v>56</x:v>
      </x:c>
      <x:c r="G57" s="165" t="n">
        <x:f>IF(F57=0,0,E57*I57/F57)</x:f>
        <x:v>0.27142857142857146</x:v>
      </x:c>
      <x:c r="H57" s="165" t="n">
        <x:f>E57*I57</x:f>
        <x:v>15.200000000000001</x:v>
      </x:c>
      <x:c r="I57" s="258" t="n">
        <x:v>0.4</x:v>
      </x:c>
      <x:c r="J57" s="165" t="n">
        <x:f>MAX(E57-H57,0)</x:f>
        <x:v>22.799999999999997</x:v>
      </x:c>
      <x:c r="K57" s="102" t="str">
        <x:v>否</x:v>
      </x:c>
      <x:c r="L57" s="103" t="str">
        <x:v>仅消费覆盖情景；不是已写入TXT的实际产量</x:v>
      </x:c>
    </x:row>
    <x:row r="58">
      <x:c r="A58" s="101" t="str">
        <x:v>C06</x:v>
      </x:c>
      <x:c r="B58" s="102" t="str">
        <x:v>盖利德</x:v>
      </x:c>
      <x:c r="C58" s="102" t="str">
        <x:v>龙窟熔牙</x:v>
      </x:c>
      <x:c r="D58" s="102" t="str">
        <x:v>地图BOSS证物</x:v>
      </x:c>
      <x:c r="E58" s="165" t="n">
        <x:f>SUMIFS('13_材料消耗明细'!$F$5:$F$324,'13_材料消耗明细'!$B$5:$B$324,A58,'13_材料消耗明细'!$C$5:$C$324,C58)</x:f>
        <x:v>8</x:v>
      </x:c>
      <x:c r="F58" s="165" t="n">
        <x:v>56</x:v>
      </x:c>
      <x:c r="G58" s="165" t="n">
        <x:f>IF(F58=0,0,E58*I58/F58)</x:f>
        <x:v>0.05714285714285715</x:v>
      </x:c>
      <x:c r="H58" s="165" t="n">
        <x:f>E58*I58</x:f>
        <x:v>3.2</x:v>
      </x:c>
      <x:c r="I58" s="258" t="n">
        <x:v>0.4</x:v>
      </x:c>
      <x:c r="J58" s="165" t="n">
        <x:f>MAX(E58-H58,0)</x:f>
        <x:v>4.8</x:v>
      </x:c>
      <x:c r="K58" s="102" t="str">
        <x:v>否</x:v>
      </x:c>
      <x:c r="L58" s="103" t="str">
        <x:v>仅消费覆盖情景；不是已写入TXT的实际产量</x:v>
      </x:c>
    </x:row>
    <x:row r="59">
      <x:c r="A59" s="101" t="str">
        <x:v>C07</x:v>
      </x:c>
      <x:c r="B59" s="102" t="str">
        <x:v>化圣雪原</x:v>
      </x:c>
      <x:c r="C59" s="102" t="str">
        <x:v>冻晶尘</x:v>
      </x:c>
      <x:c r="D59" s="102" t="str">
        <x:v>大陆通用材料</x:v>
      </x:c>
      <x:c r="E59" s="165" t="n">
        <x:f>SUMIFS('13_材料消耗明细'!$F$5:$F$324,'13_材料消耗明细'!$B$5:$B$324,A59,'13_材料消耗明细'!$C$5:$C$324,C59)</x:f>
        <x:v>2770</x:v>
      </x:c>
      <x:c r="F59" s="165" t="n">
        <x:v>64</x:v>
      </x:c>
      <x:c r="G59" s="165" t="n">
        <x:v>93</x:v>
      </x:c>
      <x:c r="H59" s="165" t="n">
        <x:f>F59*G59</x:f>
        <x:v>5952</x:v>
      </x:c>
      <x:c r="I59" s="258" t="n">
        <x:f>IF(E59=0,0,H59/E59)</x:f>
        <x:v>2.1487364620938627</x:v>
      </x:c>
      <x:c r="J59" s="165" t="n">
        <x:f>MAX(E59-H59,0)</x:f>
        <x:v>0</x:v>
      </x:c>
      <x:c r="K59" s="102" t="str">
        <x:v>是</x:v>
      </x:c>
      <x:c r="L59" s="103" t="str">
        <x:v>高产主材产量沿用情景输入；先扣全部建议需求</x:v>
      </x:c>
    </x:row>
    <x:row r="60">
      <x:c r="A60" s="101" t="str">
        <x:v>C07</x:v>
      </x:c>
      <x:c r="B60" s="102" t="str">
        <x:v>化圣雪原</x:v>
      </x:c>
      <x:c r="C60" s="102" t="str">
        <x:v>冻原银角</x:v>
      </x:c>
      <x:c r="D60" s="102" t="str">
        <x:v>精英证物</x:v>
      </x:c>
      <x:c r="E60" s="165" t="n">
        <x:f>SUMIFS('13_材料消耗明细'!$F$5:$F$324,'13_材料消耗明细'!$B$5:$B$324,A60,'13_材料消耗明细'!$C$5:$C$324,C60)</x:f>
        <x:v>30</x:v>
      </x:c>
      <x:c r="F60" s="165" t="n">
        <x:v>64</x:v>
      </x:c>
      <x:c r="G60" s="165" t="n">
        <x:f>IF(F60=0,0,E60*I60/F60)</x:f>
        <x:v>0.1875</x:v>
      </x:c>
      <x:c r="H60" s="165" t="n">
        <x:f>E60*I60</x:f>
        <x:v>12</x:v>
      </x:c>
      <x:c r="I60" s="258" t="n">
        <x:v>0.4</x:v>
      </x:c>
      <x:c r="J60" s="165" t="n">
        <x:f>MAX(E60-H60,0)</x:f>
        <x:v>18</x:v>
      </x:c>
      <x:c r="K60" s="102" t="str">
        <x:v>否</x:v>
      </x:c>
      <x:c r="L60" s="103" t="str">
        <x:v>仅消费覆盖情景；不是已写入TXT的实际产量</x:v>
      </x:c>
    </x:row>
    <x:row r="61">
      <x:c r="A61" s="101" t="str">
        <x:v>C07</x:v>
      </x:c>
      <x:c r="B61" s="102" t="str">
        <x:v>化圣雪原</x:v>
      </x:c>
      <x:c r="C61" s="102" t="str">
        <x:v>圣雪誓印</x:v>
      </x:c>
      <x:c r="D61" s="102" t="str">
        <x:v>大陆剧情印记</x:v>
      </x:c>
      <x:c r="E61" s="165" t="n">
        <x:f>SUMIFS('13_材料消耗明细'!$F$5:$F$324,'13_材料消耗明细'!$B$5:$B$324,A61,'13_材料消耗明细'!$C$5:$C$324,C61)</x:f>
        <x:v>63</x:v>
      </x:c>
      <x:c r="F61" s="165" t="n">
        <x:v>64</x:v>
      </x:c>
      <x:c r="G61" s="165" t="n">
        <x:f>IF(F61=0,0,E61*I61/F61)</x:f>
        <x:v>0.590625</x:v>
      </x:c>
      <x:c r="H61" s="165" t="n">
        <x:f>E61*I61</x:f>
        <x:v>37.8</x:v>
      </x:c>
      <x:c r="I61" s="258" t="n">
        <x:v>0.6</x:v>
      </x:c>
      <x:c r="J61" s="165" t="n">
        <x:f>MAX(E61-H61,0)</x:f>
        <x:v>25.200000000000003</x:v>
      </x:c>
      <x:c r="K61" s="102" t="str">
        <x:v>否</x:v>
      </x:c>
      <x:c r="L61" s="103" t="str">
        <x:v>仅消费覆盖情景；不是已写入TXT的实际产量</x:v>
      </x:c>
    </x:row>
    <x:row r="62">
      <x:c r="A62" s="101" t="str">
        <x:v>C07</x:v>
      </x:c>
      <x:c r="B62" s="102" t="str">
        <x:v>化圣雪原</x:v>
      </x:c>
      <x:c r="C62" s="102" t="str">
        <x:v>圣雪门楔</x:v>
      </x:c>
      <x:c r="D62" s="102" t="str">
        <x:v>守关BOSS证物</x:v>
      </x:c>
      <x:c r="E62" s="165" t="n">
        <x:f>SUMIFS('13_材料消耗明细'!$F$5:$F$324,'13_材料消耗明细'!$B$5:$B$324,A62,'13_材料消耗明细'!$C$5:$C$324,C62)</x:f>
        <x:v>8</x:v>
      </x:c>
      <x:c r="F62" s="165" t="n">
        <x:v>64</x:v>
      </x:c>
      <x:c r="G62" s="165" t="n">
        <x:f>IF(F62=0,0,E62*I62/F62)</x:f>
        <x:v>0.05</x:v>
      </x:c>
      <x:c r="H62" s="165" t="n">
        <x:f>E62*I62</x:f>
        <x:v>3.2</x:v>
      </x:c>
      <x:c r="I62" s="258" t="n">
        <x:v>0.4</x:v>
      </x:c>
      <x:c r="J62" s="165" t="n">
        <x:f>MAX(E62-H62,0)</x:f>
        <x:v>4.8</x:v>
      </x:c>
      <x:c r="K62" s="102" t="str">
        <x:v>否</x:v>
      </x:c>
      <x:c r="L62" s="103" t="str">
        <x:v>仅消费覆盖情景；不是已写入TXT的实际产量</x:v>
      </x:c>
    </x:row>
    <x:row r="63">
      <x:c r="A63" s="101" t="str">
        <x:v>C07</x:v>
      </x:c>
      <x:c r="B63" s="102" t="str">
        <x:v>化圣雪原</x:v>
      </x:c>
      <x:c r="C63" s="102" t="str">
        <x:v>失色锻造石</x:v>
      </x:c>
      <x:c r="D63" s="102" t="str">
        <x:v>全局辅助材料</x:v>
      </x:c>
      <x:c r="E63" s="165" t="n">
        <x:v>14340</x:v>
      </x:c>
      <x:c r="F63" s="165" t="n">
        <x:v>64</x:v>
      </x:c>
      <x:c r="G63" s="165"/>
      <x:c r="H63" s="165"/>
      <x:c r="I63" s="258"/>
      <x:c r="J63" s="165"/>
      <x:c r="K63" s="102" t="str">
        <x:v>否</x:v>
      </x:c>
      <x:c r="L63" s="103" t="str">
        <x:v>数值尺度修订：失色产出/消耗统一×10；最终供给仍待561怪专属爆率反算</x:v>
      </x:c>
    </x:row>
    <x:row r="64">
      <x:c r="A64" s="101" t="str">
        <x:v>C07</x:v>
      </x:c>
      <x:c r="B64" s="102" t="str">
        <x:v>化圣雪原</x:v>
      </x:c>
      <x:c r="C64" s="102" t="str">
        <x:v>白金纺线</x:v>
      </x:c>
      <x:c r="D64" s="102" t="str">
        <x:v>大陆稀有材料</x:v>
      </x:c>
      <x:c r="E64" s="165" t="n">
        <x:f>SUMIFS('13_材料消耗明细'!$F$5:$F$324,'13_材料消耗明细'!$B$5:$B$324,A64,'13_材料消耗明细'!$C$5:$C$324,C64)</x:f>
        <x:v>60</x:v>
      </x:c>
      <x:c r="F64" s="165" t="n">
        <x:v>64</x:v>
      </x:c>
      <x:c r="G64" s="165" t="n">
        <x:f>IF(F64=0,0,E64*I64/F64)</x:f>
        <x:v>0.375</x:v>
      </x:c>
      <x:c r="H64" s="165" t="n">
        <x:f>E64*I64</x:f>
        <x:v>24</x:v>
      </x:c>
      <x:c r="I64" s="258" t="n">
        <x:v>0.4</x:v>
      </x:c>
      <x:c r="J64" s="165" t="n">
        <x:f>MAX(E64-H64,0)</x:f>
        <x:v>36</x:v>
      </x:c>
      <x:c r="K64" s="102" t="str">
        <x:v>否</x:v>
      </x:c>
      <x:c r="L64" s="103" t="str">
        <x:v>仅消费覆盖情景；不是已写入TXT的实际产量</x:v>
      </x:c>
    </x:row>
    <x:row r="65">
      <x:c r="A65" s="101" t="str">
        <x:v>C07</x:v>
      </x:c>
      <x:c r="B65" s="102" t="str">
        <x:v>化圣雪原</x:v>
      </x:c>
      <x:c r="C65" s="102" t="str">
        <x:v>白金路标片</x:v>
      </x:c>
      <x:c r="D65" s="102" t="str">
        <x:v>普通怪证物</x:v>
      </x:c>
      <x:c r="E65" s="165" t="n">
        <x:f>SUMIFS('13_材料消耗明细'!$F$5:$F$324,'13_材料消耗明细'!$B$5:$B$324,A65,'13_材料消耗明细'!$C$5:$C$324,C65)</x:f>
        <x:v>145</x:v>
      </x:c>
      <x:c r="F65" s="165" t="n">
        <x:v>64</x:v>
      </x:c>
      <x:c r="G65" s="165" t="n">
        <x:f>IF(F65=0,0,E65*I65/F65)</x:f>
        <x:v>0.90625</x:v>
      </x:c>
      <x:c r="H65" s="165" t="n">
        <x:f>E65*I65</x:f>
        <x:v>58</x:v>
      </x:c>
      <x:c r="I65" s="258" t="n">
        <x:v>0.4</x:v>
      </x:c>
      <x:c r="J65" s="165" t="n">
        <x:f>MAX(E65-H65,0)</x:f>
        <x:v>87</x:v>
      </x:c>
      <x:c r="K65" s="102" t="str">
        <x:v>否</x:v>
      </x:c>
      <x:c r="L65" s="103" t="str">
        <x:v>仅消费覆盖情景；不是已写入TXT的实际产量</x:v>
      </x:c>
    </x:row>
    <x:row r="66">
      <x:c r="A66" s="101" t="str">
        <x:v>C07</x:v>
      </x:c>
      <x:c r="B66" s="102" t="str">
        <x:v>化圣雪原</x:v>
      </x:c>
      <x:c r="C66" s="102" t="str">
        <x:v>秘树霜芽</x:v>
      </x:c>
      <x:c r="D66" s="102" t="str">
        <x:v>地图BOSS证物</x:v>
      </x:c>
      <x:c r="E66" s="165" t="n">
        <x:f>SUMIFS('13_材料消耗明细'!$F$5:$F$324,'13_材料消耗明细'!$B$5:$B$324,A66,'13_材料消耗明细'!$C$5:$C$324,C66)</x:f>
        <x:v>19</x:v>
      </x:c>
      <x:c r="F66" s="165" t="n">
        <x:v>64</x:v>
      </x:c>
      <x:c r="G66" s="165" t="n">
        <x:f>IF(F66=0,0,E66*I66/F66)</x:f>
        <x:v>0.11875000000000001</x:v>
      </x:c>
      <x:c r="H66" s="165" t="n">
        <x:f>E66*I66</x:f>
        <x:v>7.6000000000000005</x:v>
      </x:c>
      <x:c r="I66" s="258" t="n">
        <x:v>0.4</x:v>
      </x:c>
      <x:c r="J66" s="165" t="n">
        <x:f>MAX(E66-H66,0)</x:f>
        <x:v>11.399999999999999</x:v>
      </x:c>
      <x:c r="K66" s="102" t="str">
        <x:v>否</x:v>
      </x:c>
      <x:c r="L66" s="103" t="str">
        <x:v>仅消费覆盖情景；不是已写入TXT的实际产量</x:v>
      </x:c>
    </x:row>
    <x:row r="67">
      <x:c r="A67" s="101" t="str">
        <x:v>C07</x:v>
      </x:c>
      <x:c r="B67" s="102" t="str">
        <x:v>化圣雪原</x:v>
      </x:c>
      <x:c r="C67" s="102" t="str">
        <x:v>野兽骨片</x:v>
      </x:c>
      <x:c r="D67" s="102" t="str">
        <x:v>技能材料</x:v>
      </x:c>
      <x:c r="E67" s="165" t="n">
        <x:f>SUMIFS('13_材料消耗明细'!$F$5:$F$324,'13_材料消耗明细'!$B$5:$B$324,A67,'13_材料消耗明细'!$C$5:$C$324,C67)</x:f>
        <x:v>11875</x:v>
      </x:c>
      <x:c r="F67" s="165" t="n">
        <x:v>64</x:v>
      </x:c>
      <x:c r="G67" s="165" t="n">
        <x:f>IF(F67=0,0,E67*I67/F67)</x:f>
        <x:v>64.94140625</x:v>
      </x:c>
      <x:c r="H67" s="165" t="n">
        <x:f>E67*I67</x:f>
        <x:v>4156.25</x:v>
      </x:c>
      <x:c r="I67" s="258" t="n">
        <x:v>0.35</x:v>
      </x:c>
      <x:c r="J67" s="165" t="n">
        <x:f>MAX(E67-H67,0)</x:f>
        <x:v>7718.75</x:v>
      </x:c>
      <x:c r="K67" s="102" t="str">
        <x:v>否</x:v>
      </x:c>
      <x:c r="L67" s="103" t="str">
        <x:v>仅消费覆盖情景；不是已写入TXT的实际产量</x:v>
      </x:c>
    </x:row>
    <x:row r="68">
      <x:c r="A68" s="101" t="str">
        <x:v>C08</x:v>
      </x:c>
      <x:c r="B68" s="102" t="str">
        <x:v>巨人山顶</x:v>
      </x:c>
      <x:c r="C68" s="102" t="str">
        <x:v>霜脊铁</x:v>
      </x:c>
      <x:c r="D68" s="102" t="str">
        <x:v>大陆通用材料</x:v>
      </x:c>
      <x:c r="E68" s="165" t="n">
        <x:f>SUMIFS('13_材料消耗明细'!$F$5:$F$324,'13_材料消耗明细'!$B$5:$B$324,A68,'13_材料消耗明细'!$C$5:$C$324,C68)</x:f>
        <x:v>4205</x:v>
      </x:c>
      <x:c r="F68" s="165" t="n">
        <x:v>72</x:v>
      </x:c>
      <x:c r="G68" s="165" t="n">
        <x:v>96</x:v>
      </x:c>
      <x:c r="H68" s="165" t="n">
        <x:f>F68*G68</x:f>
        <x:v>6912</x:v>
      </x:c>
      <x:c r="I68" s="258" t="n">
        <x:f>IF(E68=0,0,H68/E68)</x:f>
        <x:v>1.643757431629013</x:v>
      </x:c>
      <x:c r="J68" s="165" t="n">
        <x:f>MAX(E68-H68,0)</x:f>
        <x:v>0</x:v>
      </x:c>
      <x:c r="K68" s="102" t="str">
        <x:v>是</x:v>
      </x:c>
      <x:c r="L68" s="103" t="str">
        <x:v>高产主材产量沿用情景输入；先扣全部建议需求</x:v>
      </x:c>
    </x:row>
    <x:row r="69">
      <x:c r="A69" s="101" t="str">
        <x:v>C08</x:v>
      </x:c>
      <x:c r="B69" s="102" t="str">
        <x:v>巨人山顶</x:v>
      </x:c>
      <x:c r="C69" s="102" t="str">
        <x:v>冰宫守门铃</x:v>
      </x:c>
      <x:c r="D69" s="102" t="str">
        <x:v>地图BOSS证物</x:v>
      </x:c>
      <x:c r="E69" s="165" t="n">
        <x:f>SUMIFS('13_材料消耗明细'!$F$5:$F$324,'13_材料消耗明细'!$B$5:$B$324,A69,'13_材料消耗明细'!$C$5:$C$324,C69)</x:f>
        <x:v>12</x:v>
      </x:c>
      <x:c r="F69" s="165" t="n">
        <x:v>72</x:v>
      </x:c>
      <x:c r="G69" s="165" t="n">
        <x:f>IF(F69=0,0,E69*I69/F69)</x:f>
        <x:v>0.06666666666666668</x:v>
      </x:c>
      <x:c r="H69" s="165" t="n">
        <x:f>E69*I69</x:f>
        <x:v>4.800000000000001</x:v>
      </x:c>
      <x:c r="I69" s="258" t="n">
        <x:v>0.4</x:v>
      </x:c>
      <x:c r="J69" s="165" t="n">
        <x:f>MAX(E69-H69,0)</x:f>
        <x:v>7.199999999999999</x:v>
      </x:c>
      <x:c r="K69" s="102" t="str">
        <x:v>否</x:v>
      </x:c>
      <x:c r="L69" s="103" t="str">
        <x:v>仅消费覆盖情景；不是已写入TXT的实际产量</x:v>
      </x:c>
    </x:row>
    <x:row r="70">
      <x:c r="A70" s="101" t="str">
        <x:v>C08</x:v>
      </x:c>
      <x:c r="B70" s="102" t="str">
        <x:v>巨人山顶</x:v>
      </x:c>
      <x:c r="C70" s="102" t="str">
        <x:v>失色锻造石</x:v>
      </x:c>
      <x:c r="D70" s="102" t="str">
        <x:v>全局辅助材料</x:v>
      </x:c>
      <x:c r="E70" s="165" t="n">
        <x:v>18160</x:v>
      </x:c>
      <x:c r="F70" s="165" t="n">
        <x:v>72</x:v>
      </x:c>
      <x:c r="G70" s="165"/>
      <x:c r="H70" s="165"/>
      <x:c r="I70" s="258"/>
      <x:c r="J70" s="165"/>
      <x:c r="K70" s="102" t="str">
        <x:v>否</x:v>
      </x:c>
      <x:c r="L70" s="103" t="str">
        <x:v>数值尺度修订：失色产出/消耗统一×10；最终供给仍待561怪专属爆率反算</x:v>
      </x:c>
    </x:row>
    <x:row r="71">
      <x:c r="A71" s="101" t="str">
        <x:v>C08</x:v>
      </x:c>
      <x:c r="B71" s="102" t="str">
        <x:v>巨人山顶</x:v>
      </x:c>
      <x:c r="C71" s="102" t="str">
        <x:v>巨人火印</x:v>
      </x:c>
      <x:c r="D71" s="102" t="str">
        <x:v>大陆剧情印记</x:v>
      </x:c>
      <x:c r="E71" s="165" t="n">
        <x:f>SUMIFS('13_材料消耗明细'!$F$5:$F$324,'13_材料消耗明细'!$B$5:$B$324,A71,'13_材料消耗明细'!$C$5:$C$324,C71)</x:f>
        <x:v>85</x:v>
      </x:c>
      <x:c r="F71" s="165" t="n">
        <x:v>72</x:v>
      </x:c>
      <x:c r="G71" s="165" t="n">
        <x:f>IF(F71=0,0,E71*I71/F71)</x:f>
        <x:v>0.7083333333333334</x:v>
      </x:c>
      <x:c r="H71" s="165" t="n">
        <x:f>E71*I71</x:f>
        <x:v>51</x:v>
      </x:c>
      <x:c r="I71" s="258" t="n">
        <x:v>0.6</x:v>
      </x:c>
      <x:c r="J71" s="165" t="n">
        <x:f>MAX(E71-H71,0)</x:f>
        <x:v>34</x:v>
      </x:c>
      <x:c r="K71" s="102" t="str">
        <x:v>否</x:v>
      </x:c>
      <x:c r="L71" s="103" t="str">
        <x:v>仅消费覆盖情景；不是已写入TXT的实际产量</x:v>
      </x:c>
    </x:row>
    <x:row r="72">
      <x:c r="A72" s="101" t="str">
        <x:v>C08</x:v>
      </x:c>
      <x:c r="B72" s="102" t="str">
        <x:v>巨人山顶</x:v>
      </x:c>
      <x:c r="C72" s="102" t="str">
        <x:v>巨人火种</x:v>
      </x:c>
      <x:c r="D72" s="102" t="str">
        <x:v>大陆稀有材料</x:v>
      </x:c>
      <x:c r="E72" s="165" t="n">
        <x:f>SUMIFS('13_材料消耗明细'!$F$5:$F$324,'13_材料消耗明细'!$B$5:$B$324,A72,'13_材料消耗明细'!$C$5:$C$324,C72)</x:f>
        <x:v>65</x:v>
      </x:c>
      <x:c r="F72" s="165" t="n">
        <x:v>72</x:v>
      </x:c>
      <x:c r="G72" s="165" t="n">
        <x:f>IF(F72=0,0,E72*I72/F72)</x:f>
        <x:v>0.3611111111111111</x:v>
      </x:c>
      <x:c r="H72" s="165" t="n">
        <x:f>E72*I72</x:f>
        <x:v>26</x:v>
      </x:c>
      <x:c r="I72" s="258" t="n">
        <x:v>0.4</x:v>
      </x:c>
      <x:c r="J72" s="165" t="n">
        <x:f>MAX(E72-H72,0)</x:f>
        <x:v>39</x:v>
      </x:c>
      <x:c r="K72" s="102" t="str">
        <x:v>否</x:v>
      </x:c>
      <x:c r="L72" s="103" t="str">
        <x:v>仅消费覆盖情景；不是已写入TXT的实际产量</x:v>
      </x:c>
    </x:row>
    <x:row r="73">
      <x:c r="A73" s="101" t="str">
        <x:v>C08</x:v>
      </x:c>
      <x:c r="B73" s="102" t="str">
        <x:v>巨人山顶</x:v>
      </x:c>
      <x:c r="C73" s="102" t="str">
        <x:v>巨人熔火卢恩</x:v>
      </x:c>
      <x:c r="D73" s="102" t="str">
        <x:v>转生材料</x:v>
      </x:c>
      <x:c r="E73" s="165" t="n">
        <x:f>SUMIFS('13_材料消耗明细'!$F$5:$F$324,'13_材料消耗明细'!$B$5:$B$324,A73,'13_材料消耗明细'!$C$5:$C$324,C73)</x:f>
        <x:v>450</x:v>
      </x:c>
      <x:c r="F73" s="165" t="n">
        <x:v>72</x:v>
      </x:c>
      <x:c r="G73" s="165" t="n">
        <x:f>IF(F73=0,0,E73*I73/F73)</x:f>
        <x:v>2.5</x:v>
      </x:c>
      <x:c r="H73" s="165" t="n">
        <x:f>E73*I73</x:f>
        <x:v>180</x:v>
      </x:c>
      <x:c r="I73" s="258" t="n">
        <x:v>0.4</x:v>
      </x:c>
      <x:c r="J73" s="165" t="n">
        <x:f>MAX(E73-H73,0)</x:f>
        <x:v>270</x:v>
      </x:c>
      <x:c r="K73" s="102" t="str">
        <x:v>否</x:v>
      </x:c>
      <x:c r="L73" s="103" t="str">
        <x:v>仅消费覆盖情景；不是已写入TXT的实际产量</x:v>
      </x:c>
    </x:row>
    <x:row r="74">
      <x:c r="A74" s="101" t="str">
        <x:v>C08</x:v>
      </x:c>
      <x:c r="B74" s="102" t="str">
        <x:v>巨人山顶</x:v>
      </x:c>
      <x:c r="C74" s="102" t="str">
        <x:v>王庭炉冠</x:v>
      </x:c>
      <x:c r="D74" s="102" t="str">
        <x:v>守关BOSS证物</x:v>
      </x:c>
      <x:c r="E74" s="165" t="n">
        <x:f>SUMIFS('13_材料消耗明细'!$F$5:$F$324,'13_材料消耗明细'!$B$5:$B$324,A74,'13_材料消耗明细'!$C$5:$C$324,C74)</x:f>
        <x:v>4</x:v>
      </x:c>
      <x:c r="F74" s="165" t="n">
        <x:v>72</x:v>
      </x:c>
      <x:c r="G74" s="165" t="n">
        <x:f>IF(F74=0,0,E74*I74/F74)</x:f>
        <x:v>0.022222222222222223</x:v>
      </x:c>
      <x:c r="H74" s="165" t="n">
        <x:f>E74*I74</x:f>
        <x:v>1.6</x:v>
      </x:c>
      <x:c r="I74" s="258" t="n">
        <x:v>0.4</x:v>
      </x:c>
      <x:c r="J74" s="165" t="n">
        <x:f>MAX(E74-H74,0)</x:f>
        <x:v>2.4</x:v>
      </x:c>
      <x:c r="K74" s="102" t="str">
        <x:v>否</x:v>
      </x:c>
      <x:c r="L74" s="103" t="str">
        <x:v>仅消费覆盖情景；不是已写入TXT的实际产量</x:v>
      </x:c>
    </x:row>
    <x:row r="75">
      <x:c r="A75" s="101" t="str">
        <x:v>C08</x:v>
      </x:c>
      <x:c r="B75" s="102" t="str">
        <x:v>巨人山顶</x:v>
      </x:c>
      <x:c r="C75" s="102" t="str">
        <x:v>登山铁楔</x:v>
      </x:c>
      <x:c r="D75" s="102" t="str">
        <x:v>普通怪证物</x:v>
      </x:c>
      <x:c r="E75" s="165" t="n">
        <x:f>SUMIFS('13_材料消耗明细'!$F$5:$F$324,'13_材料消耗明细'!$B$5:$B$324,A75,'13_材料消耗明细'!$C$5:$C$324,C75)</x:f>
        <x:v>145</x:v>
      </x:c>
      <x:c r="F75" s="165" t="n">
        <x:v>72</x:v>
      </x:c>
      <x:c r="G75" s="165" t="n">
        <x:f>IF(F75=0,0,E75*I75/F75)</x:f>
        <x:v>0.8055555555555556</x:v>
      </x:c>
      <x:c r="H75" s="165" t="n">
        <x:f>E75*I75</x:f>
        <x:v>58</x:v>
      </x:c>
      <x:c r="I75" s="258" t="n">
        <x:v>0.4</x:v>
      </x:c>
      <x:c r="J75" s="165" t="n">
        <x:f>MAX(E75-H75,0)</x:f>
        <x:v>87</x:v>
      </x:c>
      <x:c r="K75" s="102" t="str">
        <x:v>否</x:v>
      </x:c>
      <x:c r="L75" s="103" t="str">
        <x:v>仅消费覆盖情景；不是已写入TXT的实际产量</x:v>
      </x:c>
    </x:row>
    <x:row r="76">
      <x:c r="A76" s="101" t="str">
        <x:v>C08</x:v>
      </x:c>
      <x:c r="B76" s="102" t="str">
        <x:v>巨人山顶</x:v>
      </x:c>
      <x:c r="C76" s="102" t="str">
        <x:v>裂峰号角片</x:v>
      </x:c>
      <x:c r="D76" s="102" t="str">
        <x:v>精英证物</x:v>
      </x:c>
      <x:c r="E76" s="165" t="n">
        <x:f>SUMIFS('13_材料消耗明细'!$F$5:$F$324,'13_材料消耗明细'!$B$5:$B$324,A76,'13_材料消耗明细'!$C$5:$C$324,C76)</x:f>
        <x:v>110</x:v>
      </x:c>
      <x:c r="F76" s="165" t="n">
        <x:v>72</x:v>
      </x:c>
      <x:c r="G76" s="165" t="n">
        <x:f>IF(F76=0,0,E76*I76/F76)</x:f>
        <x:v>0.6111111111111112</x:v>
      </x:c>
      <x:c r="H76" s="165" t="n">
        <x:f>E76*I76</x:f>
        <x:v>44</x:v>
      </x:c>
      <x:c r="I76" s="258" t="n">
        <x:v>0.4</x:v>
      </x:c>
      <x:c r="J76" s="165" t="n">
        <x:f>MAX(E76-H76,0)</x:f>
        <x:v>66</x:v>
      </x:c>
      <x:c r="K76" s="102" t="str">
        <x:v>否</x:v>
      </x:c>
      <x:c r="L76" s="103" t="str">
        <x:v>仅消费覆盖情景；不是已写入TXT的实际产量</x:v>
      </x:c>
    </x:row>
    <x:row r="77">
      <x:c r="A77" s="101" t="str">
        <x:v>C08</x:v>
      </x:c>
      <x:c r="B77" s="102" t="str">
        <x:v>巨人山顶</x:v>
      </x:c>
      <x:c r="C77" s="102" t="str">
        <x:v>野兽骨片</x:v>
      </x:c>
      <x:c r="D77" s="102" t="str">
        <x:v>技能材料</x:v>
      </x:c>
      <x:c r="E77" s="165" t="n">
        <x:f>SUMIFS('13_材料消耗明细'!$F$5:$F$324,'13_材料消耗明细'!$B$5:$B$324,A77,'13_材料消耗明细'!$C$5:$C$324,C77)</x:f>
        <x:v>15630</x:v>
      </x:c>
      <x:c r="F77" s="165" t="n">
        <x:v>72</x:v>
      </x:c>
      <x:c r="G77" s="165" t="n">
        <x:f>IF(F77=0,0,E77*I77/F77)</x:f>
        <x:v>75.97916666666667</x:v>
      </x:c>
      <x:c r="H77" s="165" t="n">
        <x:f>E77*I77</x:f>
        <x:v>5470.5</x:v>
      </x:c>
      <x:c r="I77" s="258" t="n">
        <x:v>0.35</x:v>
      </x:c>
      <x:c r="J77" s="165" t="n">
        <x:f>MAX(E77-H77,0)</x:f>
        <x:v>10159.5</x:v>
      </x:c>
      <x:c r="K77" s="102" t="str">
        <x:v>否</x:v>
      </x:c>
      <x:c r="L77" s="103" t="str">
        <x:v>仅消费覆盖情景；不是已写入TXT的实际产量</x:v>
      </x:c>
    </x:row>
    <x:row r="78">
      <x:c r="A78" s="101" t="str">
        <x:v>C09</x:v>
      </x:c>
      <x:c r="B78" s="102" t="str">
        <x:v>亚坛高原</x:v>
      </x:c>
      <x:c r="C78" s="102" t="str">
        <x:v>黄金叶脉</x:v>
      </x:c>
      <x:c r="D78" s="102" t="str">
        <x:v>大陆通用材料</x:v>
      </x:c>
      <x:c r="E78" s="165" t="n">
        <x:f>SUMIFS('13_材料消耗明细'!$F$5:$F$324,'13_材料消耗明细'!$B$5:$B$324,A78,'13_材料消耗明细'!$C$5:$C$324,C78)</x:f>
        <x:v>4080</x:v>
      </x:c>
      <x:c r="F78" s="165" t="n">
        <x:v>84</x:v>
      </x:c>
      <x:c r="G78" s="165" t="n">
        <x:v>98</x:v>
      </x:c>
      <x:c r="H78" s="165" t="n">
        <x:f>F78*G78</x:f>
        <x:v>8232</x:v>
      </x:c>
      <x:c r="I78" s="258" t="n">
        <x:f>IF(E78=0,0,H78/E78)</x:f>
        <x:v>2.0176470588235293</x:v>
      </x:c>
      <x:c r="J78" s="165" t="n">
        <x:f>MAX(E78-H78,0)</x:f>
        <x:v>0</x:v>
      </x:c>
      <x:c r="K78" s="102" t="str">
        <x:v>是</x:v>
      </x:c>
      <x:c r="L78" s="103" t="str">
        <x:v>高产主材产量沿用情景输入；先扣全部建议需求</x:v>
      </x:c>
    </x:row>
    <x:row r="79">
      <x:c r="A79" s="101" t="str">
        <x:v>C09</x:v>
      </x:c>
      <x:c r="B79" s="102" t="str">
        <x:v>亚坛高原</x:v>
      </x:c>
      <x:c r="C79" s="102" t="str">
        <x:v>古王律页</x:v>
      </x:c>
      <x:c r="D79" s="102" t="str">
        <x:v>大陆稀有材料</x:v>
      </x:c>
      <x:c r="E79" s="165" t="n">
        <x:f>SUMIFS('13_材料消耗明细'!$F$5:$F$324,'13_材料消耗明细'!$B$5:$B$324,A79,'13_材料消耗明细'!$C$5:$C$324,C79)</x:f>
        <x:v>105</x:v>
      </x:c>
      <x:c r="F79" s="165" t="n">
        <x:v>84</x:v>
      </x:c>
      <x:c r="G79" s="165" t="n">
        <x:f>IF(F79=0,0,E79*I79/F79)</x:f>
        <x:v>0.5</x:v>
      </x:c>
      <x:c r="H79" s="165" t="n">
        <x:f>E79*I79</x:f>
        <x:v>42</x:v>
      </x:c>
      <x:c r="I79" s="258" t="n">
        <x:v>0.4</x:v>
      </x:c>
      <x:c r="J79" s="165" t="n">
        <x:f>MAX(E79-H79,0)</x:f>
        <x:v>63</x:v>
      </x:c>
      <x:c r="K79" s="102" t="str">
        <x:v>否</x:v>
      </x:c>
      <x:c r="L79" s="103" t="str">
        <x:v>仅消费覆盖情景；不是已写入TXT的实际产量</x:v>
      </x:c>
    </x:row>
    <x:row r="80">
      <x:c r="A80" s="101" t="str">
        <x:v>C09</x:v>
      </x:c>
      <x:c r="B80" s="102" t="str">
        <x:v>亚坛高原</x:v>
      </x:c>
      <x:c r="C80" s="102" t="str">
        <x:v>失色锻造石</x:v>
      </x:c>
      <x:c r="D80" s="102" t="str">
        <x:v>全局辅助材料</x:v>
      </x:c>
      <x:c r="E80" s="165" t="n">
        <x:v>24700</x:v>
      </x:c>
      <x:c r="F80" s="165" t="n">
        <x:v>84</x:v>
      </x:c>
      <x:c r="G80" s="165"/>
      <x:c r="H80" s="165"/>
      <x:c r="I80" s="258"/>
      <x:c r="J80" s="165"/>
      <x:c r="K80" s="102" t="str">
        <x:v>否</x:v>
      </x:c>
      <x:c r="L80" s="103" t="str">
        <x:v>数值尺度修订：失色产出/消耗统一×10；最终供给仍待561怪专属爆率反算</x:v>
      </x:c>
    </x:row>
    <x:row r="81">
      <x:c r="A81" s="101" t="str">
        <x:v>C09</x:v>
      </x:c>
      <x:c r="B81" s="102" t="str">
        <x:v>亚坛高原</x:v>
      </x:c>
      <x:c r="C81" s="102" t="str">
        <x:v>矿脉灯芯</x:v>
      </x:c>
      <x:c r="D81" s="102" t="str">
        <x:v>精英证物</x:v>
      </x:c>
      <x:c r="E81" s="165" t="n">
        <x:f>SUMIFS('13_材料消耗明细'!$F$5:$F$324,'13_材料消耗明细'!$B$5:$B$324,A81,'13_材料消耗明细'!$C$5:$C$324,C81)</x:f>
        <x:v>20</x:v>
      </x:c>
      <x:c r="F81" s="165" t="n">
        <x:v>84</x:v>
      </x:c>
      <x:c r="G81" s="165" t="n">
        <x:f>IF(F81=0,0,E81*I81/F81)</x:f>
        <x:v>0.09523809523809523</x:v>
      </x:c>
      <x:c r="H81" s="165" t="n">
        <x:f>E81*I81</x:f>
        <x:v>8</x:v>
      </x:c>
      <x:c r="I81" s="258" t="n">
        <x:v>0.4</x:v>
      </x:c>
      <x:c r="J81" s="165" t="n">
        <x:f>MAX(E81-H81,0)</x:f>
        <x:v>12</x:v>
      </x:c>
      <x:c r="K81" s="102" t="str">
        <x:v>否</x:v>
      </x:c>
      <x:c r="L81" s="103" t="str">
        <x:v>仅消费覆盖情景；不是已写入TXT的实际产量</x:v>
      </x:c>
    </x:row>
    <x:row r="82">
      <x:c r="A82" s="101" t="str">
        <x:v>C09</x:v>
      </x:c>
      <x:c r="B82" s="102" t="str">
        <x:v>亚坛高原</x:v>
      </x:c>
      <x:c r="C82" s="102" t="str">
        <x:v>裁文蜡封</x:v>
      </x:c>
      <x:c r="D82" s="102" t="str">
        <x:v>地图BOSS证物</x:v>
      </x:c>
      <x:c r="E82" s="165" t="n">
        <x:f>SUMIFS('13_材料消耗明细'!$F$5:$F$324,'13_材料消耗明细'!$B$5:$B$324,A82,'13_材料消耗明细'!$C$5:$C$324,C82)</x:f>
        <x:v>28</x:v>
      </x:c>
      <x:c r="F82" s="165" t="n">
        <x:v>84</x:v>
      </x:c>
      <x:c r="G82" s="165" t="n">
        <x:f>IF(F82=0,0,E82*I82/F82)</x:f>
        <x:v>0.13333333333333336</x:v>
      </x:c>
      <x:c r="H82" s="165" t="n">
        <x:f>E82*I82</x:f>
        <x:v>11.200000000000001</x:v>
      </x:c>
      <x:c r="I82" s="258" t="n">
        <x:v>0.4</x:v>
      </x:c>
      <x:c r="J82" s="165" t="n">
        <x:f>MAX(E82-H82,0)</x:f>
        <x:v>16.799999999999997</x:v>
      </x:c>
      <x:c r="K82" s="102" t="str">
        <x:v>否</x:v>
      </x:c>
      <x:c r="L82" s="103" t="str">
        <x:v>仅消费覆盖情景；不是已写入TXT的实际产量</x:v>
      </x:c>
    </x:row>
    <x:row r="83">
      <x:c r="A83" s="101" t="str">
        <x:v>C09</x:v>
      </x:c>
      <x:c r="B83" s="102" t="str">
        <x:v>亚坛高原</x:v>
      </x:c>
      <x:c r="C83" s="102" t="str">
        <x:v>野兽骨片</x:v>
      </x:c>
      <x:c r="D83" s="102" t="str">
        <x:v>技能材料</x:v>
      </x:c>
      <x:c r="E83" s="165" t="n">
        <x:f>SUMIFS('13_材料消耗明细'!$F$5:$F$324,'13_材料消耗明细'!$B$5:$B$324,A83,'13_材料消耗明细'!$C$5:$C$324,C83)</x:f>
        <x:v>16080</x:v>
      </x:c>
      <x:c r="F83" s="165" t="n">
        <x:v>84</x:v>
      </x:c>
      <x:c r="G83" s="165" t="n">
        <x:f>IF(F83=0,0,E83*I83/F83)</x:f>
        <x:v>67</x:v>
      </x:c>
      <x:c r="H83" s="165" t="n">
        <x:f>E83*I83</x:f>
        <x:v>5628</x:v>
      </x:c>
      <x:c r="I83" s="258" t="n">
        <x:v>0.35</x:v>
      </x:c>
      <x:c r="J83" s="165" t="n">
        <x:f>MAX(E83-H83,0)</x:f>
        <x:v>10452</x:v>
      </x:c>
      <x:c r="K83" s="102" t="str">
        <x:v>否</x:v>
      </x:c>
      <x:c r="L83" s="103" t="str">
        <x:v>仅消费覆盖情景；不是已写入TXT的实际产量</x:v>
      </x:c>
    </x:row>
    <x:row r="84">
      <x:c r="A84" s="101" t="str">
        <x:v>C09</x:v>
      </x:c>
      <x:c r="B84" s="102" t="str">
        <x:v>亚坛高原</x:v>
      </x:c>
      <x:c r="C84" s="102" t="str">
        <x:v>金叶驿票</x:v>
      </x:c>
      <x:c r="D84" s="102" t="str">
        <x:v>普通怪证物</x:v>
      </x:c>
      <x:c r="E84" s="165" t="n">
        <x:f>SUMIFS('13_材料消耗明细'!$F$5:$F$324,'13_材料消耗明细'!$B$5:$B$324,A84,'13_材料消耗明细'!$C$5:$C$324,C84)</x:f>
        <x:v>50</x:v>
      </x:c>
      <x:c r="F84" s="165" t="n">
        <x:v>84</x:v>
      </x:c>
      <x:c r="G84" s="165" t="n">
        <x:f>IF(F84=0,0,E84*I84/F84)</x:f>
        <x:v>0.23809523809523808</x:v>
      </x:c>
      <x:c r="H84" s="165" t="n">
        <x:f>E84*I84</x:f>
        <x:v>20</x:v>
      </x:c>
      <x:c r="I84" s="258" t="n">
        <x:v>0.4</x:v>
      </x:c>
      <x:c r="J84" s="165" t="n">
        <x:f>MAX(E84-H84,0)</x:f>
        <x:v>30</x:v>
      </x:c>
      <x:c r="K84" s="102" t="str">
        <x:v>否</x:v>
      </x:c>
      <x:c r="L84" s="103" t="str">
        <x:v>仅消费覆盖情景；不是已写入TXT的实际产量</x:v>
      </x:c>
    </x:row>
    <x:row r="85">
      <x:c r="A85" s="101" t="str">
        <x:v>C09</x:v>
      </x:c>
      <x:c r="B85" s="102" t="str">
        <x:v>亚坛高原</x:v>
      </x:c>
      <x:c r="C85" s="102" t="str">
        <x:v>高原王诏金版</x:v>
      </x:c>
      <x:c r="D85" s="102" t="str">
        <x:v>守关BOSS证物</x:v>
      </x:c>
      <x:c r="E85" s="165" t="n">
        <x:f>SUMIFS('13_材料消耗明细'!$F$5:$F$324,'13_材料消耗明细'!$B$5:$B$324,A85,'13_材料消耗明细'!$C$5:$C$324,C85)</x:f>
        <x:v>10</x:v>
      </x:c>
      <x:c r="F85" s="165" t="n">
        <x:v>84</x:v>
      </x:c>
      <x:c r="G85" s="165" t="n">
        <x:f>IF(F85=0,0,E85*I85/F85)</x:f>
        <x:v>0.047619047619047616</x:v>
      </x:c>
      <x:c r="H85" s="165" t="n">
        <x:f>E85*I85</x:f>
        <x:v>4</x:v>
      </x:c>
      <x:c r="I85" s="258" t="n">
        <x:v>0.4</x:v>
      </x:c>
      <x:c r="J85" s="165" t="n">
        <x:f>MAX(E85-H85,0)</x:f>
        <x:v>6</x:v>
      </x:c>
      <x:c r="K85" s="102" t="str">
        <x:v>否</x:v>
      </x:c>
      <x:c r="L85" s="103" t="str">
        <x:v>仅消费覆盖情景；不是已写入TXT的实际产量</x:v>
      </x:c>
    </x:row>
    <x:row r="86">
      <x:c r="A86" s="101" t="str">
        <x:v>C09</x:v>
      </x:c>
      <x:c r="B86" s="102" t="str">
        <x:v>亚坛高原</x:v>
      </x:c>
      <x:c r="C86" s="102" t="str">
        <x:v>黄金律印</x:v>
      </x:c>
      <x:c r="D86" s="102" t="str">
        <x:v>大陆剧情印记</x:v>
      </x:c>
      <x:c r="E86" s="165" t="n">
        <x:f>SUMIFS('13_材料消耗明细'!$F$5:$F$324,'13_材料消耗明细'!$B$5:$B$324,A86,'13_材料消耗明细'!$C$5:$C$324,C86)</x:f>
        <x:v>134</x:v>
      </x:c>
      <x:c r="F86" s="165" t="n">
        <x:v>84</x:v>
      </x:c>
      <x:c r="G86" s="165" t="n">
        <x:f>IF(F86=0,0,E86*I86/F86)</x:f>
        <x:v>0.9571428571428571</x:v>
      </x:c>
      <x:c r="H86" s="165" t="n">
        <x:f>E86*I86</x:f>
        <x:v>80.39999999999999</x:v>
      </x:c>
      <x:c r="I86" s="258" t="n">
        <x:v>0.6</x:v>
      </x:c>
      <x:c r="J86" s="165" t="n">
        <x:f>MAX(E86-H86,0)</x:f>
        <x:v>53.60000000000001</x:v>
      </x:c>
      <x:c r="K86" s="102" t="str">
        <x:v>否</x:v>
      </x:c>
      <x:c r="L86" s="103" t="str">
        <x:v>仅消费覆盖情景；不是已写入TXT的实际产量</x:v>
      </x:c>
    </x:row>
    <x:row r="87">
      <x:c r="A87" s="101" t="str">
        <x:v>C10</x:v>
      </x:c>
      <x:c r="B87" s="102" t="str">
        <x:v>王城罗德尔</x:v>
      </x:c>
      <x:c r="C87" s="102" t="str">
        <x:v>王城金屑</x:v>
      </x:c>
      <x:c r="D87" s="102" t="str">
        <x:v>大陆通用材料</x:v>
      </x:c>
      <x:c r="E87" s="165" t="n">
        <x:f>SUMIFS('13_材料消耗明细'!$F$5:$F$324,'13_材料消耗明细'!$B$5:$B$324,A87,'13_材料消耗明细'!$C$5:$C$324,C87)</x:f>
        <x:v>5955</x:v>
      </x:c>
      <x:c r="F87" s="165" t="n">
        <x:v>96</x:v>
      </x:c>
      <x:c r="G87" s="165" t="n">
        <x:v>100</x:v>
      </x:c>
      <x:c r="H87" s="165" t="n">
        <x:f>F87*G87</x:f>
        <x:v>9600</x:v>
      </x:c>
      <x:c r="I87" s="258" t="n">
        <x:f>IF(E87=0,0,H87/E87)</x:f>
        <x:v>1.6120906801007557</x:v>
      </x:c>
      <x:c r="J87" s="165" t="n">
        <x:f>MAX(E87-H87,0)</x:f>
        <x:v>0</x:v>
      </x:c>
      <x:c r="K87" s="102" t="str">
        <x:v>是</x:v>
      </x:c>
      <x:c r="L87" s="103" t="str">
        <x:v>高产主材产量沿用情景输入；先扣全部建议需求</x:v>
      </x:c>
    </x:row>
    <x:row r="88">
      <x:c r="A88" s="101" t="str">
        <x:v>C10</x:v>
      </x:c>
      <x:c r="B88" s="102" t="str">
        <x:v>王城罗德尔</x:v>
      </x:c>
      <x:c r="C88" s="102" t="str">
        <x:v>失温熔炉楔</x:v>
      </x:c>
      <x:c r="D88" s="102" t="str">
        <x:v>地图BOSS证物</x:v>
      </x:c>
      <x:c r="E88" s="165" t="n">
        <x:f>SUMIFS('13_材料消耗明细'!$F$5:$F$324,'13_材料消耗明细'!$B$5:$B$324,A88,'13_材料消耗明细'!$C$5:$C$324,C88)</x:f>
        <x:v>44</x:v>
      </x:c>
      <x:c r="F88" s="165" t="n">
        <x:v>96</x:v>
      </x:c>
      <x:c r="G88" s="165" t="n">
        <x:f>IF(F88=0,0,E88*I88/F88)</x:f>
        <x:v>0.18333333333333335</x:v>
      </x:c>
      <x:c r="H88" s="165" t="n">
        <x:f>E88*I88</x:f>
        <x:v>17.6</x:v>
      </x:c>
      <x:c r="I88" s="258" t="n">
        <x:v>0.4</x:v>
      </x:c>
      <x:c r="J88" s="165" t="n">
        <x:f>MAX(E88-H88,0)</x:f>
        <x:v>26.4</x:v>
      </x:c>
      <x:c r="K88" s="102" t="str">
        <x:v>否</x:v>
      </x:c>
      <x:c r="L88" s="103" t="str">
        <x:v>仅消费覆盖情景；不是已写入TXT的实际产量</x:v>
      </x:c>
    </x:row>
    <x:row r="89">
      <x:c r="A89" s="101" t="str">
        <x:v>C10</x:v>
      </x:c>
      <x:c r="B89" s="102" t="str">
        <x:v>王城罗德尔</x:v>
      </x:c>
      <x:c r="C89" s="102" t="str">
        <x:v>失色锻造石</x:v>
      </x:c>
      <x:c r="D89" s="102" t="str">
        <x:v>全局辅助材料</x:v>
      </x:c>
      <x:c r="E89" s="165" t="n">
        <x:v>37900</x:v>
      </x:c>
      <x:c r="F89" s="165" t="n">
        <x:v>96</x:v>
      </x:c>
      <x:c r="G89" s="165"/>
      <x:c r="H89" s="165"/>
      <x:c r="I89" s="258"/>
      <x:c r="J89" s="165"/>
      <x:c r="K89" s="102" t="str">
        <x:v>否</x:v>
      </x:c>
      <x:c r="L89" s="103" t="str">
        <x:v>数值尺度修订：失色产出/消耗统一×10；最终供给仍待561怪专属爆率反算</x:v>
      </x:c>
    </x:row>
    <x:row r="90">
      <x:c r="A90" s="101" t="str">
        <x:v>C10</x:v>
      </x:c>
      <x:c r="B90" s="102" t="str">
        <x:v>王城罗德尔</x:v>
      </x:c>
      <x:c r="C90" s="102" t="str">
        <x:v>无名墓钉</x:v>
      </x:c>
      <x:c r="D90" s="102" t="str">
        <x:v>普通怪证物</x:v>
      </x:c>
      <x:c r="E90" s="165" t="n">
        <x:f>SUMIFS('13_材料消耗明细'!$F$5:$F$324,'13_材料消耗明细'!$B$5:$B$324,A90,'13_材料消耗明细'!$C$5:$C$324,C90)</x:f>
        <x:v>290</x:v>
      </x:c>
      <x:c r="F90" s="165" t="n">
        <x:v>96</x:v>
      </x:c>
      <x:c r="G90" s="165" t="n">
        <x:f>IF(F90=0,0,E90*I90/F90)</x:f>
        <x:v>1.2083333333333333</x:v>
      </x:c>
      <x:c r="H90" s="165" t="n">
        <x:f>E90*I90</x:f>
        <x:v>116</x:v>
      </x:c>
      <x:c r="I90" s="258" t="n">
        <x:v>0.4</x:v>
      </x:c>
      <x:c r="J90" s="165" t="n">
        <x:f>MAX(E90-H90,0)</x:f>
        <x:v>174</x:v>
      </x:c>
      <x:c r="K90" s="102" t="str">
        <x:v>否</x:v>
      </x:c>
      <x:c r="L90" s="103" t="str">
        <x:v>仅消费覆盖情景；不是已写入TXT的实际产量</x:v>
      </x:c>
    </x:row>
    <x:row r="91">
      <x:c r="A91" s="101" t="str">
        <x:v>C10</x:v>
      </x:c>
      <x:c r="B91" s="102" t="str">
        <x:v>王城罗德尔</x:v>
      </x:c>
      <x:c r="C91" s="102" t="str">
        <x:v>旧渠阀芯</x:v>
      </x:c>
      <x:c r="D91" s="102" t="str">
        <x:v>精英证物</x:v>
      </x:c>
      <x:c r="E91" s="165" t="n">
        <x:f>SUMIFS('13_材料消耗明细'!$F$5:$F$324,'13_材料消耗明细'!$B$5:$B$324,A91,'13_材料消耗明细'!$C$5:$C$324,C91)</x:f>
        <x:v>120</x:v>
      </x:c>
      <x:c r="F91" s="165" t="n">
        <x:v>96</x:v>
      </x:c>
      <x:c r="G91" s="165" t="n">
        <x:f>IF(F91=0,0,E91*I91/F91)</x:f>
        <x:v>0.5</x:v>
      </x:c>
      <x:c r="H91" s="165" t="n">
        <x:f>E91*I91</x:f>
        <x:v>48</x:v>
      </x:c>
      <x:c r="I91" s="258" t="n">
        <x:v>0.4</x:v>
      </x:c>
      <x:c r="J91" s="165" t="n">
        <x:f>MAX(E91-H91,0)</x:f>
        <x:v>72</x:v>
      </x:c>
      <x:c r="K91" s="102" t="str">
        <x:v>否</x:v>
      </x:c>
      <x:c r="L91" s="103" t="str">
        <x:v>仅消费覆盖情景；不是已写入TXT的实际产量</x:v>
      </x:c>
    </x:row>
    <x:row r="92">
      <x:c r="A92" s="101" t="str">
        <x:v>C10</x:v>
      </x:c>
      <x:c r="B92" s="102" t="str">
        <x:v>王城罗德尔</x:v>
      </x:c>
      <x:c r="C92" s="102" t="str">
        <x:v>王宫律文</x:v>
      </x:c>
      <x:c r="D92" s="102" t="str">
        <x:v>大陆稀有材料</x:v>
      </x:c>
      <x:c r="E92" s="165" t="n">
        <x:f>SUMIFS('13_材料消耗明细'!$F$5:$F$324,'13_材料消耗明细'!$B$5:$B$324,A92,'13_材料消耗明细'!$C$5:$C$324,C92)</x:f>
        <x:v>236</x:v>
      </x:c>
      <x:c r="F92" s="165" t="n">
        <x:v>96</x:v>
      </x:c>
      <x:c r="G92" s="165" t="n">
        <x:f>IF(F92=0,0,E92*I92/F92)</x:f>
        <x:v>0.9833333333333334</x:v>
      </x:c>
      <x:c r="H92" s="165" t="n">
        <x:f>E92*I92</x:f>
        <x:v>94.4</x:v>
      </x:c>
      <x:c r="I92" s="258" t="n">
        <x:v>0.4</x:v>
      </x:c>
      <x:c r="J92" s="165" t="n">
        <x:f>MAX(E92-H92,0)</x:f>
        <x:v>141.6</x:v>
      </x:c>
      <x:c r="K92" s="102" t="str">
        <x:v>否</x:v>
      </x:c>
      <x:c r="L92" s="103" t="str">
        <x:v>仅消费覆盖情景；不是已写入TXT的实际产量</x:v>
      </x:c>
    </x:row>
    <x:row r="93">
      <x:c r="A93" s="101" t="str">
        <x:v>C10</x:v>
      </x:c>
      <x:c r="B93" s="102" t="str">
        <x:v>王城罗德尔</x:v>
      </x:c>
      <x:c r="C93" s="102" t="str">
        <x:v>王宫断冠片</x:v>
      </x:c>
      <x:c r="D93" s="102" t="str">
        <x:v>守关BOSS证物</x:v>
      </x:c>
      <x:c r="E93" s="165" t="n">
        <x:f>SUMIFS('13_材料消耗明细'!$F$5:$F$324,'13_材料消耗明细'!$B$5:$B$324,A93,'13_材料消耗明细'!$C$5:$C$324,C93)</x:f>
        <x:v>18</x:v>
      </x:c>
      <x:c r="F93" s="165" t="n">
        <x:v>96</x:v>
      </x:c>
      <x:c r="G93" s="165" t="n">
        <x:f>IF(F93=0,0,E93*I93/F93)</x:f>
        <x:v>0.075</x:v>
      </x:c>
      <x:c r="H93" s="165" t="n">
        <x:f>E93*I93</x:f>
        <x:v>7.2</x:v>
      </x:c>
      <x:c r="I93" s="258" t="n">
        <x:v>0.4</x:v>
      </x:c>
      <x:c r="J93" s="165" t="n">
        <x:f>MAX(E93-H93,0)</x:f>
        <x:v>10.8</x:v>
      </x:c>
      <x:c r="K93" s="102" t="str">
        <x:v>否</x:v>
      </x:c>
      <x:c r="L93" s="103" t="str">
        <x:v>仅消费覆盖情景；不是已写入TXT的实际产量</x:v>
      </x:c>
    </x:row>
    <x:row r="94">
      <x:c r="A94" s="101" t="str">
        <x:v>C10</x:v>
      </x:c>
      <x:c r="B94" s="102" t="str">
        <x:v>王城罗德尔</x:v>
      </x:c>
      <x:c r="C94" s="102" t="str">
        <x:v>艾尔登王印</x:v>
      </x:c>
      <x:c r="D94" s="102" t="str">
        <x:v>大陆剧情印记</x:v>
      </x:c>
      <x:c r="E94" s="165" t="n">
        <x:f>SUMIFS('13_材料消耗明细'!$F$5:$F$324,'13_材料消耗明细'!$B$5:$B$324,A94,'13_材料消耗明细'!$C$5:$C$324,C94)</x:f>
        <x:v>216</x:v>
      </x:c>
      <x:c r="F94" s="165" t="n">
        <x:v>96</x:v>
      </x:c>
      <x:c r="G94" s="165" t="n">
        <x:f>IF(F94=0,0,E94*I94/F94)</x:f>
        <x:v>1.3499999999999999</x:v>
      </x:c>
      <x:c r="H94" s="165" t="n">
        <x:f>E94*I94</x:f>
        <x:v>129.6</x:v>
      </x:c>
      <x:c r="I94" s="258" t="n">
        <x:v>0.6</x:v>
      </x:c>
      <x:c r="J94" s="165" t="n">
        <x:f>MAX(E94-H94,0)</x:f>
        <x:v>86.4</x:v>
      </x:c>
      <x:c r="K94" s="102" t="str">
        <x:v>否</x:v>
      </x:c>
      <x:c r="L94" s="103" t="str">
        <x:v>仅消费覆盖情景；不是已写入TXT的实际产量</x:v>
      </x:c>
    </x:row>
    <x:row r="95">
      <x:c r="A95" s="101" t="str">
        <x:v>C10</x:v>
      </x:c>
      <x:c r="B95" s="102" t="str">
        <x:v>王城罗德尔</x:v>
      </x:c>
      <x:c r="C95" s="102" t="str">
        <x:v>野兽骨片</x:v>
      </x:c>
      <x:c r="D95" s="102" t="str">
        <x:v>技能材料</x:v>
      </x:c>
      <x:c r="E95" s="165" t="n">
        <x:f>SUMIFS('13_材料消耗明细'!$F$5:$F$324,'13_材料消耗明细'!$B$5:$B$324,A95,'13_材料消耗明细'!$C$5:$C$324,C95)</x:f>
        <x:v>14160</x:v>
      </x:c>
      <x:c r="F95" s="165" t="n">
        <x:v>96</x:v>
      </x:c>
      <x:c r="G95" s="165" t="n">
        <x:f>IF(F95=0,0,E95*I95/F95)</x:f>
        <x:v>51.625</x:v>
      </x:c>
      <x:c r="H95" s="165" t="n">
        <x:f>E95*I95</x:f>
        <x:v>4956</x:v>
      </x:c>
      <x:c r="I95" s="258" t="n">
        <x:v>0.35</x:v>
      </x:c>
      <x:c r="J95" s="165" t="n">
        <x:f>MAX(E95-H95,0)</x:f>
        <x:v>9204</x:v>
      </x:c>
      <x:c r="K95" s="102" t="str">
        <x:v>否</x:v>
      </x:c>
      <x:c r="L95" s="103" t="str">
        <x:v>仅消费覆盖情景；不是已写入TXT的实际产量</x:v>
      </x:c>
    </x:row>
    <x:row r="96">
      <x:c r="A96" s="101" t="str">
        <x:v>C10</x:v>
      </x:c>
      <x:c r="B96" s="102" t="str">
        <x:v>王城罗德尔</x:v>
      </x:c>
      <x:c r="C96" s="102" t="str">
        <x:v>黄金律法卢恩</x:v>
      </x:c>
      <x:c r="D96" s="102" t="str">
        <x:v>转生材料</x:v>
      </x:c>
      <x:c r="E96" s="165" t="n">
        <x:f>SUMIFS('13_材料消耗明细'!$F$5:$F$324,'13_材料消耗明细'!$B$5:$B$324,A96,'13_材料消耗明细'!$C$5:$C$324,C96)</x:f>
        <x:v>550</x:v>
      </x:c>
      <x:c r="F96" s="165" t="n">
        <x:v>96</x:v>
      </x:c>
      <x:c r="G96" s="165" t="n">
        <x:f>IF(F96=0,0,E96*I96/F96)</x:f>
        <x:v>2.2916666666666665</x:v>
      </x:c>
      <x:c r="H96" s="165" t="n">
        <x:f>E96*I96</x:f>
        <x:v>220</x:v>
      </x:c>
      <x:c r="I96" s="258" t="n">
        <x:v>0.4</x:v>
      </x:c>
      <x:c r="J96" s="165" t="n">
        <x:f>MAX(E96-H96,0)</x:f>
        <x:v>330</x:v>
      </x:c>
      <x:c r="K96" s="102" t="str">
        <x:v>否</x:v>
      </x:c>
      <x:c r="L96" s="103" t="str">
        <x:v>仅消费覆盖情景；不是已写入TXT的实际产量</x:v>
      </x:c>
    </x:row>
    <x:row r="97">
      <x:c r="A97" s="101"/>
      <x:c r="B97" s="102"/>
      <x:c r="C97" s="102"/>
      <x:c r="D97" s="102"/>
      <x:c r="E97" s="165"/>
      <x:c r="F97" s="165"/>
      <x:c r="G97" s="165"/>
      <x:c r="H97" s="165"/>
      <x:c r="I97" s="177"/>
      <x:c r="J97" s="165"/>
      <x:c r="K97" s="102"/>
      <x:c r="L97" s="103"/>
    </x:row>
    <x:row r="98">
      <x:c r="A98" s="101"/>
      <x:c r="B98" s="102"/>
      <x:c r="C98" s="102"/>
      <x:c r="D98" s="102"/>
      <x:c r="E98" s="165"/>
      <x:c r="F98" s="165"/>
      <x:c r="G98" s="165"/>
      <x:c r="H98" s="165"/>
      <x:c r="I98" s="177"/>
      <x:c r="J98" s="165"/>
      <x:c r="K98" s="102"/>
      <x:c r="L98" s="103"/>
    </x:row>
    <x:row r="99">
      <x:c r="A99" s="101"/>
      <x:c r="B99" s="102"/>
      <x:c r="C99" s="102"/>
      <x:c r="D99" s="102"/>
      <x:c r="E99" s="165"/>
      <x:c r="F99" s="165"/>
      <x:c r="G99" s="165"/>
      <x:c r="H99" s="165"/>
      <x:c r="I99" s="177"/>
      <x:c r="J99" s="165"/>
      <x:c r="K99" s="102"/>
      <x:c r="L99" s="103"/>
    </x:row>
    <x:row r="100">
      <x:c r="A100" s="104"/>
      <x:c r="B100" s="105"/>
      <x:c r="C100" s="105"/>
      <x:c r="D100" s="105"/>
      <x:c r="E100" s="166"/>
      <x:c r="F100" s="166"/>
      <x:c r="G100" s="166"/>
      <x:c r="H100" s="166"/>
      <x:c r="I100" s="178"/>
      <x:c r="J100" s="166"/>
      <x:c r="K100" s="105"/>
      <x:c r="L100" s="106"/>
    </x:row>
  </x:sheetData>
  <x:mergeCells>
    <x:mergeCell ref="A1:L1"/>
    <x:mergeCell ref="A2:L2"/>
  </x:mergeCells>
  <x:conditionalFormatting sqref="I5:I10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28b9be778c49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42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42" hidden="0" customWidth="1"/>
  </x:cols>
  <x:sheetData>
    <x:row r="1" ht="28" customHeight="1">
      <x:c r="A1" s="5" t="str">
        <x:v>全材料回收价格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4" t="str">
        <x:v>除失色锻造石外，所有材料均设置货币回收兜底。高产主材计入货币模型；明显缺口材料故意低价，避免玩家为了回收放弃成长。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32" customHeight="1">
      <x:c r="A4" s="63" t="str">
        <x:v>名称</x:v>
      </x:c>
      <x:c r="B4" s="64" t="str">
        <x:v>大陆ID</x:v>
      </x:c>
      <x:c r="C4" s="64" t="str">
        <x:v>大陆</x:v>
      </x:c>
      <x:c r="D4" s="64" t="str">
        <x:v>类别</x:v>
      </x:c>
      <x:c r="E4" s="64" t="str">
        <x:v>Idx</x:v>
      </x:c>
      <x:c r="F4" s="64" t="str">
        <x:v>Looks</x:v>
      </x:c>
      <x:c r="G4" s="64" t="str">
        <x:v>主要用途</x:v>
      </x:c>
      <x:c r="H4" s="64" t="str">
        <x:v>基础金币</x:v>
      </x:c>
      <x:c r="I4" s="64" t="str">
        <x:v>基础元宝</x:v>
      </x:c>
      <x:c r="J4" s="64" t="str">
        <x:v>50%加成后金币</x:v>
      </x:c>
      <x:c r="K4" s="64" t="str">
        <x:v>50%加成后元宝</x:v>
      </x:c>
      <x:c r="L4" s="64" t="str">
        <x:v>回收方式</x:v>
      </x:c>
      <x:c r="M4" s="64" t="str">
        <x:v>计入货币产出模型</x:v>
      </x:c>
      <x:c r="N4" s="65" t="str">
        <x:v>备注</x:v>
      </x:c>
    </x:row>
    <x:row r="5">
      <x:c r="A5" s="98" t="str">
        <x:v>失色锻造石</x:v>
      </x:c>
      <x:c r="B5" s="99" t="str">
        <x:v>全服</x:v>
      </x:c>
      <x:c r="C5" s="99" t="str">
        <x:v>全服</x:v>
      </x:c>
      <x:c r="D5" s="99" t="str">
        <x:v>全局辅助材料</x:v>
      </x:c>
      <x:c r="E5" s="99" t="n">
        <x:v>793</x:v>
      </x:c>
      <x:c r="F5" s="99" t="str">
        <x:v>旧行</x:v>
      </x:c>
      <x:c r="G5" s="99" t="str">
        <x:v>普通洗练、开光、重点合成；战灰仅PVP旁账；不用于贯穿称号，不兑换货币</x:v>
      </x:c>
      <x:c r="H5" s="158" t="n">
        <x:v>0</x:v>
      </x:c>
      <x:c r="I5" s="158" t="n">
        <x:v>0</x:v>
      </x:c>
      <x:c r="J5" s="158" t="n">
        <x:v>0</x:v>
      </x:c>
      <x:c r="K5" s="158" t="n">
        <x:v>0</x:v>
      </x:c>
      <x:c r="L5" s="99" t="str">
        <x:v>否</x:v>
      </x:c>
      <x:c r="M5" s="99" t="str">
        <x:v>否</x:v>
      </x:c>
      <x:c r="N5" s="100" t="str">
        <x:v>主消耗材料；只列PVE已知需求，产出下一阶段由专属爆率反算。</x:v>
      </x:c>
    </x:row>
    <x:row r="6">
      <x:c r="A6" s="101" t="str">
        <x:v>野兽骨片</x:v>
      </x:c>
      <x:c r="B6" s="102" t="str">
        <x:v>C02</x:v>
      </x:c>
      <x:c r="C6" s="102" t="str">
        <x:v>宁姆格福</x:v>
      </x:c>
      <x:c r="D6" s="102" t="str">
        <x:v>技能材料</x:v>
      </x:c>
      <x:c r="E6" s="102" t="n">
        <x:v>794</x:v>
      </x:c>
      <x:c r="F6" s="102" t="str">
        <x:v>旧行</x:v>
      </x:c>
      <x:c r="G6" s="102" t="str">
        <x:v>255档神印修行／锻体；技能升级</x:v>
      </x:c>
      <x:c r="H6" s="159" t="n">
        <x:v>500000</x:v>
      </x:c>
      <x:c r="I6" s="159" t="n">
        <x:v>5000</x:v>
      </x:c>
      <x:c r="J6" s="159" t="n">
        <x:v>750000</x:v>
      </x:c>
      <x:c r="K6" s="159" t="n">
        <x:v>7500</x:v>
      </x:c>
      <x:c r="L6" s="102" t="str">
        <x:v>是（手动）</x:v>
      </x:c>
      <x:c r="M6" s="102" t="str">
        <x:v>否</x:v>
      </x:c>
      <x:c r="N6" s="103" t="str">
        <x:v>低价兜底；神印/技能明显缺口，不计入产出</x:v>
      </x:c>
    </x:row>
    <x:row r="7">
      <x:c r="A7" s="101" t="str">
        <x:v>神秘符文</x:v>
      </x:c>
      <x:c r="B7" s="102" t="str">
        <x:v>全服</x:v>
      </x:c>
      <x:c r="C7" s="102" t="str">
        <x:v>全服</x:v>
      </x:c>
      <x:c r="D7" s="102" t="str">
        <x:v>命格材料</x:v>
      </x:c>
      <x:c r="E7" s="102" t="n">
        <x:v>802</x:v>
      </x:c>
      <x:c r="F7" s="102" t="str">
        <x:v>旧行</x:v>
      </x:c>
      <x:c r="G7" s="102" t="str">
        <x:v>C01-FATE-SINGLE、C01-FATE-TEN</x:v>
      </x:c>
      <x:c r="H7" s="159" t="n">
        <x:v>5000000</x:v>
      </x:c>
      <x:c r="I7" s="159" t="n">
        <x:v>50000</x:v>
      </x:c>
      <x:c r="J7" s="159" t="n">
        <x:v>7500000</x:v>
      </x:c>
      <x:c r="K7" s="159" t="n">
        <x:v>75000</x:v>
      </x:c>
      <x:c r="L7" s="102" t="str">
        <x:v>是（手动）</x:v>
      </x:c>
      <x:c r="M7" s="102" t="str">
        <x:v>否</x:v>
      </x:c>
      <x:c r="N7" s="103" t="str">
        <x:v>命格材料明显缺口，不计入产出</x:v>
      </x:c>
    </x:row>
    <x:row r="8">
      <x:c r="A8" s="101" t="str">
        <x:v>漂流见证·潮</x:v>
      </x:c>
      <x:c r="B8" s="102" t="str">
        <x:v>C01</x:v>
      </x:c>
      <x:c r="C8" s="102" t="str">
        <x:v>漂流群岛</x:v>
      </x:c>
      <x:c r="D8" s="102" t="str">
        <x:v>剧情进度材料</x:v>
      </x:c>
      <x:c r="E8" s="102" t="n">
        <x:v>907</x:v>
      </x:c>
      <x:c r="F8" s="102" t="n">
        <x:v>6398</x:v>
      </x:c>
      <x:c r="G8" s="102" t="str">
        <x:v>C01-SYN-ZD-01、C01-SYN-TT-01</x:v>
      </x:c>
      <x:c r="H8" s="159" t="n">
        <x:v>5000000</x:v>
      </x:c>
      <x:c r="I8" s="159" t="n">
        <x:v>50000</x:v>
      </x:c>
      <x:c r="J8" s="159" t="n">
        <x:v>7500000</x:v>
      </x:c>
      <x:c r="K8" s="159" t="n">
        <x:v>75000</x:v>
      </x:c>
      <x:c r="L8" s="102" t="str">
        <x:v>是（手动）</x:v>
      </x:c>
      <x:c r="M8" s="102" t="str">
        <x:v>否</x:v>
      </x:c>
      <x:c r="N8" s="103" t="str">
        <x:v>任务/称号材料，低价兜底</x:v>
      </x:c>
    </x:row>
    <x:row r="9">
      <x:c r="A9" s="101" t="str">
        <x:v>漂流见证·雷</x:v>
      </x:c>
      <x:c r="B9" s="102" t="str">
        <x:v>C01</x:v>
      </x:c>
      <x:c r="C9" s="102" t="str">
        <x:v>漂流群岛</x:v>
      </x:c>
      <x:c r="D9" s="102" t="str">
        <x:v>剧情进度材料</x:v>
      </x:c>
      <x:c r="E9" s="102" t="n">
        <x:v>908</x:v>
      </x:c>
      <x:c r="F9" s="102" t="n">
        <x:v>6399</x:v>
      </x:c>
      <x:c r="G9" s="102" t="str">
        <x:v>C01-SYN-TT-01</x:v>
      </x:c>
      <x:c r="H9" s="159" t="n">
        <x:v>5000000</x:v>
      </x:c>
      <x:c r="I9" s="159" t="n">
        <x:v>50000</x:v>
      </x:c>
      <x:c r="J9" s="159" t="n">
        <x:v>7500000</x:v>
      </x:c>
      <x:c r="K9" s="159" t="n">
        <x:v>75000</x:v>
      </x:c>
      <x:c r="L9" s="102" t="str">
        <x:v>是（手动）</x:v>
      </x:c>
      <x:c r="M9" s="102" t="str">
        <x:v>否</x:v>
      </x:c>
      <x:c r="N9" s="103" t="str">
        <x:v>任务/称号材料，低价兜底</x:v>
      </x:c>
    </x:row>
    <x:row r="10">
      <x:c r="A10" s="101" t="str">
        <x:v>宁姆格福誓页</x:v>
      </x:c>
      <x:c r="B10" s="102" t="str">
        <x:v>C02</x:v>
      </x:c>
      <x:c r="C10" s="102" t="str">
        <x:v>宁姆格福</x:v>
      </x:c>
      <x:c r="D10" s="102" t="str">
        <x:v>剧情进度材料</x:v>
      </x:c>
      <x:c r="E10" s="102" t="n">
        <x:v>909</x:v>
      </x:c>
      <x:c r="F10" s="102" t="n">
        <x:v>6400</x:v>
      </x:c>
      <x:c r="G10" s="102" t="str">
        <x:v>高级技能晋级／领悟</x:v>
      </x:c>
      <x:c r="H10" s="159" t="n">
        <x:v>10000000</x:v>
      </x:c>
      <x:c r="I10" s="159" t="n">
        <x:v>100000</x:v>
      </x:c>
      <x:c r="J10" s="159" t="n">
        <x:v>15000000</x:v>
      </x:c>
      <x:c r="K10" s="159" t="n">
        <x:v>150000</x:v>
      </x:c>
      <x:c r="L10" s="102" t="str">
        <x:v>是（手动）</x:v>
      </x:c>
      <x:c r="M10" s="102" t="str">
        <x:v>否</x:v>
      </x:c>
      <x:c r="N10" s="103" t="str">
        <x:v>高级技能材料，低价兜底，不计入产出</x:v>
      </x:c>
    </x:row>
    <x:row r="11">
      <x:c r="A11" s="101" t="str">
        <x:v>海蚀铁片</x:v>
      </x:c>
      <x:c r="B11" s="102" t="str">
        <x:v>C01</x:v>
      </x:c>
      <x:c r="C11" s="102" t="str">
        <x:v>漂流群岛</x:v>
      </x:c>
      <x:c r="D11" s="102" t="str">
        <x:v>大陆通用材料</x:v>
      </x:c>
      <x:c r="E11" s="102" t="n">
        <x:v>910</x:v>
      </x:c>
      <x:c r="F11" s="102" t="n">
        <x:v>6401</x:v>
      </x:c>
      <x:c r="G11" s="102" t="str">
        <x:v>C01-SYN-EQ-01、C01-SYN-ZD-01</x:v>
      </x:c>
      <x:c r="H11" s="159" t="n">
        <x:v>7500000</x:v>
      </x:c>
      <x:c r="I11" s="159" t="n">
        <x:v>100000</x:v>
      </x:c>
      <x:c r="J11" s="159" t="n">
        <x:v>11250000</x:v>
      </x:c>
      <x:c r="K11" s="159" t="n">
        <x:v>150000</x:v>
      </x:c>
      <x:c r="L11" s="102" t="str">
        <x:v>是（手动）</x:v>
      </x:c>
      <x:c r="M11" s="102" t="str">
        <x:v>是</x:v>
      </x:c>
      <x:c r="N11" s="103" t="str">
        <x:v>本大陆主要货币回收材料；只手动批量兑换，默认不自动清空</x:v>
      </x:c>
    </x:row>
    <x:row r="12">
      <x:c r="A12" s="101" t="str">
        <x:v>潮痕结晶</x:v>
      </x:c>
      <x:c r="B12" s="102" t="str">
        <x:v>C01</x:v>
      </x:c>
      <x:c r="C12" s="102" t="str">
        <x:v>漂流群岛</x:v>
      </x:c>
      <x:c r="D12" s="102" t="str">
        <x:v>大陆稀有材料</x:v>
      </x:c>
      <x:c r="E12" s="102" t="n">
        <x:v>911</x:v>
      </x:c>
      <x:c r="F12" s="102" t="n">
        <x:v>6402</x:v>
      </x:c>
      <x:c r="G12" s="102" t="str">
        <x:v>C01-SYN-EQ-01</x:v>
      </x:c>
      <x:c r="H12" s="159" t="n">
        <x:v>150000</x:v>
      </x:c>
      <x:c r="I12" s="159" t="n">
        <x:v>2000</x:v>
      </x:c>
      <x:c r="J12" s="159" t="n">
        <x:v>225000</x:v>
      </x:c>
      <x:c r="K12" s="159" t="n">
        <x:v>3000</x:v>
      </x:c>
      <x:c r="L12" s="102" t="str">
        <x:v>是（手动）</x:v>
      </x:c>
      <x:c r="M12" s="102" t="str">
        <x:v>否</x:v>
      </x:c>
      <x:c r="N12" s="103" t="str">
        <x:v>大陆稀有材料存在明显成长需求；仅低价兜底，产量不纳入模型</x:v>
      </x:c>
    </x:row>
    <x:row r="13">
      <x:c r="A13" s="101" t="str">
        <x:v>漂流大陆印记</x:v>
      </x:c>
      <x:c r="B13" s="102" t="str">
        <x:v>C01</x:v>
      </x:c>
      <x:c r="C13" s="102" t="str">
        <x:v>漂流群岛</x:v>
      </x:c>
      <x:c r="D13" s="102" t="str">
        <x:v>大陆剧情印记</x:v>
      </x:c>
      <x:c r="E13" s="102" t="n">
        <x:v>912</x:v>
      </x:c>
      <x:c r="F13" s="102" t="n">
        <x:v>6403</x:v>
      </x:c>
      <x:c r="G13" s="102" t="str">
        <x:v>C01-SYN-EQ-01、C01-SYN-TT-01</x:v>
      </x:c>
      <x:c r="H13" s="159" t="n">
        <x:v>220000</x:v>
      </x:c>
      <x:c r="I13" s="159" t="n">
        <x:v>3000</x:v>
      </x:c>
      <x:c r="J13" s="159" t="n">
        <x:v>330000</x:v>
      </x:c>
      <x:c r="K13" s="159" t="n">
        <x:v>4500</x:v>
      </x:c>
      <x:c r="L13" s="102" t="str">
        <x:v>是（手动）</x:v>
      </x:c>
      <x:c r="M13" s="102" t="str">
        <x:v>否</x:v>
      </x:c>
      <x:c r="N13" s="103" t="str">
        <x:v>大陆剧情印记存在明显成长需求；仅低价兜底，产量不纳入模型</x:v>
      </x:c>
    </x:row>
    <x:row r="14">
      <x:c r="A14" s="101" t="str">
        <x:v>风暴石片</x:v>
      </x:c>
      <x:c r="B14" s="102" t="str">
        <x:v>C02</x:v>
      </x:c>
      <x:c r="C14" s="102" t="str">
        <x:v>宁姆格福</x:v>
      </x:c>
      <x:c r="D14" s="102" t="str">
        <x:v>大陆通用材料</x:v>
      </x:c>
      <x:c r="E14" s="102" t="n">
        <x:v>913</x:v>
      </x:c>
      <x:c r="F14" s="102" t="n">
        <x:v>6404</x:v>
      </x:c>
      <x:c r="G14" s="102" t="str">
        <x:v>C02-ASH-NORMAL、C02-ASH-HIGH、C02-SYN-EQ-01、C02-SYN-EQ-02、C02-SYN-ZD-01、C02-AOE...</x:v>
      </x:c>
      <x:c r="H14" s="159" t="n">
        <x:v>13500000</x:v>
      </x:c>
      <x:c r="I14" s="159" t="n">
        <x:v>235000</x:v>
      </x:c>
      <x:c r="J14" s="159" t="n">
        <x:v>20250000</x:v>
      </x:c>
      <x:c r="K14" s="159" t="n">
        <x:v>352500</x:v>
      </x:c>
      <x:c r="L14" s="102" t="str">
        <x:v>是（手动）</x:v>
      </x:c>
      <x:c r="M14" s="102" t="str">
        <x:v>是</x:v>
      </x:c>
      <x:c r="N14" s="103" t="str">
        <x:v>本大陆主要货币回收材料；只手动批量兑换，默认不自动清空</x:v>
      </x:c>
    </x:row>
    <x:row r="15">
      <x:c r="A15" s="101" t="str">
        <x:v>黄金树芽</x:v>
      </x:c>
      <x:c r="B15" s="102" t="str">
        <x:v>C02</x:v>
      </x:c>
      <x:c r="C15" s="102" t="str">
        <x:v>宁姆格福</x:v>
      </x:c>
      <x:c r="D15" s="102" t="str">
        <x:v>大陆稀有材料</x:v>
      </x:c>
      <x:c r="E15" s="102" t="n">
        <x:v>914</x:v>
      </x:c>
      <x:c r="F15" s="102" t="n">
        <x:v>6405</x:v>
      </x:c>
      <x:c r="G15" s="102" t="str">
        <x:v>C02-ASH-HIGH、C02-SYN-EQ-01、C02-SYN-EQ-02、C02-AOE-LV1</x:v>
      </x:c>
      <x:c r="H15" s="159" t="n">
        <x:v>270000</x:v>
      </x:c>
      <x:c r="I15" s="159" t="n">
        <x:v>5000</x:v>
      </x:c>
      <x:c r="J15" s="159" t="n">
        <x:v>405000</x:v>
      </x:c>
      <x:c r="K15" s="159" t="n">
        <x:v>7500</x:v>
      </x:c>
      <x:c r="L15" s="102" t="str">
        <x:v>是（手动）</x:v>
      </x:c>
      <x:c r="M15" s="102" t="str">
        <x:v>否</x:v>
      </x:c>
      <x:c r="N15" s="103" t="str">
        <x:v>大陆稀有材料存在明显成长需求；仅低价兜底，产量不纳入模型</x:v>
      </x:c>
    </x:row>
    <x:row r="16">
      <x:c r="A16" s="101" t="str">
        <x:v>接肢王印</x:v>
      </x:c>
      <x:c r="B16" s="102" t="str">
        <x:v>C02</x:v>
      </x:c>
      <x:c r="C16" s="102" t="str">
        <x:v>宁姆格福</x:v>
      </x:c>
      <x:c r="D16" s="102" t="str">
        <x:v>大陆剧情印记</x:v>
      </x:c>
      <x:c r="E16" s="102" t="n">
        <x:v>915</x:v>
      </x:c>
      <x:c r="F16" s="102" t="n">
        <x:v>6406</x:v>
      </x:c>
      <x:c r="G16" s="102" t="str">
        <x:v>C02-ASH-HIGH、C02-SYN-EQ-01、C02-SYN-EQ-02、C02-SYN-ZD-01、C02-AOE-LV1</x:v>
      </x:c>
      <x:c r="H16" s="159" t="n">
        <x:v>400000</x:v>
      </x:c>
      <x:c r="I16" s="159" t="n">
        <x:v>7000</x:v>
      </x:c>
      <x:c r="J16" s="159" t="n">
        <x:v>600000</x:v>
      </x:c>
      <x:c r="K16" s="159" t="n">
        <x:v>10500</x:v>
      </x:c>
      <x:c r="L16" s="102" t="str">
        <x:v>是（手动）</x:v>
      </x:c>
      <x:c r="M16" s="102" t="str">
        <x:v>否</x:v>
      </x:c>
      <x:c r="N16" s="103" t="str">
        <x:v>大陆剧情印记存在明显成长需求；仅低价兜底，产量不纳入模型</x:v>
      </x:c>
    </x:row>
    <x:row r="17">
      <x:c r="A17" s="101" t="str">
        <x:v>风蚀铁片</x:v>
      </x:c>
      <x:c r="B17" s="102" t="str">
        <x:v>C03</x:v>
      </x:c>
      <x:c r="C17" s="102" t="str">
        <x:v>宁姆格福西域</x:v>
      </x:c>
      <x:c r="D17" s="102" t="str">
        <x:v>大陆通用材料</x:v>
      </x:c>
      <x:c r="E17" s="102" t="n">
        <x:v>916</x:v>
      </x:c>
      <x:c r="F17" s="102" t="n">
        <x:v>6407</x:v>
      </x:c>
      <x:c r="G17" s="102" t="str">
        <x:v>C03-SYN-EQ-01、C03-SYN-EQ-02、C03-SYN-ZD-01、C03-AOE-LV2</x:v>
      </x:c>
      <x:c r="H17" s="159" t="n">
        <x:v>47000000</x:v>
      </x:c>
      <x:c r="I17" s="159" t="n">
        <x:v>415000</x:v>
      </x:c>
      <x:c r="J17" s="159" t="n">
        <x:v>70500000</x:v>
      </x:c>
      <x:c r="K17" s="159" t="n">
        <x:v>622500</x:v>
      </x:c>
      <x:c r="L17" s="102" t="str">
        <x:v>是（手动）</x:v>
      </x:c>
      <x:c r="M17" s="102" t="str">
        <x:v>是</x:v>
      </x:c>
      <x:c r="N17" s="103" t="str">
        <x:v>本大陆主要货币回收材料；只手动批量兑换，默认不自动清空</x:v>
      </x:c>
    </x:row>
    <x:row r="18">
      <x:c r="A18" s="101" t="str">
        <x:v>西境战旗</x:v>
      </x:c>
      <x:c r="B18" s="102" t="str">
        <x:v>C03</x:v>
      </x:c>
      <x:c r="C18" s="102" t="str">
        <x:v>宁姆格福西域</x:v>
      </x:c>
      <x:c r="D18" s="102" t="str">
        <x:v>大陆稀有材料</x:v>
      </x:c>
      <x:c r="E18" s="102" t="n">
        <x:v>917</x:v>
      </x:c>
      <x:c r="F18" s="102" t="n">
        <x:v>6408</x:v>
      </x:c>
      <x:c r="G18" s="102" t="str">
        <x:v>C03-SYN-TT-01</x:v>
      </x:c>
      <x:c r="H18" s="159" t="n">
        <x:v>940000</x:v>
      </x:c>
      <x:c r="I18" s="159" t="n">
        <x:v>8000</x:v>
      </x:c>
      <x:c r="J18" s="159" t="n">
        <x:v>1410000</x:v>
      </x:c>
      <x:c r="K18" s="159" t="n">
        <x:v>12000</x:v>
      </x:c>
      <x:c r="L18" s="102" t="str">
        <x:v>是（手动）</x:v>
      </x:c>
      <x:c r="M18" s="102" t="str">
        <x:v>否</x:v>
      </x:c>
      <x:c r="N18" s="103" t="str">
        <x:v>大陆稀有材料存在明显成长需求；仅低价兜底，产量不纳入模型</x:v>
      </x:c>
    </x:row>
    <x:row r="19">
      <x:c r="A19" s="101" t="str">
        <x:v>西境战旗印</x:v>
      </x:c>
      <x:c r="B19" s="102" t="str">
        <x:v>C03</x:v>
      </x:c>
      <x:c r="C19" s="102" t="str">
        <x:v>宁姆格福西域</x:v>
      </x:c>
      <x:c r="D19" s="102" t="str">
        <x:v>大陆剧情印记</x:v>
      </x:c>
      <x:c r="E19" s="102" t="n">
        <x:v>918</x:v>
      </x:c>
      <x:c r="F19" s="102" t="n">
        <x:v>6409</x:v>
      </x:c>
      <x:c r="G19" s="102" t="str">
        <x:v>C03-SYN-EQ-01、C03-SYN-ZD-01、C03-SYN-TT-01、C03-AOE-LV2</x:v>
      </x:c>
      <x:c r="H19" s="159" t="n">
        <x:v>1400000</x:v>
      </x:c>
      <x:c r="I19" s="159" t="n">
        <x:v>12000</x:v>
      </x:c>
      <x:c r="J19" s="159" t="n">
        <x:v>2100000</x:v>
      </x:c>
      <x:c r="K19" s="159" t="n">
        <x:v>18000</x:v>
      </x:c>
      <x:c r="L19" s="102" t="str">
        <x:v>是（手动）</x:v>
      </x:c>
      <x:c r="M19" s="102" t="str">
        <x:v>否</x:v>
      </x:c>
      <x:c r="N19" s="103" t="str">
        <x:v>大陆剧情印记存在明显成长需求；仅低价兜底，产量不纳入模型</x:v>
      </x:c>
    </x:row>
    <x:row r="20">
      <x:c r="A20" s="101" t="str">
        <x:v>湖盐结晶</x:v>
      </x:c>
      <x:c r="B20" s="102" t="str">
        <x:v>C04</x:v>
      </x:c>
      <x:c r="C20" s="102" t="str">
        <x:v>利耶尼亚海域</x:v>
      </x:c>
      <x:c r="D20" s="102" t="str">
        <x:v>大陆通用材料</x:v>
      </x:c>
      <x:c r="E20" s="102" t="n">
        <x:v>919</x:v>
      </x:c>
      <x:c r="F20" s="102" t="n">
        <x:v>6410</x:v>
      </x:c>
      <x:c r="G20" s="102" t="str">
        <x:v>C04-SYN-EQ-01、C04-SYN-EQ-02、C04-SYN-EQ-03、C04-SYN-ZD-01、C04-REBIRTH-01、C04-RE...</x:v>
      </x:c>
      <x:c r="H20" s="159" t="n">
        <x:v>78000000</x:v>
      </x:c>
      <x:c r="I20" s="159" t="n">
        <x:v>810000</x:v>
      </x:c>
      <x:c r="J20" s="159" t="n">
        <x:v>117000000</x:v>
      </x:c>
      <x:c r="K20" s="159" t="n">
        <x:v>1215000</x:v>
      </x:c>
      <x:c r="L20" s="102" t="str">
        <x:v>是（手动）</x:v>
      </x:c>
      <x:c r="M20" s="102" t="str">
        <x:v>是</x:v>
      </x:c>
      <x:c r="N20" s="103" t="str">
        <x:v>本大陆主要货币回收材料；只手动批量兑换，默认不自动清空</x:v>
      </x:c>
    </x:row>
    <x:row r="21">
      <x:c r="A21" s="101" t="str">
        <x:v>幽船铆钉</x:v>
      </x:c>
      <x:c r="B21" s="102" t="str">
        <x:v>C04</x:v>
      </x:c>
      <x:c r="C21" s="102" t="str">
        <x:v>利耶尼亚海域</x:v>
      </x:c>
      <x:c r="D21" s="102" t="str">
        <x:v>大陆稀有材料</x:v>
      </x:c>
      <x:c r="E21" s="102" t="n">
        <x:v>920</x:v>
      </x:c>
      <x:c r="F21" s="102" t="n">
        <x:v>6411</x:v>
      </x:c>
      <x:c r="G21" s="102" t="str">
        <x:v>C04-REBIRTH-01、C04-REBIRTH-02、C04-REBIRTH-03、C04-REBIRTH-04、C04-REBIRTH-05</x:v>
      </x:c>
      <x:c r="H21" s="159" t="n">
        <x:v>1600000</x:v>
      </x:c>
      <x:c r="I21" s="159" t="n">
        <x:v>16000</x:v>
      </x:c>
      <x:c r="J21" s="159" t="n">
        <x:v>2400000</x:v>
      </x:c>
      <x:c r="K21" s="159" t="n">
        <x:v>24000</x:v>
      </x:c>
      <x:c r="L21" s="102" t="str">
        <x:v>是（手动）</x:v>
      </x:c>
      <x:c r="M21" s="102" t="str">
        <x:v>否</x:v>
      </x:c>
      <x:c r="N21" s="103" t="str">
        <x:v>大陆稀有材料存在明显成长需求；仅低价兜底，产量不纳入模型</x:v>
      </x:c>
    </x:row>
    <x:row r="22">
      <x:c r="A22" s="101" t="str">
        <x:v>沉湖王印</x:v>
      </x:c>
      <x:c r="B22" s="102" t="str">
        <x:v>C04</x:v>
      </x:c>
      <x:c r="C22" s="102" t="str">
        <x:v>利耶尼亚海域</x:v>
      </x:c>
      <x:c r="D22" s="102" t="str">
        <x:v>大陆剧情印记</x:v>
      </x:c>
      <x:c r="E22" s="102" t="n">
        <x:v>921</x:v>
      </x:c>
      <x:c r="F22" s="102" t="n">
        <x:v>6412</x:v>
      </x:c>
      <x:c r="G22" s="102" t="str">
        <x:v>C04-SYN-EQ-01、C04-SYN-EQ-03、C04-SYN-ZD-01、C04-REBIRTH-01、C04-REBIRTH-02、C04-R...</x:v>
      </x:c>
      <x:c r="H22" s="159" t="n">
        <x:v>2300000</x:v>
      </x:c>
      <x:c r="I22" s="159" t="n">
        <x:v>24000</x:v>
      </x:c>
      <x:c r="J22" s="159" t="n">
        <x:v>3450000</x:v>
      </x:c>
      <x:c r="K22" s="159" t="n">
        <x:v>36000</x:v>
      </x:c>
      <x:c r="L22" s="102" t="str">
        <x:v>是（手动）</x:v>
      </x:c>
      <x:c r="M22" s="102" t="str">
        <x:v>否</x:v>
      </x:c>
      <x:c r="N22" s="103" t="str">
        <x:v>大陆剧情印记存在明显成长需求；仅低价兜底，产量不纳入模型</x:v>
      </x:c>
    </x:row>
    <x:row r="23">
      <x:c r="A23" s="101" t="str">
        <x:v>辉石碎晶</x:v>
      </x:c>
      <x:c r="B23" s="102" t="str">
        <x:v>C05</x:v>
      </x:c>
      <x:c r="C23" s="102" t="str">
        <x:v>湖之利耶尼亚</x:v>
      </x:c>
      <x:c r="D23" s="102" t="str">
        <x:v>大陆通用材料</x:v>
      </x:c>
      <x:c r="E23" s="102" t="n">
        <x:v>922</x:v>
      </x:c>
      <x:c r="F23" s="102" t="n">
        <x:v>6413</x:v>
      </x:c>
      <x:c r="G23" s="102" t="str">
        <x:v>C05-SYN-EQ-01、C05-SYN-EQ-02、C05-SYN-ZD-01、C05-AOE-LV3</x:v>
      </x:c>
      <x:c r="H23" s="159" t="n">
        <x:v>134000000</x:v>
      </x:c>
      <x:c r="I23" s="159" t="n">
        <x:v>1600000</x:v>
      </x:c>
      <x:c r="J23" s="159" t="n">
        <x:v>201000000</x:v>
      </x:c>
      <x:c r="K23" s="159" t="n">
        <x:v>2400000</x:v>
      </x:c>
      <x:c r="L23" s="102" t="str">
        <x:v>是（手动）</x:v>
      </x:c>
      <x:c r="M23" s="102" t="str">
        <x:v>是</x:v>
      </x:c>
      <x:c r="N23" s="103" t="str">
        <x:v>本大陆主要货币回收材料；只手动批量兑换，默认不自动清空</x:v>
      </x:c>
    </x:row>
    <x:row r="24">
      <x:c r="A24" s="101" t="str">
        <x:v>卡利亚月露</x:v>
      </x:c>
      <x:c r="B24" s="102" t="str">
        <x:v>C05</x:v>
      </x:c>
      <x:c r="C24" s="102" t="str">
        <x:v>湖之利耶尼亚</x:v>
      </x:c>
      <x:c r="D24" s="102" t="str">
        <x:v>大陆稀有材料</x:v>
      </x:c>
      <x:c r="E24" s="102" t="n">
        <x:v>923</x:v>
      </x:c>
      <x:c r="F24" s="102" t="n">
        <x:v>6414</x:v>
      </x:c>
      <x:c r="G24" s="102" t="str">
        <x:v>C05-SYN-TT-01</x:v>
      </x:c>
      <x:c r="H24" s="159" t="n">
        <x:v>2700000</x:v>
      </x:c>
      <x:c r="I24" s="159" t="n">
        <x:v>32000</x:v>
      </x:c>
      <x:c r="J24" s="159" t="n">
        <x:v>4050000</x:v>
      </x:c>
      <x:c r="K24" s="159" t="n">
        <x:v>48000</x:v>
      </x:c>
      <x:c r="L24" s="102" t="str">
        <x:v>是（手动）</x:v>
      </x:c>
      <x:c r="M24" s="102" t="str">
        <x:v>否</x:v>
      </x:c>
      <x:c r="N24" s="103" t="str">
        <x:v>大陆稀有材料存在明显成长需求；仅低价兜底，产量不纳入模型</x:v>
      </x:c>
    </x:row>
    <x:row r="25">
      <x:c r="A25" s="101" t="str">
        <x:v>满月王室印</x:v>
      </x:c>
      <x:c r="B25" s="102" t="str">
        <x:v>C05</x:v>
      </x:c>
      <x:c r="C25" s="102" t="str">
        <x:v>湖之利耶尼亚</x:v>
      </x:c>
      <x:c r="D25" s="102" t="str">
        <x:v>大陆剧情印记</x:v>
      </x:c>
      <x:c r="E25" s="102" t="n">
        <x:v>924</x:v>
      </x:c>
      <x:c r="F25" s="102" t="n">
        <x:v>6415</x:v>
      </x:c>
      <x:c r="G25" s="102" t="str">
        <x:v>C05-SYN-EQ-01、C05-SYN-ZD-01、C05-SYN-TT-01、C05-AOE-LV3</x:v>
      </x:c>
      <x:c r="H25" s="159" t="n">
        <x:v>4000000</x:v>
      </x:c>
      <x:c r="I25" s="159" t="n">
        <x:v>48000</x:v>
      </x:c>
      <x:c r="J25" s="159" t="n">
        <x:v>6000000</x:v>
      </x:c>
      <x:c r="K25" s="159" t="n">
        <x:v>72000</x:v>
      </x:c>
      <x:c r="L25" s="102" t="str">
        <x:v>是（手动）</x:v>
      </x:c>
      <x:c r="M25" s="102" t="str">
        <x:v>否</x:v>
      </x:c>
      <x:c r="N25" s="103" t="str">
        <x:v>大陆剧情印记存在明显成长需求；仅低价兜底，产量不纳入模型</x:v>
      </x:c>
    </x:row>
    <x:row r="26">
      <x:c r="A26" s="101" t="str">
        <x:v>猩红矿渣</x:v>
      </x:c>
      <x:c r="B26" s="102" t="str">
        <x:v>C06</x:v>
      </x:c>
      <x:c r="C26" s="102" t="str">
        <x:v>盖利德</x:v>
      </x:c>
      <x:c r="D26" s="102" t="str">
        <x:v>大陆通用材料</x:v>
      </x:c>
      <x:c r="E26" s="102" t="n">
        <x:v>925</x:v>
      </x:c>
      <x:c r="F26" s="102" t="n">
        <x:v>6416</x:v>
      </x:c>
      <x:c r="G26" s="102" t="str">
        <x:v>C06-SYN-EQ-01、C06-SYN-EQ-02、C06-SYN-EQ-03、C06-SYN-ZD-01、C06-REBIRTH-06、C06-RE...</x:v>
      </x:c>
      <x:c r="H26" s="159" t="n">
        <x:v>230000000</x:v>
      </x:c>
      <x:c r="I26" s="159" t="n">
        <x:v>2000000</x:v>
      </x:c>
      <x:c r="J26" s="159" t="n">
        <x:v>345000000</x:v>
      </x:c>
      <x:c r="K26" s="159" t="n">
        <x:v>3000000</x:v>
      </x:c>
      <x:c r="L26" s="102" t="str">
        <x:v>是（手动）</x:v>
      </x:c>
      <x:c r="M26" s="102" t="str">
        <x:v>是</x:v>
      </x:c>
      <x:c r="N26" s="103" t="str">
        <x:v>本大陆主要货币回收材料；只手动批量兑换，默认不自动清空</x:v>
      </x:c>
    </x:row>
    <x:row r="27">
      <x:c r="A27" s="101" t="str">
        <x:v>龙火鳞</x:v>
      </x:c>
      <x:c r="B27" s="102" t="str">
        <x:v>C06</x:v>
      </x:c>
      <x:c r="C27" s="102" t="str">
        <x:v>盖利德</x:v>
      </x:c>
      <x:c r="D27" s="102" t="str">
        <x:v>大陆稀有材料</x:v>
      </x:c>
      <x:c r="E27" s="102" t="n">
        <x:v>926</x:v>
      </x:c>
      <x:c r="F27" s="102" t="n">
        <x:v>6417</x:v>
      </x:c>
      <x:c r="G27" s="102" t="str">
        <x:v>C06-REBIRTH-06、C06-REBIRTH-07、C06-REBIRTH-08、C06-REBIRTH-09、C06-REBIRTH-10</x:v>
      </x:c>
      <x:c r="H27" s="159" t="n">
        <x:v>4600000</x:v>
      </x:c>
      <x:c r="I27" s="159" t="n">
        <x:v>40000</x:v>
      </x:c>
      <x:c r="J27" s="159" t="n">
        <x:v>6900000</x:v>
      </x:c>
      <x:c r="K27" s="159" t="n">
        <x:v>60000</x:v>
      </x:c>
      <x:c r="L27" s="102" t="str">
        <x:v>是（手动）</x:v>
      </x:c>
      <x:c r="M27" s="102" t="str">
        <x:v>否</x:v>
      </x:c>
      <x:c r="N27" s="103" t="str">
        <x:v>大陆稀有材料存在明显成长需求；仅低价兜底，产量不纳入模型</x:v>
      </x:c>
    </x:row>
    <x:row r="28">
      <x:c r="A28" s="101" t="str">
        <x:v>红狮战印</x:v>
      </x:c>
      <x:c r="B28" s="102" t="str">
        <x:v>C06</x:v>
      </x:c>
      <x:c r="C28" s="102" t="str">
        <x:v>盖利德</x:v>
      </x:c>
      <x:c r="D28" s="102" t="str">
        <x:v>大陆剧情印记</x:v>
      </x:c>
      <x:c r="E28" s="102" t="n">
        <x:v>927</x:v>
      </x:c>
      <x:c r="F28" s="102" t="n">
        <x:v>6418</x:v>
      </x:c>
      <x:c r="G28" s="102" t="str">
        <x:v>C06-SYN-EQ-01、C06-SYN-EQ-03、C06-SYN-ZD-01、C06-REBIRTH-06、C06-REBIRTH-07、C06-R...</x:v>
      </x:c>
      <x:c r="H28" s="159" t="n">
        <x:v>6900000</x:v>
      </x:c>
      <x:c r="I28" s="159" t="n">
        <x:v>60000</x:v>
      </x:c>
      <x:c r="J28" s="159" t="n">
        <x:v>10350000</x:v>
      </x:c>
      <x:c r="K28" s="159" t="n">
        <x:v>90000</x:v>
      </x:c>
      <x:c r="L28" s="102" t="str">
        <x:v>是（手动）</x:v>
      </x:c>
      <x:c r="M28" s="102" t="str">
        <x:v>否</x:v>
      </x:c>
      <x:c r="N28" s="103" t="str">
        <x:v>大陆剧情印记存在明显成长需求；仅低价兜底，产量不纳入模型</x:v>
      </x:c>
    </x:row>
    <x:row r="29">
      <x:c r="A29" s="101" t="str">
        <x:v>冻晶尘</x:v>
      </x:c>
      <x:c r="B29" s="102" t="str">
        <x:v>C07</x:v>
      </x:c>
      <x:c r="C29" s="102" t="str">
        <x:v>化圣雪原</x:v>
      </x:c>
      <x:c r="D29" s="102" t="str">
        <x:v>大陆通用材料</x:v>
      </x:c>
      <x:c r="E29" s="102" t="n">
        <x:v>928</x:v>
      </x:c>
      <x:c r="F29" s="102" t="n">
        <x:v>6419</x:v>
      </x:c>
      <x:c r="G29" s="102" t="str">
        <x:v>C07-SYN-EQ-01、C07-SYN-EQ-02、C07-SYN-ZD-01、C07-AOE-LV4</x:v>
      </x:c>
      <x:c r="H29" s="159" t="n">
        <x:v>357000000</x:v>
      </x:c>
      <x:c r="I29" s="159" t="n">
        <x:v>3580000</x:v>
      </x:c>
      <x:c r="J29" s="159" t="n">
        <x:v>535500000</x:v>
      </x:c>
      <x:c r="K29" s="159" t="n">
        <x:v>5370000</x:v>
      </x:c>
      <x:c r="L29" s="102" t="str">
        <x:v>是（手动）</x:v>
      </x:c>
      <x:c r="M29" s="102" t="str">
        <x:v>是</x:v>
      </x:c>
      <x:c r="N29" s="103" t="str">
        <x:v>本大陆主要货币回收材料；只手动批量兑换，默认不自动清空</x:v>
      </x:c>
    </x:row>
    <x:row r="30">
      <x:c r="A30" s="101" t="str">
        <x:v>白金纺线</x:v>
      </x:c>
      <x:c r="B30" s="102" t="str">
        <x:v>C07</x:v>
      </x:c>
      <x:c r="C30" s="102" t="str">
        <x:v>化圣雪原</x:v>
      </x:c>
      <x:c r="D30" s="102" t="str">
        <x:v>大陆稀有材料</x:v>
      </x:c>
      <x:c r="E30" s="102" t="n">
        <x:v>929</x:v>
      </x:c>
      <x:c r="F30" s="102" t="n">
        <x:v>6420</x:v>
      </x:c>
      <x:c r="G30" s="102" t="str">
        <x:v>C07-SYN-TT-01</x:v>
      </x:c>
      <x:c r="H30" s="159" t="n">
        <x:v>7100000</x:v>
      </x:c>
      <x:c r="I30" s="159" t="n">
        <x:v>72000</x:v>
      </x:c>
      <x:c r="J30" s="159" t="n">
        <x:v>10650000</x:v>
      </x:c>
      <x:c r="K30" s="159" t="n">
        <x:v>108000</x:v>
      </x:c>
      <x:c r="L30" s="102" t="str">
        <x:v>是（手动）</x:v>
      </x:c>
      <x:c r="M30" s="102" t="str">
        <x:v>否</x:v>
      </x:c>
      <x:c r="N30" s="103" t="str">
        <x:v>大陆稀有材料存在明显成长需求；仅低价兜底，产量不纳入模型</x:v>
      </x:c>
    </x:row>
    <x:row r="31">
      <x:c r="A31" s="101" t="str">
        <x:v>圣雪誓印</x:v>
      </x:c>
      <x:c r="B31" s="102" t="str">
        <x:v>C07</x:v>
      </x:c>
      <x:c r="C31" s="102" t="str">
        <x:v>化圣雪原</x:v>
      </x:c>
      <x:c r="D31" s="102" t="str">
        <x:v>大陆剧情印记</x:v>
      </x:c>
      <x:c r="E31" s="102" t="n">
        <x:v>930</x:v>
      </x:c>
      <x:c r="F31" s="102" t="n">
        <x:v>6421</x:v>
      </x:c>
      <x:c r="G31" s="102" t="str">
        <x:v>C07-SYN-EQ-01、C07-SYN-ZD-01、C07-SYN-TT-01、C07-AOE-LV4</x:v>
      </x:c>
      <x:c r="H31" s="159" t="n">
        <x:v>10500000</x:v>
      </x:c>
      <x:c r="I31" s="159" t="n">
        <x:v>110000</x:v>
      </x:c>
      <x:c r="J31" s="159" t="n">
        <x:v>15750000</x:v>
      </x:c>
      <x:c r="K31" s="159" t="n">
        <x:v>165000</x:v>
      </x:c>
      <x:c r="L31" s="102" t="str">
        <x:v>是（手动）</x:v>
      </x:c>
      <x:c r="M31" s="102" t="str">
        <x:v>否</x:v>
      </x:c>
      <x:c r="N31" s="103" t="str">
        <x:v>大陆剧情印记存在明显成长需求；仅低价兜底，产量不纳入模型</x:v>
      </x:c>
    </x:row>
    <x:row r="32">
      <x:c r="A32" s="101" t="str">
        <x:v>霜脊铁</x:v>
      </x:c>
      <x:c r="B32" s="102" t="str">
        <x:v>C08</x:v>
      </x:c>
      <x:c r="C32" s="102" t="str">
        <x:v>巨人山顶</x:v>
      </x:c>
      <x:c r="D32" s="102" t="str">
        <x:v>大陆通用材料</x:v>
      </x:c>
      <x:c r="E32" s="102" t="n">
        <x:v>931</x:v>
      </x:c>
      <x:c r="F32" s="102" t="n">
        <x:v>6422</x:v>
      </x:c>
      <x:c r="G32" s="102" t="str">
        <x:v>C08-SYN-EQ-01、C08-SYN-EQ-02、C08-SYN-EQ-03、C08-SYN-ZD-01、C08-REBIRTH-11、C08-RE...</x:v>
      </x:c>
      <x:c r="H32" s="159" t="n">
        <x:v>535000000</x:v>
      </x:c>
      <x:c r="I32" s="159" t="n">
        <x:v>4650000</x:v>
      </x:c>
      <x:c r="J32" s="159" t="n">
        <x:v>802500000</x:v>
      </x:c>
      <x:c r="K32" s="159" t="n">
        <x:v>6975000</x:v>
      </x:c>
      <x:c r="L32" s="102" t="str">
        <x:v>是（手动）</x:v>
      </x:c>
      <x:c r="M32" s="102" t="str">
        <x:v>是</x:v>
      </x:c>
      <x:c r="N32" s="103" t="str">
        <x:v>本大陆主要货币回收材料；只手动批量兑换，默认不自动清空</x:v>
      </x:c>
    </x:row>
    <x:row r="33">
      <x:c r="A33" s="101" t="str">
        <x:v>巨人火种</x:v>
      </x:c>
      <x:c r="B33" s="102" t="str">
        <x:v>C08</x:v>
      </x:c>
      <x:c r="C33" s="102" t="str">
        <x:v>巨人山顶</x:v>
      </x:c>
      <x:c r="D33" s="102" t="str">
        <x:v>大陆稀有材料</x:v>
      </x:c>
      <x:c r="E33" s="102" t="n">
        <x:v>932</x:v>
      </x:c>
      <x:c r="F33" s="102" t="n">
        <x:v>6423</x:v>
      </x:c>
      <x:c r="G33" s="102" t="str">
        <x:v>C08-REBIRTH-11、C08-REBIRTH-12、C08-REBIRTH-13、C08-REBIRTH-14、C08-REBIRTH-15</x:v>
      </x:c>
      <x:c r="H33" s="159" t="n">
        <x:v>10500000</x:v>
      </x:c>
      <x:c r="I33" s="159" t="n">
        <x:v>93000</x:v>
      </x:c>
      <x:c r="J33" s="159" t="n">
        <x:v>15750000</x:v>
      </x:c>
      <x:c r="K33" s="159" t="n">
        <x:v>139500</x:v>
      </x:c>
      <x:c r="L33" s="102" t="str">
        <x:v>是（手动）</x:v>
      </x:c>
      <x:c r="M33" s="102" t="str">
        <x:v>否</x:v>
      </x:c>
      <x:c r="N33" s="103" t="str">
        <x:v>大陆稀有材料存在明显成长需求；仅低价兜底，产量不纳入模型</x:v>
      </x:c>
    </x:row>
    <x:row r="34">
      <x:c r="A34" s="101" t="str">
        <x:v>巨人火印</x:v>
      </x:c>
      <x:c r="B34" s="102" t="str">
        <x:v>C08</x:v>
      </x:c>
      <x:c r="C34" s="102" t="str">
        <x:v>巨人山顶</x:v>
      </x:c>
      <x:c r="D34" s="102" t="str">
        <x:v>大陆剧情印记</x:v>
      </x:c>
      <x:c r="E34" s="102" t="n">
        <x:v>933</x:v>
      </x:c>
      <x:c r="F34" s="102" t="n">
        <x:v>6424</x:v>
      </x:c>
      <x:c r="G34" s="102" t="str">
        <x:v>C08-SYN-EQ-01、C08-SYN-EQ-03、C08-SYN-ZD-01、C08-REBIRTH-11、C08-REBIRTH-12、C08-R...</x:v>
      </x:c>
      <x:c r="H34" s="159" t="n">
        <x:v>16000000</x:v>
      </x:c>
      <x:c r="I34" s="159" t="n">
        <x:v>140000</x:v>
      </x:c>
      <x:c r="J34" s="159" t="n">
        <x:v>24000000</x:v>
      </x:c>
      <x:c r="K34" s="159" t="n">
        <x:v>210000</x:v>
      </x:c>
      <x:c r="L34" s="102" t="str">
        <x:v>是（手动）</x:v>
      </x:c>
      <x:c r="M34" s="102" t="str">
        <x:v>否</x:v>
      </x:c>
      <x:c r="N34" s="103" t="str">
        <x:v>大陆剧情印记存在明显成长需求；仅低价兜底，产量不纳入模型</x:v>
      </x:c>
    </x:row>
    <x:row r="35">
      <x:c r="A35" s="101" t="str">
        <x:v>黄金叶脉</x:v>
      </x:c>
      <x:c r="B35" s="102" t="str">
        <x:v>C09</x:v>
      </x:c>
      <x:c r="C35" s="102" t="str">
        <x:v>亚坛高原</x:v>
      </x:c>
      <x:c r="D35" s="102" t="str">
        <x:v>大陆通用材料</x:v>
      </x:c>
      <x:c r="E35" s="102" t="n">
        <x:v>934</x:v>
      </x:c>
      <x:c r="F35" s="102" t="n">
        <x:v>6425</x:v>
      </x:c>
      <x:c r="G35" s="102" t="str">
        <x:v>C09-SYN-EQ-01、C09-SYN-EQ-02、C09-SYN-ZD-01、C09-AOE-LV5</x:v>
      </x:c>
      <x:c r="H35" s="159" t="n">
        <x:v>680000000</x:v>
      </x:c>
      <x:c r="I35" s="159" t="n">
        <x:v>9500000</x:v>
      </x:c>
      <x:c r="J35" s="159" t="n">
        <x:v>1020000000</x:v>
      </x:c>
      <x:c r="K35" s="159" t="n">
        <x:v>14250000</x:v>
      </x:c>
      <x:c r="L35" s="102" t="str">
        <x:v>是（手动）</x:v>
      </x:c>
      <x:c r="M35" s="102" t="str">
        <x:v>是</x:v>
      </x:c>
      <x:c r="N35" s="103" t="str">
        <x:v>本大陆主要货币回收材料；只手动批量兑换，默认不自动清空</x:v>
      </x:c>
    </x:row>
    <x:row r="36">
      <x:c r="A36" s="101" t="str">
        <x:v>古王律页</x:v>
      </x:c>
      <x:c r="B36" s="102" t="str">
        <x:v>C09</x:v>
      </x:c>
      <x:c r="C36" s="102" t="str">
        <x:v>亚坛高原</x:v>
      </x:c>
      <x:c r="D36" s="102" t="str">
        <x:v>大陆稀有材料</x:v>
      </x:c>
      <x:c r="E36" s="102" t="n">
        <x:v>935</x:v>
      </x:c>
      <x:c r="F36" s="102" t="n">
        <x:v>6426</x:v>
      </x:c>
      <x:c r="G36" s="102" t="str">
        <x:v>C09-SYN-TT-01</x:v>
      </x:c>
      <x:c r="H36" s="159" t="n">
        <x:v>13500000</x:v>
      </x:c>
      <x:c r="I36" s="159" t="n">
        <x:v>190000</x:v>
      </x:c>
      <x:c r="J36" s="159" t="n">
        <x:v>20250000</x:v>
      </x:c>
      <x:c r="K36" s="159" t="n">
        <x:v>285000</x:v>
      </x:c>
      <x:c r="L36" s="102" t="str">
        <x:v>是（手动）</x:v>
      </x:c>
      <x:c r="M36" s="102" t="str">
        <x:v>否</x:v>
      </x:c>
      <x:c r="N36" s="103" t="str">
        <x:v>大陆稀有材料存在明显成长需求；仅低价兜底，产量不纳入模型</x:v>
      </x:c>
    </x:row>
    <x:row r="37">
      <x:c r="A37" s="101" t="str">
        <x:v>黄金律印</x:v>
      </x:c>
      <x:c r="B37" s="102" t="str">
        <x:v>C09</x:v>
      </x:c>
      <x:c r="C37" s="102" t="str">
        <x:v>亚坛高原</x:v>
      </x:c>
      <x:c r="D37" s="102" t="str">
        <x:v>大陆剧情印记</x:v>
      </x:c>
      <x:c r="E37" s="102" t="n">
        <x:v>936</x:v>
      </x:c>
      <x:c r="F37" s="102" t="n">
        <x:v>6427</x:v>
      </x:c>
      <x:c r="G37" s="102" t="str">
        <x:v>C09-SYN-EQ-01、C09-SYN-EQ-02、C09-SYN-ZD-01、C09-SYN-TT-01、C09-AOE-LV5</x:v>
      </x:c>
      <x:c r="H37" s="159" t="n">
        <x:v>20500000</x:v>
      </x:c>
      <x:c r="I37" s="159" t="n">
        <x:v>280000</x:v>
      </x:c>
      <x:c r="J37" s="159" t="n">
        <x:v>30750000</x:v>
      </x:c>
      <x:c r="K37" s="159" t="n">
        <x:v>420000</x:v>
      </x:c>
      <x:c r="L37" s="102" t="str">
        <x:v>是（手动）</x:v>
      </x:c>
      <x:c r="M37" s="102" t="str">
        <x:v>否</x:v>
      </x:c>
      <x:c r="N37" s="103" t="str">
        <x:v>大陆剧情印记存在明显成长需求；仅低价兜底，产量不纳入模型</x:v>
      </x:c>
    </x:row>
    <x:row r="38">
      <x:c r="A38" s="101" t="str">
        <x:v>王城金屑</x:v>
      </x:c>
      <x:c r="B38" s="102" t="str">
        <x:v>C10</x:v>
      </x:c>
      <x:c r="C38" s="102" t="str">
        <x:v>王城罗德尔</x:v>
      </x:c>
      <x:c r="D38" s="102" t="str">
        <x:v>大陆通用材料</x:v>
      </x:c>
      <x:c r="E38" s="102" t="n">
        <x:v>937</x:v>
      </x:c>
      <x:c r="F38" s="102" t="n">
        <x:v>6428</x:v>
      </x:c>
      <x:c r="G38" s="102" t="str">
        <x:v>C10-SYN-EQ-01、C10-SYN-EQ-02、C10-SYN-EQ-03、C10-SYN-ZD-01、C10-REBIRTH-16、C10-RE...</x:v>
      </x:c>
      <x:c r="H38" s="159" t="n">
        <x:v>1000000000</x:v>
      </x:c>
      <x:c r="I38" s="159" t="n">
        <x:v>12000000</x:v>
      </x:c>
      <x:c r="J38" s="159" t="n">
        <x:v>1500000000</x:v>
      </x:c>
      <x:c r="K38" s="159" t="n">
        <x:v>18000000</x:v>
      </x:c>
      <x:c r="L38" s="102" t="str">
        <x:v>是（手动）</x:v>
      </x:c>
      <x:c r="M38" s="102" t="str">
        <x:v>是</x:v>
      </x:c>
      <x:c r="N38" s="103" t="str">
        <x:v>本大陆主要货币回收材料；只手动批量兑换，默认不自动清空</x:v>
      </x:c>
    </x:row>
    <x:row r="39">
      <x:c r="A39" s="101" t="str">
        <x:v>王宫律文</x:v>
      </x:c>
      <x:c r="B39" s="102" t="str">
        <x:v>C10</x:v>
      </x:c>
      <x:c r="C39" s="102" t="str">
        <x:v>王城罗德尔</x:v>
      </x:c>
      <x:c r="D39" s="102" t="str">
        <x:v>大陆稀有材料</x:v>
      </x:c>
      <x:c r="E39" s="102" t="n">
        <x:v>938</x:v>
      </x:c>
      <x:c r="F39" s="102" t="n">
        <x:v>6429</x:v>
      </x:c>
      <x:c r="G39" s="102" t="str">
        <x:v>C10-SYN-TT-01、C10-REBIRTH-16、C10-REBIRTH-17、C10-REBIRTH-18、C10-REBIRTH-19、C10...</x:v>
      </x:c>
      <x:c r="H39" s="159" t="n">
        <x:v>20000000</x:v>
      </x:c>
      <x:c r="I39" s="159" t="n">
        <x:v>240000</x:v>
      </x:c>
      <x:c r="J39" s="159" t="n">
        <x:v>30000000</x:v>
      </x:c>
      <x:c r="K39" s="159" t="n">
        <x:v>360000</x:v>
      </x:c>
      <x:c r="L39" s="102" t="str">
        <x:v>是（手动）</x:v>
      </x:c>
      <x:c r="M39" s="102" t="str">
        <x:v>否</x:v>
      </x:c>
      <x:c r="N39" s="103" t="str">
        <x:v>大陆稀有材料存在明显成长需求；仅低价兜底，产量不纳入模型</x:v>
      </x:c>
    </x:row>
    <x:row r="40">
      <x:c r="A40" s="101" t="str">
        <x:v>艾尔登王印</x:v>
      </x:c>
      <x:c r="B40" s="102" t="str">
        <x:v>C10</x:v>
      </x:c>
      <x:c r="C40" s="102" t="str">
        <x:v>王城罗德尔</x:v>
      </x:c>
      <x:c r="D40" s="102" t="str">
        <x:v>大陆剧情印记</x:v>
      </x:c>
      <x:c r="E40" s="102" t="n">
        <x:v>939</x:v>
      </x:c>
      <x:c r="F40" s="102" t="n">
        <x:v>6430</x:v>
      </x:c>
      <x:c r="G40" s="102" t="str">
        <x:v>C10-SYN-EQ-01、C10-SYN-EQ-02、C10-SYN-EQ-03、C10-SYN-ZD-01、C10-SYN-TT-01、C10-REB...</x:v>
      </x:c>
      <x:c r="H40" s="159" t="n">
        <x:v>30000000</x:v>
      </x:c>
      <x:c r="I40" s="159" t="n">
        <x:v>360000</x:v>
      </x:c>
      <x:c r="J40" s="159" t="n">
        <x:v>45000000</x:v>
      </x:c>
      <x:c r="K40" s="159" t="n">
        <x:v>540000</x:v>
      </x:c>
      <x:c r="L40" s="102" t="str">
        <x:v>是（手动）</x:v>
      </x:c>
      <x:c r="M40" s="102" t="str">
        <x:v>否</x:v>
      </x:c>
      <x:c r="N40" s="103" t="str">
        <x:v>大陆剧情印记存在明显成长需求；仅低价兜底，产量不纳入模型</x:v>
      </x:c>
    </x:row>
    <x:row r="41">
      <x:c r="A41" s="101" t="str">
        <x:v>裂风崖羽</x:v>
      </x:c>
      <x:c r="B41" s="102" t="str">
        <x:v>C03</x:v>
      </x:c>
      <x:c r="C41" s="102" t="str">
        <x:v>宁姆格福西域</x:v>
      </x:c>
      <x:c r="D41" s="102" t="str">
        <x:v>普通怪证物</x:v>
      </x:c>
      <x:c r="E41" s="102" t="n">
        <x:v>940</x:v>
      </x:c>
      <x:c r="F41" s="102" t="n">
        <x:v>6431</x:v>
      </x:c>
      <x:c r="G41" s="102" t="str">
        <x:v>C03-SYN-EQ-02、C03-AOE-LV2</x:v>
      </x:c>
      <x:c r="H41" s="159" t="n">
        <x:v>190000</x:v>
      </x:c>
      <x:c r="I41" s="159" t="n">
        <x:v>2000</x:v>
      </x:c>
      <x:c r="J41" s="159" t="n">
        <x:v>285000</x:v>
      </x:c>
      <x:c r="K41" s="159" t="n">
        <x:v>3000</x:v>
      </x:c>
      <x:c r="L41" s="102" t="str">
        <x:v>是（手动）</x:v>
      </x:c>
      <x:c r="M41" s="102" t="str">
        <x:v>否</x:v>
      </x:c>
      <x:c r="N41" s="103" t="str">
        <x:v>普通怪证物存在明显成长需求；仅低价兜底，产量不纳入模型</x:v>
      </x:c>
    </x:row>
    <x:row r="42">
      <x:c r="A42" s="101" t="str">
        <x:v>商队火漆</x:v>
      </x:c>
      <x:c r="B42" s="102" t="str">
        <x:v>C03</x:v>
      </x:c>
      <x:c r="C42" s="102" t="str">
        <x:v>宁姆格福西域</x:v>
      </x:c>
      <x:c r="D42" s="102" t="str">
        <x:v>精英证物</x:v>
      </x:c>
      <x:c r="E42" s="102" t="n">
        <x:v>941</x:v>
      </x:c>
      <x:c r="F42" s="102" t="n">
        <x:v>6432</x:v>
      </x:c>
      <x:c r="G42" s="102" t="str">
        <x:v>C03-LONGTITLE</x:v>
      </x:c>
      <x:c r="H42" s="159" t="n">
        <x:v>380000</x:v>
      </x:c>
      <x:c r="I42" s="159" t="n">
        <x:v>3000</x:v>
      </x:c>
      <x:c r="J42" s="159" t="n">
        <x:v>570000</x:v>
      </x:c>
      <x:c r="K42" s="159" t="n">
        <x:v>4500</x:v>
      </x:c>
      <x:c r="L42" s="102" t="str">
        <x:v>是（手动）</x:v>
      </x:c>
      <x:c r="M42" s="102" t="str">
        <x:v>否</x:v>
      </x:c>
      <x:c r="N42" s="103" t="str">
        <x:v>已从旧洗练用途迁移至本大陆称号；低价回收不变。</x:v>
      </x:c>
    </x:row>
    <x:row r="43">
      <x:c r="A43" s="101" t="str">
        <x:v>守垒铜钥</x:v>
      </x:c>
      <x:c r="B43" s="102" t="str">
        <x:v>C03</x:v>
      </x:c>
      <x:c r="C43" s="102" t="str">
        <x:v>宁姆格福西域</x:v>
      </x:c>
      <x:c r="D43" s="102" t="str">
        <x:v>地图BOSS证物</x:v>
      </x:c>
      <x:c r="E43" s="102" t="n">
        <x:v>942</x:v>
      </x:c>
      <x:c r="F43" s="102" t="n">
        <x:v>6433</x:v>
      </x:c>
      <x:c r="G43" s="102" t="str">
        <x:v>C03-SYN-EQ-01</x:v>
      </x:c>
      <x:c r="H43" s="159" t="n">
        <x:v>850000</x:v>
      </x:c>
      <x:c r="I43" s="159" t="n">
        <x:v>7000</x:v>
      </x:c>
      <x:c r="J43" s="159" t="n">
        <x:v>1275000</x:v>
      </x:c>
      <x:c r="K43" s="159" t="n">
        <x:v>10500</x:v>
      </x:c>
      <x:c r="L43" s="102" t="str">
        <x:v>是（手动）</x:v>
      </x:c>
      <x:c r="M43" s="102" t="str">
        <x:v>否</x:v>
      </x:c>
      <x:c r="N43" s="103" t="str">
        <x:v>地图BOSS证物存在明显成长需求；仅低价兜底，产量不纳入模型</x:v>
      </x:c>
    </x:row>
    <x:row r="44">
      <x:c r="A44" s="101" t="str">
        <x:v>哨垒旗冠</x:v>
      </x:c>
      <x:c r="B44" s="102" t="str">
        <x:v>C03</x:v>
      </x:c>
      <x:c r="C44" s="102" t="str">
        <x:v>宁姆格福西域</x:v>
      </x:c>
      <x:c r="D44" s="102" t="str">
        <x:v>守关BOSS证物</x:v>
      </x:c>
      <x:c r="E44" s="102" t="n">
        <x:v>943</x:v>
      </x:c>
      <x:c r="F44" s="102" t="n">
        <x:v>6434</x:v>
      </x:c>
      <x:c r="G44" s="102" t="str">
        <x:v>C03-SYN-EQ-02、C03-SYN-TT-01</x:v>
      </x:c>
      <x:c r="H44" s="159" t="n">
        <x:v>1600000</x:v>
      </x:c>
      <x:c r="I44" s="159" t="n">
        <x:v>15000</x:v>
      </x:c>
      <x:c r="J44" s="159" t="n">
        <x:v>2400000</x:v>
      </x:c>
      <x:c r="K44" s="159" t="n">
        <x:v>22500</x:v>
      </x:c>
      <x:c r="L44" s="102" t="str">
        <x:v>是（手动）</x:v>
      </x:c>
      <x:c r="M44" s="102" t="str">
        <x:v>否</x:v>
      </x:c>
      <x:c r="N44" s="103" t="str">
        <x:v>守关BOSS证物存在明显成长需求；仅低价兜底，产量不纳入模型</x:v>
      </x:c>
    </x:row>
    <x:row r="45">
      <x:c r="A45" s="101" t="str">
        <x:v>雾潮银鳞</x:v>
      </x:c>
      <x:c r="B45" s="102" t="str">
        <x:v>C04</x:v>
      </x:c>
      <x:c r="C45" s="102" t="str">
        <x:v>利耶尼亚海域</x:v>
      </x:c>
      <x:c r="D45" s="102" t="str">
        <x:v>普通怪证物</x:v>
      </x:c>
      <x:c r="E45" s="102" t="n">
        <x:v>944</x:v>
      </x:c>
      <x:c r="F45" s="102" t="n">
        <x:v>6435</x:v>
      </x:c>
      <x:c r="G45" s="102" t="str">
        <x:v>C04-SYN-EQ-02、C04-REBIRTH-01、C04-REBIRTH-02、C04-REBIRTH-03、C04-REBIRTH-04、C04...</x:v>
      </x:c>
      <x:c r="H45" s="159" t="n">
        <x:v>310000</x:v>
      </x:c>
      <x:c r="I45" s="159" t="n">
        <x:v>3000</x:v>
      </x:c>
      <x:c r="J45" s="159" t="n">
        <x:v>465000</x:v>
      </x:c>
      <x:c r="K45" s="159" t="n">
        <x:v>4500</x:v>
      </x:c>
      <x:c r="L45" s="102" t="str">
        <x:v>是（手动）</x:v>
      </x:c>
      <x:c r="M45" s="102" t="str">
        <x:v>否</x:v>
      </x:c>
      <x:c r="N45" s="103" t="str">
        <x:v>普通怪证物存在明显成长需求；仅低价兜底，产量不纳入模型</x:v>
      </x:c>
    </x:row>
    <x:row r="46">
      <x:c r="A46" s="101" t="str">
        <x:v>沉船缆扣</x:v>
      </x:c>
      <x:c r="B46" s="102" t="str">
        <x:v>C04</x:v>
      </x:c>
      <x:c r="C46" s="102" t="str">
        <x:v>利耶尼亚海域</x:v>
      </x:c>
      <x:c r="D46" s="102" t="str">
        <x:v>精英证物</x:v>
      </x:c>
      <x:c r="E46" s="102" t="n">
        <x:v>945</x:v>
      </x:c>
      <x:c r="F46" s="102" t="n">
        <x:v>6436</x:v>
      </x:c>
      <x:c r="G46" s="102" t="str">
        <x:v>C04-SYN-EQ-01</x:v>
      </x:c>
      <x:c r="H46" s="159" t="n">
        <x:v>620000</x:v>
      </x:c>
      <x:c r="I46" s="159" t="n">
        <x:v>6000</x:v>
      </x:c>
      <x:c r="J46" s="159" t="n">
        <x:v>930000</x:v>
      </x:c>
      <x:c r="K46" s="159" t="n">
        <x:v>9000</x:v>
      </x:c>
      <x:c r="L46" s="102" t="str">
        <x:v>是（手动）</x:v>
      </x:c>
      <x:c r="M46" s="102" t="str">
        <x:v>否</x:v>
      </x:c>
      <x:c r="N46" s="103" t="str">
        <x:v>精英证物存在明显成长需求；仅低价兜底，产量不纳入模型</x:v>
      </x:c>
    </x:row>
    <x:row r="47">
      <x:c r="A47" s="101" t="str">
        <x:v>深湖压舱印</x:v>
      </x:c>
      <x:c r="B47" s="102" t="str">
        <x:v>C04</x:v>
      </x:c>
      <x:c r="C47" s="102" t="str">
        <x:v>利耶尼亚海域</x:v>
      </x:c>
      <x:c r="D47" s="102" t="str">
        <x:v>地图BOSS证物</x:v>
      </x:c>
      <x:c r="E47" s="102" t="n">
        <x:v>946</x:v>
      </x:c>
      <x:c r="F47" s="102" t="n">
        <x:v>6437</x:v>
      </x:c>
      <x:c r="G47" s="102" t="str">
        <x:v>C04-SYN-EQ-03</x:v>
      </x:c>
      <x:c r="H47" s="159" t="n">
        <x:v>1400000</x:v>
      </x:c>
      <x:c r="I47" s="159" t="n">
        <x:v>15000</x:v>
      </x:c>
      <x:c r="J47" s="159" t="n">
        <x:v>2100000</x:v>
      </x:c>
      <x:c r="K47" s="159" t="n">
        <x:v>22500</x:v>
      </x:c>
      <x:c r="L47" s="102" t="str">
        <x:v>是（手动）</x:v>
      </x:c>
      <x:c r="M47" s="102" t="str">
        <x:v>否</x:v>
      </x:c>
      <x:c r="N47" s="103" t="str">
        <x:v>地图BOSS证物存在明显成长需求；仅低价兜底，产量不纳入模型</x:v>
      </x:c>
    </x:row>
    <x:row r="48">
      <x:c r="A48" s="101" t="str">
        <x:v>湖底封门珠</x:v>
      </x:c>
      <x:c r="B48" s="102" t="str">
        <x:v>C04</x:v>
      </x:c>
      <x:c r="C48" s="102" t="str">
        <x:v>利耶尼亚海域</x:v>
      </x:c>
      <x:c r="D48" s="102" t="str">
        <x:v>守关BOSS证物</x:v>
      </x:c>
      <x:c r="E48" s="102" t="n">
        <x:v>947</x:v>
      </x:c>
      <x:c r="F48" s="102" t="n">
        <x:v>6438</x:v>
      </x:c>
      <x:c r="G48" s="102" t="str">
        <x:v>C04-SYN-EQ-02</x:v>
      </x:c>
      <x:c r="H48" s="159" t="n">
        <x:v>2700000</x:v>
      </x:c>
      <x:c r="I48" s="159" t="n">
        <x:v>28000</x:v>
      </x:c>
      <x:c r="J48" s="159" t="n">
        <x:v>4050000</x:v>
      </x:c>
      <x:c r="K48" s="159" t="n">
        <x:v>42000</x:v>
      </x:c>
      <x:c r="L48" s="102" t="str">
        <x:v>是（手动）</x:v>
      </x:c>
      <x:c r="M48" s="102" t="str">
        <x:v>否</x:v>
      </x:c>
      <x:c r="N48" s="103" t="str">
        <x:v>守关BOSS证物存在明显成长需求；仅低价兜底，产量不纳入模型</x:v>
      </x:c>
    </x:row>
    <x:row r="49">
      <x:c r="A49" s="101" t="str">
        <x:v>雾月星砂</x:v>
      </x:c>
      <x:c r="B49" s="102" t="str">
        <x:v>C05</x:v>
      </x:c>
      <x:c r="C49" s="102" t="str">
        <x:v>湖之利耶尼亚</x:v>
      </x:c>
      <x:c r="D49" s="102" t="str">
        <x:v>普通怪证物</x:v>
      </x:c>
      <x:c r="E49" s="102" t="n">
        <x:v>948</x:v>
      </x:c>
      <x:c r="F49" s="102" t="n">
        <x:v>6439</x:v>
      </x:c>
      <x:c r="G49" s="102" t="str">
        <x:v>C05-SYN-EQ-02、C05-AOE-LV3</x:v>
      </x:c>
      <x:c r="H49" s="159" t="n">
        <x:v>540000</x:v>
      </x:c>
      <x:c r="I49" s="159" t="n">
        <x:v>6000</x:v>
      </x:c>
      <x:c r="J49" s="159" t="n">
        <x:v>810000</x:v>
      </x:c>
      <x:c r="K49" s="159" t="n">
        <x:v>9000</x:v>
      </x:c>
      <x:c r="L49" s="102" t="str">
        <x:v>是（手动）</x:v>
      </x:c>
      <x:c r="M49" s="102" t="str">
        <x:v>否</x:v>
      </x:c>
      <x:c r="N49" s="103" t="str">
        <x:v>普通怪证物存在明显成长需求；仅低价兜底，产量不纳入模型</x:v>
      </x:c>
    </x:row>
    <x:row r="50">
      <x:c r="A50" s="101" t="str">
        <x:v>学院封蜡</x:v>
      </x:c>
      <x:c r="B50" s="102" t="str">
        <x:v>C05</x:v>
      </x:c>
      <x:c r="C50" s="102" t="str">
        <x:v>湖之利耶尼亚</x:v>
      </x:c>
      <x:c r="D50" s="102" t="str">
        <x:v>精英证物</x:v>
      </x:c>
      <x:c r="E50" s="102" t="n">
        <x:v>949</x:v>
      </x:c>
      <x:c r="F50" s="102" t="n">
        <x:v>6440</x:v>
      </x:c>
      <x:c r="G50" s="102" t="str">
        <x:v>C05-LONGTITLE</x:v>
      </x:c>
      <x:c r="H50" s="159" t="n">
        <x:v>1100000</x:v>
      </x:c>
      <x:c r="I50" s="159" t="n">
        <x:v>13000</x:v>
      </x:c>
      <x:c r="J50" s="159" t="n">
        <x:v>1650000</x:v>
      </x:c>
      <x:c r="K50" s="159" t="n">
        <x:v>19500</x:v>
      </x:c>
      <x:c r="L50" s="102" t="str">
        <x:v>是（手动）</x:v>
      </x:c>
      <x:c r="M50" s="102" t="str">
        <x:v>否</x:v>
      </x:c>
      <x:c r="N50" s="103" t="str">
        <x:v>已从旧洗练用途迁移至本大陆称号；低价回收不变。</x:v>
      </x:c>
    </x:row>
    <x:row r="51">
      <x:c r="A51" s="101" t="str">
        <x:v>月蚀镜片</x:v>
      </x:c>
      <x:c r="B51" s="102" t="str">
        <x:v>C05</x:v>
      </x:c>
      <x:c r="C51" s="102" t="str">
        <x:v>湖之利耶尼亚</x:v>
      </x:c>
      <x:c r="D51" s="102" t="str">
        <x:v>地图BOSS证物</x:v>
      </x:c>
      <x:c r="E51" s="102" t="n">
        <x:v>950</x:v>
      </x:c>
      <x:c r="F51" s="102" t="n">
        <x:v>6441</x:v>
      </x:c>
      <x:c r="G51" s="102" t="str">
        <x:v>C05-SYN-EQ-01</x:v>
      </x:c>
      <x:c r="H51" s="159" t="n">
        <x:v>2400000</x:v>
      </x:c>
      <x:c r="I51" s="159" t="n">
        <x:v>29000</x:v>
      </x:c>
      <x:c r="J51" s="159" t="n">
        <x:v>3600000</x:v>
      </x:c>
      <x:c r="K51" s="159" t="n">
        <x:v>43500</x:v>
      </x:c>
      <x:c r="L51" s="102" t="str">
        <x:v>是（手动）</x:v>
      </x:c>
      <x:c r="M51" s="102" t="str">
        <x:v>否</x:v>
      </x:c>
      <x:c r="N51" s="103" t="str">
        <x:v>地图BOSS证物存在明显成长需求；仅低价兜底，产量不纳入模型</x:v>
      </x:c>
    </x:row>
    <x:row r="52">
      <x:c r="A52" s="101" t="str">
        <x:v>禁域星钥</x:v>
      </x:c>
      <x:c r="B52" s="102" t="str">
        <x:v>C05</x:v>
      </x:c>
      <x:c r="C52" s="102" t="str">
        <x:v>湖之利耶尼亚</x:v>
      </x:c>
      <x:c r="D52" s="102" t="str">
        <x:v>守关BOSS证物</x:v>
      </x:c>
      <x:c r="E52" s="102" t="n">
        <x:v>951</x:v>
      </x:c>
      <x:c r="F52" s="102" t="n">
        <x:v>6442</x:v>
      </x:c>
      <x:c r="G52" s="102" t="str">
        <x:v>C05-SYN-EQ-02、C05-SYN-TT-01</x:v>
      </x:c>
      <x:c r="H52" s="159" t="n">
        <x:v>4700000</x:v>
      </x:c>
      <x:c r="I52" s="159" t="n">
        <x:v>56000</x:v>
      </x:c>
      <x:c r="J52" s="159" t="n">
        <x:v>7050000</x:v>
      </x:c>
      <x:c r="K52" s="159" t="n">
        <x:v>84000</x:v>
      </x:c>
      <x:c r="L52" s="102" t="str">
        <x:v>是（手动）</x:v>
      </x:c>
      <x:c r="M52" s="102" t="str">
        <x:v>否</x:v>
      </x:c>
      <x:c r="N52" s="103" t="str">
        <x:v>守关BOSS证物存在明显成长需求；仅低价兜底，产量不纳入模型</x:v>
      </x:c>
    </x:row>
    <x:row r="53">
      <x:c r="A53" s="101" t="str">
        <x:v>红狮断箭</x:v>
      </x:c>
      <x:c r="B53" s="102" t="str">
        <x:v>C06</x:v>
      </x:c>
      <x:c r="C53" s="102" t="str">
        <x:v>盖利德</x:v>
      </x:c>
      <x:c r="D53" s="102" t="str">
        <x:v>普通怪证物</x:v>
      </x:c>
      <x:c r="E53" s="102" t="n">
        <x:v>952</x:v>
      </x:c>
      <x:c r="F53" s="102" t="n">
        <x:v>6443</x:v>
      </x:c>
      <x:c r="G53" s="102" t="str">
        <x:v>C06-SYN-EQ-01</x:v>
      </x:c>
      <x:c r="H53" s="159" t="n">
        <x:v>920000</x:v>
      </x:c>
      <x:c r="I53" s="159" t="n">
        <x:v>8000</x:v>
      </x:c>
      <x:c r="J53" s="159" t="n">
        <x:v>1380000</x:v>
      </x:c>
      <x:c r="K53" s="159" t="n">
        <x:v>12000</x:v>
      </x:c>
      <x:c r="L53" s="102" t="str">
        <x:v>是（手动）</x:v>
      </x:c>
      <x:c r="M53" s="102" t="str">
        <x:v>否</x:v>
      </x:c>
      <x:c r="N53" s="103" t="str">
        <x:v>普通怪证物存在明显成长需求；仅低价兜底，产量不纳入模型</x:v>
      </x:c>
    </x:row>
    <x:row r="54">
      <x:c r="A54" s="101" t="str">
        <x:v>净火腺囊</x:v>
      </x:c>
      <x:c r="B54" s="102" t="str">
        <x:v>C06</x:v>
      </x:c>
      <x:c r="C54" s="102" t="str">
        <x:v>盖利德</x:v>
      </x:c>
      <x:c r="D54" s="102" t="str">
        <x:v>精英证物</x:v>
      </x:c>
      <x:c r="E54" s="102" t="n">
        <x:v>953</x:v>
      </x:c>
      <x:c r="F54" s="102" t="n">
        <x:v>6444</x:v>
      </x:c>
      <x:c r="G54" s="102" t="str">
        <x:v>C06-SYN-EQ-02、C06-REBIRTH-06、C06-REBIRTH-07、C06-REBIRTH-08、C06-REBIRTH-09、C06...</x:v>
      </x:c>
      <x:c r="H54" s="159" t="n">
        <x:v>1800000</x:v>
      </x:c>
      <x:c r="I54" s="159" t="n">
        <x:v>16000</x:v>
      </x:c>
      <x:c r="J54" s="159" t="n">
        <x:v>2700000</x:v>
      </x:c>
      <x:c r="K54" s="159" t="n">
        <x:v>24000</x:v>
      </x:c>
      <x:c r="L54" s="102" t="str">
        <x:v>是（手动）</x:v>
      </x:c>
      <x:c r="M54" s="102" t="str">
        <x:v>否</x:v>
      </x:c>
      <x:c r="N54" s="103" t="str">
        <x:v>精英证物存在明显成长需求；仅低价兜底，产量不纳入模型</x:v>
      </x:c>
    </x:row>
    <x:row r="55">
      <x:c r="A55" s="101" t="str">
        <x:v>龙窟熔牙</x:v>
      </x:c>
      <x:c r="B55" s="102" t="str">
        <x:v>C06</x:v>
      </x:c>
      <x:c r="C55" s="102" t="str">
        <x:v>盖利德</x:v>
      </x:c>
      <x:c r="D55" s="102" t="str">
        <x:v>地图BOSS证物</x:v>
      </x:c>
      <x:c r="E55" s="102" t="n">
        <x:v>954</x:v>
      </x:c>
      <x:c r="F55" s="102" t="n">
        <x:v>6445</x:v>
      </x:c>
      <x:c r="G55" s="102" t="str">
        <x:v>C06-SYN-EQ-02</x:v>
      </x:c>
      <x:c r="H55" s="159" t="n">
        <x:v>4100000</x:v>
      </x:c>
      <x:c r="I55" s="159" t="n">
        <x:v>36000</x:v>
      </x:c>
      <x:c r="J55" s="159" t="n">
        <x:v>6150000</x:v>
      </x:c>
      <x:c r="K55" s="159" t="n">
        <x:v>54000</x:v>
      </x:c>
      <x:c r="L55" s="102" t="str">
        <x:v>是（手动）</x:v>
      </x:c>
      <x:c r="M55" s="102" t="str">
        <x:v>否</x:v>
      </x:c>
      <x:c r="N55" s="103" t="str">
        <x:v>地图BOSS证物存在明显成长需求；仅低价兜底，产量不纳入模型</x:v>
      </x:c>
    </x:row>
    <x:row r="56">
      <x:c r="A56" s="101" t="str">
        <x:v>碎星仪仗钉</x:v>
      </x:c>
      <x:c r="B56" s="102" t="str">
        <x:v>C06</x:v>
      </x:c>
      <x:c r="C56" s="102" t="str">
        <x:v>盖利德</x:v>
      </x:c>
      <x:c r="D56" s="102" t="str">
        <x:v>守关BOSS证物</x:v>
      </x:c>
      <x:c r="E56" s="102" t="n">
        <x:v>955</x:v>
      </x:c>
      <x:c r="F56" s="102" t="n">
        <x:v>6446</x:v>
      </x:c>
      <x:c r="G56" s="102" t="str">
        <x:v>C06-SYN-EQ-03</x:v>
      </x:c>
      <x:c r="H56" s="159" t="n">
        <x:v>8100000</x:v>
      </x:c>
      <x:c r="I56" s="159" t="n">
        <x:v>70000</x:v>
      </x:c>
      <x:c r="J56" s="159" t="n">
        <x:v>12150000</x:v>
      </x:c>
      <x:c r="K56" s="159" t="n">
        <x:v>105000</x:v>
      </x:c>
      <x:c r="L56" s="102" t="str">
        <x:v>是（手动）</x:v>
      </x:c>
      <x:c r="M56" s="102" t="str">
        <x:v>否</x:v>
      </x:c>
      <x:c r="N56" s="103" t="str">
        <x:v>守关BOSS证物存在明显成长需求；仅低价兜底，产量不纳入模型</x:v>
      </x:c>
    </x:row>
    <x:row r="57">
      <x:c r="A57" s="101" t="str">
        <x:v>白金路标片</x:v>
      </x:c>
      <x:c r="B57" s="102" t="str">
        <x:v>C07</x:v>
      </x:c>
      <x:c r="C57" s="102" t="str">
        <x:v>化圣雪原</x:v>
      </x:c>
      <x:c r="D57" s="102" t="str">
        <x:v>普通怪证物</x:v>
      </x:c>
      <x:c r="E57" s="102" t="n">
        <x:v>956</x:v>
      </x:c>
      <x:c r="F57" s="102" t="n">
        <x:v>6447</x:v>
      </x:c>
      <x:c r="G57" s="102" t="str">
        <x:v>C07-SYN-EQ-01</x:v>
      </x:c>
      <x:c r="H57" s="159" t="n">
        <x:v>1400000</x:v>
      </x:c>
      <x:c r="I57" s="159" t="n">
        <x:v>14000</x:v>
      </x:c>
      <x:c r="J57" s="159" t="n">
        <x:v>2100000</x:v>
      </x:c>
      <x:c r="K57" s="159" t="n">
        <x:v>21000</x:v>
      </x:c>
      <x:c r="L57" s="102" t="str">
        <x:v>是（手动）</x:v>
      </x:c>
      <x:c r="M57" s="102" t="str">
        <x:v>否</x:v>
      </x:c>
      <x:c r="N57" s="103" t="str">
        <x:v>普通怪证物存在明显成长需求；仅低价兜底，产量不纳入模型</x:v>
      </x:c>
    </x:row>
    <x:row r="58">
      <x:c r="A58" s="101" t="str">
        <x:v>冻原银角</x:v>
      </x:c>
      <x:c r="B58" s="102" t="str">
        <x:v>C07</x:v>
      </x:c>
      <x:c r="C58" s="102" t="str">
        <x:v>化圣雪原</x:v>
      </x:c>
      <x:c r="D58" s="102" t="str">
        <x:v>精英证物</x:v>
      </x:c>
      <x:c r="E58" s="102" t="n">
        <x:v>957</x:v>
      </x:c>
      <x:c r="F58" s="102" t="n">
        <x:v>6448</x:v>
      </x:c>
      <x:c r="G58" s="102" t="str">
        <x:v>C07-LONGTITLE</x:v>
      </x:c>
      <x:c r="H58" s="159" t="n">
        <x:v>2900000</x:v>
      </x:c>
      <x:c r="I58" s="159" t="n">
        <x:v>29000</x:v>
      </x:c>
      <x:c r="J58" s="159" t="n">
        <x:v>4350000</x:v>
      </x:c>
      <x:c r="K58" s="159" t="n">
        <x:v>43500</x:v>
      </x:c>
      <x:c r="L58" s="102" t="str">
        <x:v>是（手动）</x:v>
      </x:c>
      <x:c r="M58" s="102" t="str">
        <x:v>否</x:v>
      </x:c>
      <x:c r="N58" s="103" t="str">
        <x:v>已从旧洗练用途迁移至本大陆称号；低价回收不变。</x:v>
      </x:c>
    </x:row>
    <x:row r="59">
      <x:c r="A59" s="101" t="str">
        <x:v>秘树霜芽</x:v>
      </x:c>
      <x:c r="B59" s="102" t="str">
        <x:v>C07</x:v>
      </x:c>
      <x:c r="C59" s="102" t="str">
        <x:v>化圣雪原</x:v>
      </x:c>
      <x:c r="D59" s="102" t="str">
        <x:v>地图BOSS证物</x:v>
      </x:c>
      <x:c r="E59" s="102" t="n">
        <x:v>958</x:v>
      </x:c>
      <x:c r="F59" s="102" t="n">
        <x:v>6449</x:v>
      </x:c>
      <x:c r="G59" s="102" t="str">
        <x:v>C07-SYN-EQ-02、C07-AOE-LV4</x:v>
      </x:c>
      <x:c r="H59" s="159" t="n">
        <x:v>6400000</x:v>
      </x:c>
      <x:c r="I59" s="159" t="n">
        <x:v>64000</x:v>
      </x:c>
      <x:c r="J59" s="159" t="n">
        <x:v>9600000</x:v>
      </x:c>
      <x:c r="K59" s="159" t="n">
        <x:v>96000</x:v>
      </x:c>
      <x:c r="L59" s="102" t="str">
        <x:v>是（手动）</x:v>
      </x:c>
      <x:c r="M59" s="102" t="str">
        <x:v>否</x:v>
      </x:c>
      <x:c r="N59" s="103" t="str">
        <x:v>地图BOSS证物存在明显成长需求；仅低价兜底，产量不纳入模型</x:v>
      </x:c>
    </x:row>
    <x:row r="60">
      <x:c r="A60" s="101" t="str">
        <x:v>圣雪门楔</x:v>
      </x:c>
      <x:c r="B60" s="102" t="str">
        <x:v>C07</x:v>
      </x:c>
      <x:c r="C60" s="102" t="str">
        <x:v>化圣雪原</x:v>
      </x:c>
      <x:c r="D60" s="102" t="str">
        <x:v>守关BOSS证物</x:v>
      </x:c>
      <x:c r="E60" s="102" t="n">
        <x:v>959</x:v>
      </x:c>
      <x:c r="F60" s="102" t="n">
        <x:v>6450</x:v>
      </x:c>
      <x:c r="G60" s="102" t="str">
        <x:v>C07-SYN-EQ-02、C07-SYN-TT-01</x:v>
      </x:c>
      <x:c r="H60" s="159" t="n">
        <x:v>12500000</x:v>
      </x:c>
      <x:c r="I60" s="159" t="n">
        <x:v>130000</x:v>
      </x:c>
      <x:c r="J60" s="159" t="n">
        <x:v>18750000</x:v>
      </x:c>
      <x:c r="K60" s="159" t="n">
        <x:v>195000</x:v>
      </x:c>
      <x:c r="L60" s="102" t="str">
        <x:v>是（手动）</x:v>
      </x:c>
      <x:c r="M60" s="102" t="str">
        <x:v>否</x:v>
      </x:c>
      <x:c r="N60" s="103" t="str">
        <x:v>守关BOSS证物存在明显成长需求；仅低价兜底，产量不纳入模型</x:v>
      </x:c>
    </x:row>
    <x:row r="61">
      <x:c r="A61" s="101" t="str">
        <x:v>登山铁楔</x:v>
      </x:c>
      <x:c r="B61" s="102" t="str">
        <x:v>C08</x:v>
      </x:c>
      <x:c r="C61" s="102" t="str">
        <x:v>巨人山顶</x:v>
      </x:c>
      <x:c r="D61" s="102" t="str">
        <x:v>普通怪证物</x:v>
      </x:c>
      <x:c r="E61" s="102" t="n">
        <x:v>960</x:v>
      </x:c>
      <x:c r="F61" s="102" t="n">
        <x:v>6451</x:v>
      </x:c>
      <x:c r="G61" s="102" t="str">
        <x:v>C08-SYN-EQ-01</x:v>
      </x:c>
      <x:c r="H61" s="159" t="n">
        <x:v>2100000</x:v>
      </x:c>
      <x:c r="I61" s="159" t="n">
        <x:v>19000</x:v>
      </x:c>
      <x:c r="J61" s="159" t="n">
        <x:v>3150000</x:v>
      </x:c>
      <x:c r="K61" s="159" t="n">
        <x:v>28500</x:v>
      </x:c>
      <x:c r="L61" s="102" t="str">
        <x:v>是（手动）</x:v>
      </x:c>
      <x:c r="M61" s="102" t="str">
        <x:v>否</x:v>
      </x:c>
      <x:c r="N61" s="103" t="str">
        <x:v>普通怪证物存在明显成长需求；仅低价兜底，产量不纳入模型</x:v>
      </x:c>
    </x:row>
    <x:row r="62">
      <x:c r="A62" s="101" t="str">
        <x:v>裂峰号角片</x:v>
      </x:c>
      <x:c r="B62" s="102" t="str">
        <x:v>C08</x:v>
      </x:c>
      <x:c r="C62" s="102" t="str">
        <x:v>巨人山顶</x:v>
      </x:c>
      <x:c r="D62" s="102" t="str">
        <x:v>精英证物</x:v>
      </x:c>
      <x:c r="E62" s="102" t="n">
        <x:v>961</x:v>
      </x:c>
      <x:c r="F62" s="102" t="n">
        <x:v>6452</x:v>
      </x:c>
      <x:c r="G62" s="102" t="str">
        <x:v>C08-SYN-EQ-02、C08-REBIRTH-11、C08-REBIRTH-12、C08-REBIRTH-13、C08-REBIRTH-14、C08...</x:v>
      </x:c>
      <x:c r="H62" s="159" t="n">
        <x:v>4300000</x:v>
      </x:c>
      <x:c r="I62" s="159" t="n">
        <x:v>37000</x:v>
      </x:c>
      <x:c r="J62" s="159" t="n">
        <x:v>6450000</x:v>
      </x:c>
      <x:c r="K62" s="159" t="n">
        <x:v>55500</x:v>
      </x:c>
      <x:c r="L62" s="102" t="str">
        <x:v>是（手动）</x:v>
      </x:c>
      <x:c r="M62" s="102" t="str">
        <x:v>否</x:v>
      </x:c>
      <x:c r="N62" s="103" t="str">
        <x:v>精英证物存在明显成长需求；仅低价兜底，产量不纳入模型</x:v>
      </x:c>
    </x:row>
    <x:row r="63">
      <x:c r="A63" s="101" t="str">
        <x:v>冰宫守门铃</x:v>
      </x:c>
      <x:c r="B63" s="102" t="str">
        <x:v>C08</x:v>
      </x:c>
      <x:c r="C63" s="102" t="str">
        <x:v>巨人山顶</x:v>
      </x:c>
      <x:c r="D63" s="102" t="str">
        <x:v>地图BOSS证物</x:v>
      </x:c>
      <x:c r="E63" s="102" t="n">
        <x:v>962</x:v>
      </x:c>
      <x:c r="F63" s="102" t="n">
        <x:v>6453</x:v>
      </x:c>
      <x:c r="G63" s="102" t="str">
        <x:v>C08-SYN-EQ-02</x:v>
      </x:c>
      <x:c r="H63" s="159" t="n">
        <x:v>9600000</x:v>
      </x:c>
      <x:c r="I63" s="159" t="n">
        <x:v>84000</x:v>
      </x:c>
      <x:c r="J63" s="159" t="n">
        <x:v>14400000</x:v>
      </x:c>
      <x:c r="K63" s="159" t="n">
        <x:v>126000</x:v>
      </x:c>
      <x:c r="L63" s="102" t="str">
        <x:v>是（手动）</x:v>
      </x:c>
      <x:c r="M63" s="102" t="str">
        <x:v>否</x:v>
      </x:c>
      <x:c r="N63" s="103" t="str">
        <x:v>地图BOSS证物存在明显成长需求；仅低价兜底，产量不纳入模型</x:v>
      </x:c>
    </x:row>
    <x:row r="64">
      <x:c r="A64" s="101" t="str">
        <x:v>王庭炉冠</x:v>
      </x:c>
      <x:c r="B64" s="102" t="str">
        <x:v>C08</x:v>
      </x:c>
      <x:c r="C64" s="102" t="str">
        <x:v>巨人山顶</x:v>
      </x:c>
      <x:c r="D64" s="102" t="str">
        <x:v>守关BOSS证物</x:v>
      </x:c>
      <x:c r="E64" s="102" t="n">
        <x:v>963</x:v>
      </x:c>
      <x:c r="F64" s="102" t="n">
        <x:v>6454</x:v>
      </x:c>
      <x:c r="G64" s="102" t="str">
        <x:v>C08-SYN-EQ-03</x:v>
      </x:c>
      <x:c r="H64" s="159" t="n">
        <x:v>18500000</x:v>
      </x:c>
      <x:c r="I64" s="159" t="n">
        <x:v>160000</x:v>
      </x:c>
      <x:c r="J64" s="159" t="n">
        <x:v>27750000</x:v>
      </x:c>
      <x:c r="K64" s="159" t="n">
        <x:v>240000</x:v>
      </x:c>
      <x:c r="L64" s="102" t="str">
        <x:v>是（手动）</x:v>
      </x:c>
      <x:c r="M64" s="102" t="str">
        <x:v>否</x:v>
      </x:c>
      <x:c r="N64" s="103" t="str">
        <x:v>守关BOSS证物存在明显成长需求；仅低价兜底，产量不纳入模型</x:v>
      </x:c>
    </x:row>
    <x:row r="65">
      <x:c r="A65" s="101" t="str">
        <x:v>金叶驿票</x:v>
      </x:c>
      <x:c r="B65" s="102" t="str">
        <x:v>C09</x:v>
      </x:c>
      <x:c r="C65" s="102" t="str">
        <x:v>亚坛高原</x:v>
      </x:c>
      <x:c r="D65" s="102" t="str">
        <x:v>普通怪证物</x:v>
      </x:c>
      <x:c r="E65" s="102" t="n">
        <x:v>964</x:v>
      </x:c>
      <x:c r="F65" s="102" t="n">
        <x:v>6455</x:v>
      </x:c>
      <x:c r="G65" s="102" t="str">
        <x:v>C09-LONGTITLE</x:v>
      </x:c>
      <x:c r="H65" s="159" t="n">
        <x:v>2700000</x:v>
      </x:c>
      <x:c r="I65" s="159" t="n">
        <x:v>38000</x:v>
      </x:c>
      <x:c r="J65" s="159" t="n">
        <x:v>4050000</x:v>
      </x:c>
      <x:c r="K65" s="159" t="n">
        <x:v>57000</x:v>
      </x:c>
      <x:c r="L65" s="102" t="str">
        <x:v>是（手动）</x:v>
      </x:c>
      <x:c r="M65" s="102" t="str">
        <x:v>否</x:v>
      </x:c>
      <x:c r="N65" s="103" t="str">
        <x:v>已从旧洗练用途迁移至本大陆称号；低价回收不变。</x:v>
      </x:c>
    </x:row>
    <x:row r="66">
      <x:c r="A66" s="101" t="str">
        <x:v>矿脉灯芯</x:v>
      </x:c>
      <x:c r="B66" s="102" t="str">
        <x:v>C09</x:v>
      </x:c>
      <x:c r="C66" s="102" t="str">
        <x:v>亚坛高原</x:v>
      </x:c>
      <x:c r="D66" s="102" t="str">
        <x:v>精英证物</x:v>
      </x:c>
      <x:c r="E66" s="102" t="n">
        <x:v>965</x:v>
      </x:c>
      <x:c r="F66" s="102" t="n">
        <x:v>6456</x:v>
      </x:c>
      <x:c r="G66" s="102" t="str">
        <x:v>C09-LONGTITLE</x:v>
      </x:c>
      <x:c r="H66" s="159" t="n">
        <x:v>5400000</x:v>
      </x:c>
      <x:c r="I66" s="159" t="n">
        <x:v>76000</x:v>
      </x:c>
      <x:c r="J66" s="159" t="n">
        <x:v>8100000</x:v>
      </x:c>
      <x:c r="K66" s="159" t="n">
        <x:v>114000</x:v>
      </x:c>
      <x:c r="L66" s="102" t="str">
        <x:v>是（手动）</x:v>
      </x:c>
      <x:c r="M66" s="102" t="str">
        <x:v>否</x:v>
      </x:c>
      <x:c r="N66" s="103" t="str">
        <x:v>已从旧洗练用途迁移至本大陆称号；低价回收不变。</x:v>
      </x:c>
    </x:row>
    <x:row r="67">
      <x:c r="A67" s="101" t="str">
        <x:v>裁文蜡封</x:v>
      </x:c>
      <x:c r="B67" s="102" t="str">
        <x:v>C09</x:v>
      </x:c>
      <x:c r="C67" s="102" t="str">
        <x:v>亚坛高原</x:v>
      </x:c>
      <x:c r="D67" s="102" t="str">
        <x:v>地图BOSS证物</x:v>
      </x:c>
      <x:c r="E67" s="102" t="n">
        <x:v>966</x:v>
      </x:c>
      <x:c r="F67" s="102" t="n">
        <x:v>6457</x:v>
      </x:c>
      <x:c r="G67" s="102" t="str">
        <x:v>C09-SYN-EQ-01、C09-AOE-LV5</x:v>
      </x:c>
      <x:c r="H67" s="159" t="n">
        <x:v>12000000</x:v>
      </x:c>
      <x:c r="I67" s="159" t="n">
        <x:v>170000</x:v>
      </x:c>
      <x:c r="J67" s="159" t="n">
        <x:v>18000000</x:v>
      </x:c>
      <x:c r="K67" s="159" t="n">
        <x:v>255000</x:v>
      </x:c>
      <x:c r="L67" s="102" t="str">
        <x:v>是（手动）</x:v>
      </x:c>
      <x:c r="M67" s="102" t="str">
        <x:v>否</x:v>
      </x:c>
      <x:c r="N67" s="103" t="str">
        <x:v>地图BOSS证物存在明显成长需求；仅低价兜底，产量不纳入模型</x:v>
      </x:c>
    </x:row>
    <x:row r="68">
      <x:c r="A68" s="101" t="str">
        <x:v>高原王诏金版</x:v>
      </x:c>
      <x:c r="B68" s="102" t="str">
        <x:v>C09</x:v>
      </x:c>
      <x:c r="C68" s="102" t="str">
        <x:v>亚坛高原</x:v>
      </x:c>
      <x:c r="D68" s="102" t="str">
        <x:v>守关BOSS证物</x:v>
      </x:c>
      <x:c r="E68" s="102" t="n">
        <x:v>967</x:v>
      </x:c>
      <x:c r="F68" s="102" t="n">
        <x:v>6458</x:v>
      </x:c>
      <x:c r="G68" s="102" t="str">
        <x:v>C09-SYN-EQ-02、C09-SYN-TT-01</x:v>
      </x:c>
      <x:c r="H68" s="159" t="n">
        <x:v>24000000</x:v>
      </x:c>
      <x:c r="I68" s="159" t="n">
        <x:v>330000</x:v>
      </x:c>
      <x:c r="J68" s="159" t="n">
        <x:v>36000000</x:v>
      </x:c>
      <x:c r="K68" s="159" t="n">
        <x:v>495000</x:v>
      </x:c>
      <x:c r="L68" s="102" t="str">
        <x:v>是（手动）</x:v>
      </x:c>
      <x:c r="M68" s="102" t="str">
        <x:v>否</x:v>
      </x:c>
      <x:c r="N68" s="103" t="str">
        <x:v>守关BOSS证物存在明显成长需求；仅低价兜底，产量不纳入模型</x:v>
      </x:c>
    </x:row>
    <x:row r="69">
      <x:c r="A69" s="101" t="str">
        <x:v>无名墓钉</x:v>
      </x:c>
      <x:c r="B69" s="102" t="str">
        <x:v>C10</x:v>
      </x:c>
      <x:c r="C69" s="102" t="str">
        <x:v>王城罗德尔</x:v>
      </x:c>
      <x:c r="D69" s="102" t="str">
        <x:v>普通怪证物</x:v>
      </x:c>
      <x:c r="E69" s="102" t="n">
        <x:v>968</x:v>
      </x:c>
      <x:c r="F69" s="102" t="n">
        <x:v>6459</x:v>
      </x:c>
      <x:c r="G69" s="102" t="str">
        <x:v>C10-SYN-EQ-02</x:v>
      </x:c>
      <x:c r="H69" s="159" t="n">
        <x:v>4000000</x:v>
      </x:c>
      <x:c r="I69" s="159" t="n">
        <x:v>48000</x:v>
      </x:c>
      <x:c r="J69" s="159" t="n">
        <x:v>6000000</x:v>
      </x:c>
      <x:c r="K69" s="159" t="n">
        <x:v>72000</x:v>
      </x:c>
      <x:c r="L69" s="102" t="str">
        <x:v>是（手动）</x:v>
      </x:c>
      <x:c r="M69" s="102" t="str">
        <x:v>否</x:v>
      </x:c>
      <x:c r="N69" s="103" t="str">
        <x:v>普通怪证物存在明显成长需求；仅低价兜底，产量不纳入模型</x:v>
      </x:c>
    </x:row>
    <x:row r="70">
      <x:c r="A70" s="101" t="str">
        <x:v>旧渠阀芯</x:v>
      </x:c>
      <x:c r="B70" s="102" t="str">
        <x:v>C10</x:v>
      </x:c>
      <x:c r="C70" s="102" t="str">
        <x:v>王城罗德尔</x:v>
      </x:c>
      <x:c r="D70" s="102" t="str">
        <x:v>精英证物</x:v>
      </x:c>
      <x:c r="E70" s="102" t="n">
        <x:v>969</x:v>
      </x:c>
      <x:c r="F70" s="102" t="n">
        <x:v>6460</x:v>
      </x:c>
      <x:c r="G70" s="102" t="str">
        <x:v>C10-SYN-EQ-03</x:v>
      </x:c>
      <x:c r="H70" s="159" t="n">
        <x:v>8000000</x:v>
      </x:c>
      <x:c r="I70" s="159" t="n">
        <x:v>96000</x:v>
      </x:c>
      <x:c r="J70" s="159" t="n">
        <x:v>12000000</x:v>
      </x:c>
      <x:c r="K70" s="159" t="n">
        <x:v>144000</x:v>
      </x:c>
      <x:c r="L70" s="102" t="str">
        <x:v>是（手动）</x:v>
      </x:c>
      <x:c r="M70" s="102" t="str">
        <x:v>否</x:v>
      </x:c>
      <x:c r="N70" s="103" t="str">
        <x:v>精英证物存在明显成长需求；仅低价兜底，产量不纳入模型</x:v>
      </x:c>
    </x:row>
    <x:row r="71">
      <x:c r="A71" s="101" t="str">
        <x:v>失温熔炉楔</x:v>
      </x:c>
      <x:c r="B71" s="102" t="str">
        <x:v>C10</x:v>
      </x:c>
      <x:c r="C71" s="102" t="str">
        <x:v>王城罗德尔</x:v>
      </x:c>
      <x:c r="D71" s="102" t="str">
        <x:v>地图BOSS证物</x:v>
      </x:c>
      <x:c r="E71" s="102" t="n">
        <x:v>970</x:v>
      </x:c>
      <x:c r="F71" s="102" t="n">
        <x:v>6461</x:v>
      </x:c>
      <x:c r="G71" s="102" t="str">
        <x:v>C10-SYN-EQ-03</x:v>
      </x:c>
      <x:c r="H71" s="159" t="n">
        <x:v>18000000</x:v>
      </x:c>
      <x:c r="I71" s="159" t="n">
        <x:v>220000</x:v>
      </x:c>
      <x:c r="J71" s="159" t="n">
        <x:v>27000000</x:v>
      </x:c>
      <x:c r="K71" s="159" t="n">
        <x:v>330000</x:v>
      </x:c>
      <x:c r="L71" s="102" t="str">
        <x:v>是（手动）</x:v>
      </x:c>
      <x:c r="M71" s="102" t="str">
        <x:v>否</x:v>
      </x:c>
      <x:c r="N71" s="103" t="str">
        <x:v>地图BOSS证物存在明显成长需求；仅低价兜底，产量不纳入模型</x:v>
      </x:c>
    </x:row>
    <x:row r="72">
      <x:c r="A72" s="101" t="str">
        <x:v>王宫断冠片</x:v>
      </x:c>
      <x:c r="B72" s="102" t="str">
        <x:v>C10</x:v>
      </x:c>
      <x:c r="C72" s="102" t="str">
        <x:v>王城罗德尔</x:v>
      </x:c>
      <x:c r="D72" s="102" t="str">
        <x:v>守关BOSS证物</x:v>
      </x:c>
      <x:c r="E72" s="102" t="n">
        <x:v>971</x:v>
      </x:c>
      <x:c r="F72" s="102" t="n">
        <x:v>6462</x:v>
      </x:c>
      <x:c r="G72" s="102" t="str">
        <x:v>C10-SYN-EQ-01、C10-SYN-TT-01、C10-REBIRTH-16、C10-REBIRTH-17、C10-REBIRTH-18、C10-...</x:v>
      </x:c>
      <x:c r="H72" s="159" t="n">
        <x:v>35000000</x:v>
      </x:c>
      <x:c r="I72" s="159" t="n">
        <x:v>420000</x:v>
      </x:c>
      <x:c r="J72" s="159" t="n">
        <x:v>52500000</x:v>
      </x:c>
      <x:c r="K72" s="159" t="n">
        <x:v>630000</x:v>
      </x:c>
      <x:c r="L72" s="102" t="str">
        <x:v>是（手动）</x:v>
      </x:c>
      <x:c r="M72" s="102" t="str">
        <x:v>否</x:v>
      </x:c>
      <x:c r="N72" s="103" t="str">
        <x:v>守关BOSS证物存在明显成长需求；仅低价兜底，产量不纳入模型</x:v>
      </x:c>
    </x:row>
    <x:row r="73">
      <x:c r="A73" s="101" t="str">
        <x:v>西境风痕碑拓</x:v>
      </x:c>
      <x:c r="B73" s="102" t="str">
        <x:v>C03</x:v>
      </x:c>
      <x:c r="C73" s="102" t="str">
        <x:v>宁姆格福西域</x:v>
      </x:c>
      <x:c r="D73" s="102" t="str">
        <x:v>大陆收藏材料</x:v>
      </x:c>
      <x:c r="E73" s="102" t="n">
        <x:v>972</x:v>
      </x:c>
      <x:c r="F73" s="102" t="str">
        <x:v>待分配</x:v>
      </x:c>
      <x:c r="G73" s="102" t="str">
        <x:v>图鉴页面登记时消耗1件</x:v>
      </x:c>
      <x:c r="H73" s="159" t="n">
        <x:v>376000000</x:v>
      </x:c>
      <x:c r="I73" s="159" t="n">
        <x:v>3300000</x:v>
      </x:c>
      <x:c r="J73" s="159" t="n">
        <x:v>564000000</x:v>
      </x:c>
      <x:c r="K73" s="159" t="n">
        <x:v>4950000</x:v>
      </x:c>
      <x:c r="L73" s="102" t="str">
        <x:v>是（手动）</x:v>
      </x:c>
      <x:c r="M73" s="102" t="str">
        <x:v>否</x:v>
      </x:c>
      <x:c r="N73" s="103" t="str">
        <x:v>极低爆高价值图鉴材料；高额兜底回收，默认不勾选，产量不纳入模型</x:v>
      </x:c>
    </x:row>
    <x:row r="74">
      <x:c r="A74" s="101" t="str">
        <x:v>月潮忆珀</x:v>
      </x:c>
      <x:c r="B74" s="102" t="str">
        <x:v>C04</x:v>
      </x:c>
      <x:c r="C74" s="102" t="str">
        <x:v>利耶尼亚海域</x:v>
      </x:c>
      <x:c r="D74" s="102" t="str">
        <x:v>大陆收藏材料</x:v>
      </x:c>
      <x:c r="E74" s="102" t="n">
        <x:v>973</x:v>
      </x:c>
      <x:c r="F74" s="102" t="str">
        <x:v>待分配</x:v>
      </x:c>
      <x:c r="G74" s="102" t="str">
        <x:v>图鉴页面登记时消耗1件</x:v>
      </x:c>
      <x:c r="H74" s="159" t="n">
        <x:v>624000000</x:v>
      </x:c>
      <x:c r="I74" s="159" t="n">
        <x:v>6500000</x:v>
      </x:c>
      <x:c r="J74" s="159" t="n">
        <x:v>936000000</x:v>
      </x:c>
      <x:c r="K74" s="159" t="n">
        <x:v>9750000</x:v>
      </x:c>
      <x:c r="L74" s="102" t="str">
        <x:v>是（手动）</x:v>
      </x:c>
      <x:c r="M74" s="102" t="str">
        <x:v>否</x:v>
      </x:c>
      <x:c r="N74" s="103" t="str">
        <x:v>极低爆高价值图鉴材料；高额兜底回收，默认不勾选，产量不纳入模型</x:v>
      </x:c>
    </x:row>
    <x:row r="75">
      <x:c r="A75" s="101" t="str">
        <x:v>湖心月谱残章</x:v>
      </x:c>
      <x:c r="B75" s="102" t="str">
        <x:v>C05</x:v>
      </x:c>
      <x:c r="C75" s="102" t="str">
        <x:v>湖之利耶尼亚</x:v>
      </x:c>
      <x:c r="D75" s="102" t="str">
        <x:v>大陆收藏材料</x:v>
      </x:c>
      <x:c r="E75" s="102" t="n">
        <x:v>974</x:v>
      </x:c>
      <x:c r="F75" s="102" t="str">
        <x:v>待分配</x:v>
      </x:c>
      <x:c r="G75" s="102" t="str">
        <x:v>图鉴页面登记时消耗1件</x:v>
      </x:c>
      <x:c r="H75" s="159" t="n">
        <x:v>1070000000</x:v>
      </x:c>
      <x:c r="I75" s="159" t="n">
        <x:v>13000000</x:v>
      </x:c>
      <x:c r="J75" s="159" t="n">
        <x:v>1605000000</x:v>
      </x:c>
      <x:c r="K75" s="159" t="n">
        <x:v>19500000</x:v>
      </x:c>
      <x:c r="L75" s="102" t="str">
        <x:v>是（手动）</x:v>
      </x:c>
      <x:c r="M75" s="102" t="str">
        <x:v>否</x:v>
      </x:c>
      <x:c r="N75" s="103" t="str">
        <x:v>极低爆高价值图鉴材料；高额兜底回收，默认不勾选，产量不纳入模型</x:v>
      </x:c>
    </x:row>
    <x:row r="76">
      <x:c r="A76" s="101" t="str">
        <x:v>熔原罪火残章</x:v>
      </x:c>
      <x:c r="B76" s="102" t="str">
        <x:v>C06</x:v>
      </x:c>
      <x:c r="C76" s="102" t="str">
        <x:v>盖利德</x:v>
      </x:c>
      <x:c r="D76" s="102" t="str">
        <x:v>大陆收藏材料</x:v>
      </x:c>
      <x:c r="E76" s="102" t="n">
        <x:v>975</x:v>
      </x:c>
      <x:c r="F76" s="102" t="str">
        <x:v>待分配</x:v>
      </x:c>
      <x:c r="G76" s="102" t="str">
        <x:v>图鉴页面登记时消耗1件</x:v>
      </x:c>
      <x:c r="H76" s="159" t="n">
        <x:v>1840000000</x:v>
      </x:c>
      <x:c r="I76" s="159" t="n">
        <x:v>16000000</x:v>
      </x:c>
      <x:c r="J76" s="159" t="n">
        <x:v>2760000000</x:v>
      </x:c>
      <x:c r="K76" s="159" t="n">
        <x:v>24000000</x:v>
      </x:c>
      <x:c r="L76" s="102" t="str">
        <x:v>是（手动）</x:v>
      </x:c>
      <x:c r="M76" s="102" t="str">
        <x:v>否</x:v>
      </x:c>
      <x:c r="N76" s="103" t="str">
        <x:v>极低爆高价值图鉴材料；高额兜底回收，默认不勾选，产量不纳入模型</x:v>
      </x:c>
    </x:row>
    <x:row r="77">
      <x:c r="A77" s="101" t="str">
        <x:v>永霜朝圣痕</x:v>
      </x:c>
      <x:c r="B77" s="102" t="str">
        <x:v>C07</x:v>
      </x:c>
      <x:c r="C77" s="102" t="str">
        <x:v>化圣雪原</x:v>
      </x:c>
      <x:c r="D77" s="102" t="str">
        <x:v>大陆收藏材料</x:v>
      </x:c>
      <x:c r="E77" s="102" t="n">
        <x:v>976</x:v>
      </x:c>
      <x:c r="F77" s="102" t="str">
        <x:v>待分配</x:v>
      </x:c>
      <x:c r="G77" s="102" t="str">
        <x:v>图鉴页面登记时消耗1件</x:v>
      </x:c>
      <x:c r="H77" s="159" t="n">
        <x:v>2860000000</x:v>
      </x:c>
      <x:c r="I77" s="159" t="n">
        <x:v>28500000</x:v>
      </x:c>
      <x:c r="J77" s="159" t="n">
        <x:v>4290000000</x:v>
      </x:c>
      <x:c r="K77" s="159" t="n">
        <x:v>42750000</x:v>
      </x:c>
      <x:c r="L77" s="102" t="str">
        <x:v>是（手动）</x:v>
      </x:c>
      <x:c r="M77" s="102" t="str">
        <x:v>否</x:v>
      </x:c>
      <x:c r="N77" s="103" t="str">
        <x:v>极低爆高价值图鉴材料；高额兜底回收，默认不勾选，产量不纳入模型</x:v>
      </x:c>
    </x:row>
    <x:row r="78">
      <x:c r="A78" s="101" t="str">
        <x:v>穹霜碑珀</x:v>
      </x:c>
      <x:c r="B78" s="102" t="str">
        <x:v>C08</x:v>
      </x:c>
      <x:c r="C78" s="102" t="str">
        <x:v>巨人山顶</x:v>
      </x:c>
      <x:c r="D78" s="102" t="str">
        <x:v>大陆收藏材料</x:v>
      </x:c>
      <x:c r="E78" s="102" t="n">
        <x:v>977</x:v>
      </x:c>
      <x:c r="F78" s="102" t="str">
        <x:v>待分配</x:v>
      </x:c>
      <x:c r="G78" s="102" t="str">
        <x:v>图鉴页面登记时消耗1件</x:v>
      </x:c>
      <x:c r="H78" s="159" t="n">
        <x:v>4280000000</x:v>
      </x:c>
      <x:c r="I78" s="159" t="n">
        <x:v>37000000</x:v>
      </x:c>
      <x:c r="J78" s="159" t="n">
        <x:v>6420000000</x:v>
      </x:c>
      <x:c r="K78" s="159" t="n">
        <x:v>55500000</x:v>
      </x:c>
      <x:c r="L78" s="102" t="str">
        <x:v>是（手动）</x:v>
      </x:c>
      <x:c r="M78" s="102" t="str">
        <x:v>否</x:v>
      </x:c>
      <x:c r="N78" s="103" t="str">
        <x:v>极低爆高价值图鉴材料；高额兜底回收，默认不勾选，产量不纳入模型</x:v>
      </x:c>
    </x:row>
    <x:row r="79">
      <x:c r="A79" s="101" t="str">
        <x:v>古坛鎏叶髓</x:v>
      </x:c>
      <x:c r="B79" s="102" t="str">
        <x:v>C09</x:v>
      </x:c>
      <x:c r="C79" s="102" t="str">
        <x:v>亚坛高原</x:v>
      </x:c>
      <x:c r="D79" s="102" t="str">
        <x:v>大陆收藏材料</x:v>
      </x:c>
      <x:c r="E79" s="102" t="n">
        <x:v>978</x:v>
      </x:c>
      <x:c r="F79" s="102" t="str">
        <x:v>待分配</x:v>
      </x:c>
      <x:c r="G79" s="102" t="str">
        <x:v>图鉴页面登记时消耗1件</x:v>
      </x:c>
      <x:c r="H79" s="159" t="n">
        <x:v>5440000000</x:v>
      </x:c>
      <x:c r="I79" s="159" t="n">
        <x:v>76000000</x:v>
      </x:c>
      <x:c r="J79" s="159" t="n">
        <x:v>8160000000</x:v>
      </x:c>
      <x:c r="K79" s="159" t="n">
        <x:v>114000000</x:v>
      </x:c>
      <x:c r="L79" s="102" t="str">
        <x:v>是（手动）</x:v>
      </x:c>
      <x:c r="M79" s="102" t="str">
        <x:v>否</x:v>
      </x:c>
      <x:c r="N79" s="103" t="str">
        <x:v>极低爆高价值图鉴材料；高额兜底回收，默认不勾选，产量不纳入模型</x:v>
      </x:c>
    </x:row>
    <x:row r="80">
      <x:c r="A80" s="101" t="str">
        <x:v>穹律鎏痕拓片</x:v>
      </x:c>
      <x:c r="B80" s="102" t="str">
        <x:v>C10</x:v>
      </x:c>
      <x:c r="C80" s="102" t="str">
        <x:v>王城罗德尔</x:v>
      </x:c>
      <x:c r="D80" s="102" t="str">
        <x:v>大陆收藏材料</x:v>
      </x:c>
      <x:c r="E80" s="102" t="n">
        <x:v>979</x:v>
      </x:c>
      <x:c r="F80" s="102" t="str">
        <x:v>待分配</x:v>
      </x:c>
      <x:c r="G80" s="102" t="str">
        <x:v>图鉴页面登记时消耗1件</x:v>
      </x:c>
      <x:c r="H80" s="159" t="n">
        <x:v>8000000000</x:v>
      </x:c>
      <x:c r="I80" s="159" t="n">
        <x:v>96000000</x:v>
      </x:c>
      <x:c r="J80" s="159" t="n">
        <x:v>12000000000</x:v>
      </x:c>
      <x:c r="K80" s="159" t="n">
        <x:v>144000000</x:v>
      </x:c>
      <x:c r="L80" s="102" t="str">
        <x:v>是（手动）</x:v>
      </x:c>
      <x:c r="M80" s="102" t="str">
        <x:v>否</x:v>
      </x:c>
      <x:c r="N80" s="103" t="str">
        <x:v>极低爆高价值图鉴材料；高额兜底回收，默认不勾选，产量不纳入模型</x:v>
      </x:c>
    </x:row>
    <x:row r="81">
      <x:c r="A81" s="101" t="str">
        <x:v>技能残页</x:v>
      </x:c>
      <x:c r="B81" s="102" t="str">
        <x:v>C01</x:v>
      </x:c>
      <x:c r="C81" s="102" t="str">
        <x:v>漂流群岛</x:v>
      </x:c>
      <x:c r="D81" s="102" t="str">
        <x:v>技能材料</x:v>
      </x:c>
      <x:c r="E81" s="102" t="str"/>
      <x:c r="F81" s="102" t="str"/>
      <x:c r="G81" s="102" t="str">
        <x:v>基础技能1—9级强化</x:v>
      </x:c>
      <x:c r="H81" s="159" t="n">
        <x:v>2500000</x:v>
      </x:c>
      <x:c r="I81" s="159" t="n">
        <x:v>20000</x:v>
      </x:c>
      <x:c r="J81" s="159" t="n">
        <x:v>3750000</x:v>
      </x:c>
      <x:c r="K81" s="159" t="n">
        <x:v>30000</x:v>
      </x:c>
      <x:c r="L81" s="102" t="str">
        <x:v>是（手动）</x:v>
      </x:c>
      <x:c r="M81" s="102" t="str">
        <x:v>否</x:v>
      </x:c>
      <x:c r="N81" s="103" t="str">
        <x:v>基础技能材料，低价兜底，不计入产出</x:v>
      </x:c>
    </x:row>
    <x:row r="82">
      <x:c r="A82" s="101" t="str">
        <x:v>小卢恩</x:v>
      </x:c>
      <x:c r="B82" s="102" t="str">
        <x:v>全服</x:v>
      </x:c>
      <x:c r="C82" s="102" t="str">
        <x:v>全服</x:v>
      </x:c>
      <x:c r="D82" s="102" t="str">
        <x:v>转生材料</x:v>
      </x:c>
      <x:c r="E82" s="102" t="str"/>
      <x:c r="F82" s="102" t="str"/>
      <x:c r="G82" s="102" t="str">
        <x:v>1—5转；阶段完成后余量可回收</x:v>
      </x:c>
      <x:c r="H82" s="159" t="n">
        <x:v>20000000</x:v>
      </x:c>
      <x:c r="I82" s="159" t="n">
        <x:v>200000</x:v>
      </x:c>
      <x:c r="J82" s="159" t="n">
        <x:v>30000000</x:v>
      </x:c>
      <x:c r="K82" s="159" t="n">
        <x:v>300000</x:v>
      </x:c>
      <x:c r="L82" s="102" t="str">
        <x:v>是（手动）</x:v>
      </x:c>
      <x:c r="M82" s="102" t="str">
        <x:v>否</x:v>
      </x:c>
      <x:c r="N82" s="103" t="str">
        <x:v>完成1—5转后余量可回收；不计入本大陆产出</x:v>
      </x:c>
    </x:row>
    <x:row r="83">
      <x:c r="A83" s="101" t="str">
        <x:v>大卢恩</x:v>
      </x:c>
      <x:c r="B83" s="102" t="str">
        <x:v>全服</x:v>
      </x:c>
      <x:c r="C83" s="102" t="str">
        <x:v>全服</x:v>
      </x:c>
      <x:c r="D83" s="102" t="str">
        <x:v>转生材料</x:v>
      </x:c>
      <x:c r="E83" s="102" t="str"/>
      <x:c r="F83" s="102" t="str"/>
      <x:c r="G83" s="102" t="str">
        <x:v>6—10转；阶段完成后余量可回收</x:v>
      </x:c>
      <x:c r="H83" s="159" t="n">
        <x:v>50000000</x:v>
      </x:c>
      <x:c r="I83" s="159" t="n">
        <x:v>500000</x:v>
      </x:c>
      <x:c r="J83" s="159" t="n">
        <x:v>75000000</x:v>
      </x:c>
      <x:c r="K83" s="159" t="n">
        <x:v>750000</x:v>
      </x:c>
      <x:c r="L83" s="102" t="str">
        <x:v>是（手动）</x:v>
      </x:c>
      <x:c r="M83" s="102" t="str">
        <x:v>否</x:v>
      </x:c>
      <x:c r="N83" s="103" t="str">
        <x:v>完成6—10转后余量可回收；与XXX的大卢恩按全名隔离</x:v>
      </x:c>
    </x:row>
    <x:row r="84">
      <x:c r="A84" s="101" t="str">
        <x:v>巨人熔火卢恩</x:v>
      </x:c>
      <x:c r="B84" s="102" t="str">
        <x:v>全服</x:v>
      </x:c>
      <x:c r="C84" s="102" t="str">
        <x:v>全服</x:v>
      </x:c>
      <x:c r="D84" s="102" t="str">
        <x:v>转生材料</x:v>
      </x:c>
      <x:c r="E84" s="102" t="str"/>
      <x:c r="F84" s="102" t="str"/>
      <x:c r="G84" s="102" t="str">
        <x:v>11—15转；阶段完成后余量可回收</x:v>
      </x:c>
      <x:c r="H84" s="159" t="n">
        <x:v>200000000</x:v>
      </x:c>
      <x:c r="I84" s="159" t="n">
        <x:v>2000000</x:v>
      </x:c>
      <x:c r="J84" s="159" t="n">
        <x:v>300000000</x:v>
      </x:c>
      <x:c r="K84" s="159" t="n">
        <x:v>3000000</x:v>
      </x:c>
      <x:c r="L84" s="102" t="str">
        <x:v>是（手动）</x:v>
      </x:c>
      <x:c r="M84" s="102" t="str">
        <x:v>否</x:v>
      </x:c>
      <x:c r="N84" s="103" t="str">
        <x:v>完成11—15转后余量可回收</x:v>
      </x:c>
    </x:row>
    <x:row r="85">
      <x:c r="A85" s="104" t="str">
        <x:v>黄金律法卢恩</x:v>
      </x:c>
      <x:c r="B85" s="105" t="str">
        <x:v>全服</x:v>
      </x:c>
      <x:c r="C85" s="105" t="str">
        <x:v>全服</x:v>
      </x:c>
      <x:c r="D85" s="105" t="str">
        <x:v>转生材料</x:v>
      </x:c>
      <x:c r="E85" s="105" t="str"/>
      <x:c r="F85" s="105" t="str"/>
      <x:c r="G85" s="105" t="str">
        <x:v>16—20转；阶段完成后余量可回收</x:v>
      </x:c>
      <x:c r="H85" s="160" t="n">
        <x:v>500000000</x:v>
      </x:c>
      <x:c r="I85" s="160" t="n">
        <x:v>5000000</x:v>
      </x:c>
      <x:c r="J85" s="160" t="n">
        <x:v>750000000</x:v>
      </x:c>
      <x:c r="K85" s="160" t="n">
        <x:v>7500000</x:v>
      </x:c>
      <x:c r="L85" s="105" t="str">
        <x:v>是（手动）</x:v>
      </x:c>
      <x:c r="M85" s="105" t="str">
        <x:v>否</x:v>
      </x:c>
      <x:c r="N85" s="106" t="str">
        <x:v>完成16—20转后余量可回收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eda42125e9f44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0" hidden="0" customWidth="1"/>
    <x:col min="5" max="5" width="14" hidden="0" customWidth="1"/>
    <x:col min="6" max="6" width="65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2" hidden="0" customWidth="1"/>
    <x:col min="12" max="12" width="14" hidden="0" customWidth="1"/>
    <x:col min="13" max="13" width="38" hidden="0" customWidth="1"/>
  </x:cols>
  <x:sheetData>
    <x:row r="1" ht="28" customHeight="1">
      <x:c r="A1" s="5" t="str">
        <x:v>20套制式装备最终回收值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4" t="str">
        <x:v>原测试值全部废止。表内是基础回收值；角色总回收增加50%后，实际货币为基础值×1.5。每套8件按单件分别结算。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 ht="32" customHeight="1">
      <x:c r="A4" s="63" t="str">
        <x:v>套装序号</x:v>
      </x:c>
      <x:c r="B4" s="64" t="str">
        <x:v>大陆ID</x:v>
      </x:c>
      <x:c r="C4" s="64" t="str">
        <x:v>大陆</x:v>
      </x:c>
      <x:c r="D4" s="64" t="str">
        <x:v>分类ID</x:v>
      </x:c>
      <x:c r="E4" s="64" t="str">
        <x:v>分类名称</x:v>
      </x:c>
      <x:c r="F4" s="64" t="str">
        <x:v>装备名称（8件）</x:v>
      </x:c>
      <x:c r="G4" s="64" t="str">
        <x:v>单件基础金币</x:v>
      </x:c>
      <x:c r="H4" s="64" t="str">
        <x:v>单件基础元宝</x:v>
      </x:c>
      <x:c r="I4" s="64" t="str">
        <x:v>50%加成后金币</x:v>
      </x:c>
      <x:c r="J4" s="64" t="str">
        <x:v>50%加成后元宝</x:v>
      </x:c>
      <x:c r="K4" s="64" t="str">
        <x:v>自动回收</x:v>
      </x:c>
      <x:c r="L4" s="64" t="str">
        <x:v>计入小时产出</x:v>
      </x:c>
      <x:c r="M4" s="65" t="str">
        <x:v>备注</x:v>
      </x:c>
    </x:row>
    <x:row r="5">
      <x:c r="A5" s="98" t="n">
        <x:v>1</x:v>
      </x:c>
      <x:c r="B5" s="99" t="str">
        <x:v>C01</x:v>
      </x:c>
      <x:c r="C5" s="99" t="str">
        <x:v>漂流群岛</x:v>
      </x:c>
      <x:c r="D5" s="99" t="str">
        <x:v>A</x:v>
      </x:c>
      <x:c r="E5" s="99" t="str">
        <x:v>制式装备</x:v>
      </x:c>
      <x:c r="F5" s="99" t="str">
        <x:v>褪色旅人直剑|褪色旅人战甲|褪色旅人战盔|褪色旅人项链|褪色旅人腕甲|褪色旅人戒指|褪色旅人腰带|褪色旅人战靴</x:v>
      </x:c>
      <x:c r="G5" s="158" t="n">
        <x:v>10000000</x:v>
      </x:c>
      <x:c r="H5" s="158" t="n">
        <x:v>50000</x:v>
      </x:c>
      <x:c r="I5" s="158" t="n">
        <x:v>15000000</x:v>
      </x:c>
      <x:c r="J5" s="158" t="n">
        <x:v>75000</x:v>
      </x:c>
      <x:c r="K5" s="99" t="str">
        <x:v>是</x:v>
      </x:c>
      <x:c r="L5" s="99" t="str">
        <x:v>是</x:v>
      </x:c>
      <x:c r="M5" s="100" t="str">
        <x:v>第1套8件共享单件回收值；角色总回收增加按50%结算</x:v>
      </x:c>
    </x:row>
    <x:row r="6">
      <x:c r="A6" s="101" t="n">
        <x:v>2</x:v>
      </x:c>
      <x:c r="B6" s="102" t="str">
        <x:v>C01</x:v>
      </x:c>
      <x:c r="C6" s="102" t="str">
        <x:v>漂流群岛</x:v>
      </x:c>
      <x:c r="D6" s="102" t="str">
        <x:v>A</x:v>
      </x:c>
      <x:c r="E6" s="102" t="str">
        <x:v>制式装备</x:v>
      </x:c>
      <x:c r="F6" s="102" t="str">
        <x:v>失乡战士长剑|失乡战士战甲|失乡战士战盔|失乡战士项链|失乡战士腕甲|失乡战士戒指|失乡战士腰带|失乡战士战靴</x:v>
      </x:c>
      <x:c r="G6" s="159" t="n">
        <x:v>15000000</x:v>
      </x:c>
      <x:c r="H6" s="159" t="n">
        <x:v>75000</x:v>
      </x:c>
      <x:c r="I6" s="159" t="n">
        <x:v>22500000</x:v>
      </x:c>
      <x:c r="J6" s="159" t="n">
        <x:v>112500</x:v>
      </x:c>
      <x:c r="K6" s="102" t="str">
        <x:v>是</x:v>
      </x:c>
      <x:c r="L6" s="102" t="str">
        <x:v>是</x:v>
      </x:c>
      <x:c r="M6" s="103" t="str">
        <x:v>第2套8件共享单件回收值；角色总回收增加按50%结算</x:v>
      </x:c>
    </x:row>
    <x:row r="7">
      <x:c r="A7" s="101" t="n">
        <x:v>3</x:v>
      </x:c>
      <x:c r="B7" s="102" t="str">
        <x:v>C01</x:v>
      </x:c>
      <x:c r="C7" s="102" t="str">
        <x:v>漂流群岛</x:v>
      </x:c>
      <x:c r="D7" s="102" t="str">
        <x:v>A</x:v>
      </x:c>
      <x:c r="E7" s="102" t="str">
        <x:v>制式装备</x:v>
      </x:c>
      <x:c r="F7" s="102" t="str">
        <x:v>漂流守卫战刃|漂流守卫战甲|漂流守卫战盔|漂流守卫项链|漂流守卫腕甲|漂流守卫戒指|漂流守卫腰带|漂流守卫战靴</x:v>
      </x:c>
      <x:c r="G7" s="159" t="n">
        <x:v>22000000</x:v>
      </x:c>
      <x:c r="H7" s="159" t="n">
        <x:v>110000</x:v>
      </x:c>
      <x:c r="I7" s="159" t="n">
        <x:v>33000000</x:v>
      </x:c>
      <x:c r="J7" s="159" t="n">
        <x:v>165000</x:v>
      </x:c>
      <x:c r="K7" s="102" t="str">
        <x:v>是</x:v>
      </x:c>
      <x:c r="L7" s="102" t="str">
        <x:v>是</x:v>
      </x:c>
      <x:c r="M7" s="103" t="str">
        <x:v>第3套8件共享单件回收值；角色总回收增加按50%结算</x:v>
      </x:c>
    </x:row>
    <x:row r="8">
      <x:c r="A8" s="101" t="n">
        <x:v>4</x:v>
      </x:c>
      <x:c r="B8" s="102" t="str">
        <x:v>C01</x:v>
      </x:c>
      <x:c r="C8" s="102" t="str">
        <x:v>漂流群岛</x:v>
      </x:c>
      <x:c r="D8" s="102" t="str">
        <x:v>A</x:v>
      </x:c>
      <x:c r="E8" s="102" t="str">
        <x:v>制式装备</x:v>
      </x:c>
      <x:c r="F8" s="102" t="str">
        <x:v>断崖铁卫重剑|断崖铁卫战甲|断崖铁卫战盔|断崖铁卫项链|断崖铁卫腕甲|断崖铁卫戒指|断崖铁卫腰带|断崖铁卫战靴</x:v>
      </x:c>
      <x:c r="G8" s="159" t="n">
        <x:v>32000000</x:v>
      </x:c>
      <x:c r="H8" s="159" t="n">
        <x:v>160000</x:v>
      </x:c>
      <x:c r="I8" s="159" t="n">
        <x:v>48000000</x:v>
      </x:c>
      <x:c r="J8" s="159" t="n">
        <x:v>240000</x:v>
      </x:c>
      <x:c r="K8" s="102" t="str">
        <x:v>是</x:v>
      </x:c>
      <x:c r="L8" s="102" t="str">
        <x:v>是</x:v>
      </x:c>
      <x:c r="M8" s="103" t="str">
        <x:v>第4套8件共享单件回收值；角色总回收增加按50%结算</x:v>
      </x:c>
    </x:row>
    <x:row r="9">
      <x:c r="A9" s="101" t="n">
        <x:v>5</x:v>
      </x:c>
      <x:c r="B9" s="102" t="str">
        <x:v>C01</x:v>
      </x:c>
      <x:c r="C9" s="102" t="str">
        <x:v>漂流群岛</x:v>
      </x:c>
      <x:c r="D9" s="102" t="str">
        <x:v>A</x:v>
      </x:c>
      <x:c r="E9" s="102" t="str">
        <x:v>制式装备</x:v>
      </x:c>
      <x:c r="F9" s="102" t="str">
        <x:v>风暴骑士剑|风暴骑士战甲|风暴骑士战盔|风暴骑士项链|风暴骑士腕甲|风暴骑士戒指|风暴骑士腰带|风暴骑士战靴</x:v>
      </x:c>
      <x:c r="G9" s="159" t="n">
        <x:v>45000000</x:v>
      </x:c>
      <x:c r="H9" s="159" t="n">
        <x:v>225000</x:v>
      </x:c>
      <x:c r="I9" s="159" t="n">
        <x:v>67500000</x:v>
      </x:c>
      <x:c r="J9" s="159" t="n">
        <x:v>337500</x:v>
      </x:c>
      <x:c r="K9" s="102" t="str">
        <x:v>是</x:v>
      </x:c>
      <x:c r="L9" s="102" t="str">
        <x:v>是</x:v>
      </x:c>
      <x:c r="M9" s="103" t="str">
        <x:v>第5套8件共享单件回收值；角色总回收增加按50%结算</x:v>
      </x:c>
    </x:row>
    <x:row r="10">
      <x:c r="A10" s="101" t="n">
        <x:v>6</x:v>
      </x:c>
      <x:c r="B10" s="102" t="str">
        <x:v>C01</x:v>
      </x:c>
      <x:c r="C10" s="102" t="str">
        <x:v>漂流群岛</x:v>
      </x:c>
      <x:c r="D10" s="102" t="str">
        <x:v>A</x:v>
      </x:c>
      <x:c r="E10" s="102" t="str">
        <x:v>制式装备</x:v>
      </x:c>
      <x:c r="F10" s="102" t="str">
        <x:v>海雾战团战刃|海雾战团战甲|海雾战团战盔|海雾战团项链|海雾战团腕甲|海雾战团戒指|海雾战团腰带|海雾战团战靴</x:v>
      </x:c>
      <x:c r="G10" s="159" t="n">
        <x:v>65000000</x:v>
      </x:c>
      <x:c r="H10" s="159" t="n">
        <x:v>325000</x:v>
      </x:c>
      <x:c r="I10" s="159" t="n">
        <x:v>97500000</x:v>
      </x:c>
      <x:c r="J10" s="159" t="n">
        <x:v>487500</x:v>
      </x:c>
      <x:c r="K10" s="102" t="str">
        <x:v>是</x:v>
      </x:c>
      <x:c r="L10" s="102" t="str">
        <x:v>是</x:v>
      </x:c>
      <x:c r="M10" s="103" t="str">
        <x:v>第6套8件共享单件回收值；角色总回收增加按50%结算</x:v>
      </x:c>
    </x:row>
    <x:row r="11">
      <x:c r="A11" s="101" t="n">
        <x:v>7</x:v>
      </x:c>
      <x:c r="B11" s="102" t="str">
        <x:v>C01</x:v>
      </x:c>
      <x:c r="C11" s="102" t="str">
        <x:v>漂流群岛</x:v>
      </x:c>
      <x:c r="D11" s="102" t="str">
        <x:v>A</x:v>
      </x:c>
      <x:c r="E11" s="102" t="str">
        <x:v>制式装备</x:v>
      </x:c>
      <x:c r="F11" s="102" t="str">
        <x:v>沉船守卫古剑|沉船守卫战甲|沉船守卫战盔|沉船守卫项链|沉船守卫腕甲|沉船守卫戒指|沉船守卫腰带|沉船守卫战靴</x:v>
      </x:c>
      <x:c r="G11" s="159" t="n">
        <x:v>90000000</x:v>
      </x:c>
      <x:c r="H11" s="159" t="n">
        <x:v>450000</x:v>
      </x:c>
      <x:c r="I11" s="159" t="n">
        <x:v>135000000</x:v>
      </x:c>
      <x:c r="J11" s="159" t="n">
        <x:v>675000</x:v>
      </x:c>
      <x:c r="K11" s="102" t="str">
        <x:v>是</x:v>
      </x:c>
      <x:c r="L11" s="102" t="str">
        <x:v>是</x:v>
      </x:c>
      <x:c r="M11" s="103" t="str">
        <x:v>第7套8件共享单件回收值；角色总回收增加按50%结算</x:v>
      </x:c>
    </x:row>
    <x:row r="12">
      <x:c r="A12" s="101" t="n">
        <x:v>8</x:v>
      </x:c>
      <x:c r="B12" s="102" t="str">
        <x:v>C01</x:v>
      </x:c>
      <x:c r="C12" s="102" t="str">
        <x:v>漂流群岛</x:v>
      </x:c>
      <x:c r="D12" s="102" t="str">
        <x:v>A</x:v>
      </x:c>
      <x:c r="E12" s="102" t="str">
        <x:v>制式装备</x:v>
      </x:c>
      <x:c r="F12" s="102" t="str">
        <x:v>古礁卫士长剑|古礁卫士战甲|古礁卫士战盔|古礁卫士项链|古礁卫士腕甲|古礁卫士戒指|古礁卫士腰带|古礁卫士战靴</x:v>
      </x:c>
      <x:c r="G12" s="159" t="n">
        <x:v>125000000</x:v>
      </x:c>
      <x:c r="H12" s="159" t="n">
        <x:v>625000</x:v>
      </x:c>
      <x:c r="I12" s="159" t="n">
        <x:v>187500000</x:v>
      </x:c>
      <x:c r="J12" s="159" t="n">
        <x:v>937500</x:v>
      </x:c>
      <x:c r="K12" s="102" t="str">
        <x:v>是</x:v>
      </x:c>
      <x:c r="L12" s="102" t="str">
        <x:v>是</x:v>
      </x:c>
      <x:c r="M12" s="103" t="str">
        <x:v>第8套8件共享单件回收值；角色总回收增加按50%结算</x:v>
      </x:c>
    </x:row>
    <x:row r="13">
      <x:c r="A13" s="101" t="n">
        <x:v>9</x:v>
      </x:c>
      <x:c r="B13" s="102" t="str">
        <x:v>C01</x:v>
      </x:c>
      <x:c r="C13" s="102" t="str">
        <x:v>漂流群岛</x:v>
      </x:c>
      <x:c r="D13" s="102" t="str">
        <x:v>A</x:v>
      </x:c>
      <x:c r="E13" s="102" t="str">
        <x:v>制式装备</x:v>
      </x:c>
      <x:c r="F13" s="102" t="str">
        <x:v>失落禁卫剑|失落禁卫战甲|失落禁卫战盔|失落禁卫项链|失落禁卫腕甲|失落禁卫戒指|失落禁卫腰带|失落禁卫战靴</x:v>
      </x:c>
      <x:c r="G13" s="159" t="n">
        <x:v>170000000</x:v>
      </x:c>
      <x:c r="H13" s="159" t="n">
        <x:v>850000</x:v>
      </x:c>
      <x:c r="I13" s="159" t="n">
        <x:v>255000000</x:v>
      </x:c>
      <x:c r="J13" s="159" t="n">
        <x:v>1275000</x:v>
      </x:c>
      <x:c r="K13" s="102" t="str">
        <x:v>是</x:v>
      </x:c>
      <x:c r="L13" s="102" t="str">
        <x:v>是</x:v>
      </x:c>
      <x:c r="M13" s="103" t="str">
        <x:v>第9套8件共享单件回收值；角色总回收增加按50%结算</x:v>
      </x:c>
    </x:row>
    <x:row r="14">
      <x:c r="A14" s="101" t="n">
        <x:v>10</x:v>
      </x:c>
      <x:c r="B14" s="102" t="str">
        <x:v>C01</x:v>
      </x:c>
      <x:c r="C14" s="102" t="str">
        <x:v>漂流群岛</x:v>
      </x:c>
      <x:c r="D14" s="102" t="str">
        <x:v>A</x:v>
      </x:c>
      <x:c r="E14" s="102" t="str">
        <x:v>制式装备</x:v>
      </x:c>
      <x:c r="F14" s="102" t="str">
        <x:v>王庭侍从剑|王庭侍从战甲|王庭侍从战盔|王庭侍从项链|王庭侍从腕甲|王庭侍从戒指|王庭侍从腰带|王庭侍从战靴</x:v>
      </x:c>
      <x:c r="G14" s="159" t="n">
        <x:v>230000000</x:v>
      </x:c>
      <x:c r="H14" s="159" t="n">
        <x:v>1150000</x:v>
      </x:c>
      <x:c r="I14" s="159" t="n">
        <x:v>345000000</x:v>
      </x:c>
      <x:c r="J14" s="159" t="n">
        <x:v>1725000</x:v>
      </x:c>
      <x:c r="K14" s="102" t="str">
        <x:v>是</x:v>
      </x:c>
      <x:c r="L14" s="102" t="str">
        <x:v>是</x:v>
      </x:c>
      <x:c r="M14" s="103" t="str">
        <x:v>第10套8件共享单件回收值；角色总回收增加按50%结算</x:v>
      </x:c>
    </x:row>
    <x:row r="15">
      <x:c r="A15" s="101" t="n">
        <x:v>11</x:v>
      </x:c>
      <x:c r="B15" s="102" t="str">
        <x:v>C02</x:v>
      </x:c>
      <x:c r="C15" s="102" t="str">
        <x:v>宁姆格福</x:v>
      </x:c>
      <x:c r="D15" s="102" t="str">
        <x:v>A</x:v>
      </x:c>
      <x:c r="E15" s="102" t="str">
        <x:v>制式装备</x:v>
      </x:c>
      <x:c r="F15" s="102" t="str">
        <x:v>黄金戍卫剑|黄金戍卫战甲|黄金戍卫战盔|黄金戍卫项链|黄金戍卫腕甲|黄金戍卫戒指|黄金戍卫腰带|黄金戍卫战靴</x:v>
      </x:c>
      <x:c r="G15" s="159" t="n">
        <x:v>300000000</x:v>
      </x:c>
      <x:c r="H15" s="159" t="n">
        <x:v>1500000</x:v>
      </x:c>
      <x:c r="I15" s="159" t="n">
        <x:v>450000000</x:v>
      </x:c>
      <x:c r="J15" s="159" t="n">
        <x:v>2250000</x:v>
      </x:c>
      <x:c r="K15" s="102" t="str">
        <x:v>是</x:v>
      </x:c>
      <x:c r="L15" s="102" t="str">
        <x:v>是</x:v>
      </x:c>
      <x:c r="M15" s="103" t="str">
        <x:v>第11套8件共享单件回收值；角色总回收增加按50%结算</x:v>
      </x:c>
    </x:row>
    <x:row r="16">
      <x:c r="A16" s="101" t="n">
        <x:v>12</x:v>
      </x:c>
      <x:c r="B16" s="102" t="str">
        <x:v>C02</x:v>
      </x:c>
      <x:c r="C16" s="102" t="str">
        <x:v>宁姆格福</x:v>
      </x:c>
      <x:c r="D16" s="102" t="str">
        <x:v>A</x:v>
      </x:c>
      <x:c r="E16" s="102" t="str">
        <x:v>制式装备</x:v>
      </x:c>
      <x:c r="F16" s="102" t="str">
        <x:v>圣树先锋刃|圣树先锋战甲|圣树先锋战盔|圣树先锋项链|圣树先锋腕甲|圣树先锋戒指|圣树先锋腰带|圣树先锋战靴</x:v>
      </x:c>
      <x:c r="G16" s="159" t="n">
        <x:v>390000000</x:v>
      </x:c>
      <x:c r="H16" s="159" t="n">
        <x:v>1950000</x:v>
      </x:c>
      <x:c r="I16" s="159" t="n">
        <x:v>585000000</x:v>
      </x:c>
      <x:c r="J16" s="159" t="n">
        <x:v>2925000</x:v>
      </x:c>
      <x:c r="K16" s="102" t="str">
        <x:v>是</x:v>
      </x:c>
      <x:c r="L16" s="102" t="str">
        <x:v>是</x:v>
      </x:c>
      <x:c r="M16" s="103" t="str">
        <x:v>第12套8件共享单件回收值；角色总回收增加按50%结算</x:v>
      </x:c>
    </x:row>
    <x:row r="17">
      <x:c r="A17" s="101" t="n">
        <x:v>13</x:v>
      </x:c>
      <x:c r="B17" s="102" t="str">
        <x:v>C02</x:v>
      </x:c>
      <x:c r="C17" s="102" t="str">
        <x:v>宁姆格福</x:v>
      </x:c>
      <x:c r="D17" s="102" t="str">
        <x:v>A</x:v>
      </x:c>
      <x:c r="E17" s="102" t="str">
        <x:v>制式装备</x:v>
      </x:c>
      <x:c r="F17" s="102" t="str">
        <x:v>卢恩骑士剑|卢恩骑士战甲|卢恩骑士战盔|卢恩骑士项链|卢恩骑士腕甲|卢恩骑士戒指|卢恩骑士腰带|卢恩骑士战靴</x:v>
      </x:c>
      <x:c r="G17" s="159" t="n">
        <x:v>500000000</x:v>
      </x:c>
      <x:c r="H17" s="159" t="n">
        <x:v>2500000</x:v>
      </x:c>
      <x:c r="I17" s="159" t="n">
        <x:v>750000000</x:v>
      </x:c>
      <x:c r="J17" s="159" t="n">
        <x:v>3750000</x:v>
      </x:c>
      <x:c r="K17" s="102" t="str">
        <x:v>是</x:v>
      </x:c>
      <x:c r="L17" s="102" t="str">
        <x:v>是</x:v>
      </x:c>
      <x:c r="M17" s="103" t="str">
        <x:v>第13套8件共享单件回收值；角色总回收增加按50%结算</x:v>
      </x:c>
    </x:row>
    <x:row r="18">
      <x:c r="A18" s="101" t="n">
        <x:v>14</x:v>
      </x:c>
      <x:c r="B18" s="102" t="str">
        <x:v>C02</x:v>
      </x:c>
      <x:c r="C18" s="102" t="str">
        <x:v>宁姆格福</x:v>
      </x:c>
      <x:c r="D18" s="102" t="str">
        <x:v>A</x:v>
      </x:c>
      <x:c r="E18" s="102" t="str">
        <x:v>制式装备</x:v>
      </x:c>
      <x:c r="F18" s="102" t="str">
        <x:v>黑焰军士刃|黑焰军士战甲|黑焰军士战盔|黑焰军士项链|黑焰军士腕甲|黑焰军士戒指|黑焰军士腰带|黑焰军士战靴</x:v>
      </x:c>
      <x:c r="G18" s="159" t="n">
        <x:v>640000000</x:v>
      </x:c>
      <x:c r="H18" s="159" t="n">
        <x:v>3200000</x:v>
      </x:c>
      <x:c r="I18" s="159" t="n">
        <x:v>960000000</x:v>
      </x:c>
      <x:c r="J18" s="159" t="n">
        <x:v>4800000</x:v>
      </x:c>
      <x:c r="K18" s="102" t="str">
        <x:v>是</x:v>
      </x:c>
      <x:c r="L18" s="102" t="str">
        <x:v>是</x:v>
      </x:c>
      <x:c r="M18" s="103" t="str">
        <x:v>第14套8件共享单件回收值；角色总回收增加按50%结算</x:v>
      </x:c>
    </x:row>
    <x:row r="19">
      <x:c r="A19" s="101" t="n">
        <x:v>15</x:v>
      </x:c>
      <x:c r="B19" s="102" t="str">
        <x:v>C02</x:v>
      </x:c>
      <x:c r="C19" s="102" t="str">
        <x:v>宁姆格福</x:v>
      </x:c>
      <x:c r="D19" s="102" t="str">
        <x:v>A</x:v>
      </x:c>
      <x:c r="E19" s="102" t="str">
        <x:v>制式装备</x:v>
      </x:c>
      <x:c r="F19" s="102" t="str">
        <x:v>猩红卫士剑|猩红卫士战甲|猩红卫士战盔|猩红卫士项链|猩红卫士腕甲|猩红卫士戒指|猩红卫士腰带|猩红卫士战靴</x:v>
      </x:c>
      <x:c r="G19" s="159" t="n">
        <x:v>800000000</x:v>
      </x:c>
      <x:c r="H19" s="159" t="n">
        <x:v>4000000</x:v>
      </x:c>
      <x:c r="I19" s="159" t="n">
        <x:v>1200000000</x:v>
      </x:c>
      <x:c r="J19" s="159" t="n">
        <x:v>6000000</x:v>
      </x:c>
      <x:c r="K19" s="102" t="str">
        <x:v>是</x:v>
      </x:c>
      <x:c r="L19" s="102" t="str">
        <x:v>是</x:v>
      </x:c>
      <x:c r="M19" s="103" t="str">
        <x:v>第15套8件共享单件回收值；角色总回收增加按50%结算</x:v>
      </x:c>
    </x:row>
    <x:row r="20">
      <x:c r="A20" s="101" t="n">
        <x:v>16</x:v>
      </x:c>
      <x:c r="B20" s="102" t="str">
        <x:v>C02</x:v>
      </x:c>
      <x:c r="C20" s="102" t="str">
        <x:v>宁姆格福</x:v>
      </x:c>
      <x:c r="D20" s="102" t="str">
        <x:v>A</x:v>
      </x:c>
      <x:c r="E20" s="102" t="str">
        <x:v>制式装备</x:v>
      </x:c>
      <x:c r="F20" s="102" t="str">
        <x:v>冻原斗士刃|冻原斗士战甲|冻原斗士战盔|冻原斗士项链|冻原斗士腕甲|冻原斗士戒指|冻原斗士腰带|冻原斗士战靴</x:v>
      </x:c>
      <x:c r="G20" s="159" t="n">
        <x:v>1000000000</x:v>
      </x:c>
      <x:c r="H20" s="159" t="n">
        <x:v>5000000</x:v>
      </x:c>
      <x:c r="I20" s="159" t="n">
        <x:v>1500000000</x:v>
      </x:c>
      <x:c r="J20" s="159" t="n">
        <x:v>7500000</x:v>
      </x:c>
      <x:c r="K20" s="102" t="str">
        <x:v>是</x:v>
      </x:c>
      <x:c r="L20" s="102" t="str">
        <x:v>是</x:v>
      </x:c>
      <x:c r="M20" s="103" t="str">
        <x:v>第16套8件共享单件回收值；角色总回收增加按50%结算</x:v>
      </x:c>
    </x:row>
    <x:row r="21">
      <x:c r="A21" s="101" t="n">
        <x:v>17</x:v>
      </x:c>
      <x:c r="B21" s="102" t="str">
        <x:v>C02</x:v>
      </x:c>
      <x:c r="C21" s="102" t="str">
        <x:v>宁姆格福</x:v>
      </x:c>
      <x:c r="D21" s="102" t="str">
        <x:v>A</x:v>
      </x:c>
      <x:c r="E21" s="102" t="str">
        <x:v>制式装备</x:v>
      </x:c>
      <x:c r="F21" s="102" t="str">
        <x:v>古龙近卫剑|古龙近卫战甲|古龙近卫战盔|古龙近卫项链|古龙近卫腕甲|古龙近卫戒指|古龙近卫腰带|古龙近卫战靴</x:v>
      </x:c>
      <x:c r="G21" s="159" t="n">
        <x:v>1250000000</x:v>
      </x:c>
      <x:c r="H21" s="159" t="n">
        <x:v>6250000</x:v>
      </x:c>
      <x:c r="I21" s="159" t="n">
        <x:v>1875000000</x:v>
      </x:c>
      <x:c r="J21" s="159" t="n">
        <x:v>9375000</x:v>
      </x:c>
      <x:c r="K21" s="102" t="str">
        <x:v>是</x:v>
      </x:c>
      <x:c r="L21" s="102" t="str">
        <x:v>是</x:v>
      </x:c>
      <x:c r="M21" s="103" t="str">
        <x:v>第17套8件共享单件回收值；角色总回收增加按50%结算</x:v>
      </x:c>
    </x:row>
    <x:row r="22">
      <x:c r="A22" s="101" t="n">
        <x:v>18</x:v>
      </x:c>
      <x:c r="B22" s="102" t="str">
        <x:v>C02</x:v>
      </x:c>
      <x:c r="C22" s="102" t="str">
        <x:v>宁姆格福</x:v>
      </x:c>
      <x:c r="D22" s="102" t="str">
        <x:v>A</x:v>
      </x:c>
      <x:c r="E22" s="102" t="str">
        <x:v>制式装备</x:v>
      </x:c>
      <x:c r="F22" s="102" t="str">
        <x:v>神授征服剑|神授征服战甲|神授征服战盔|神授征服项链|神授征服腕甲|神授征服戒指|神授征服腰带|神授征服战靴</x:v>
      </x:c>
      <x:c r="G22" s="159" t="n">
        <x:v>1550000000</x:v>
      </x:c>
      <x:c r="H22" s="159" t="n">
        <x:v>7750000</x:v>
      </x:c>
      <x:c r="I22" s="159" t="n">
        <x:v>2325000000</x:v>
      </x:c>
      <x:c r="J22" s="159" t="n">
        <x:v>11625000</x:v>
      </x:c>
      <x:c r="K22" s="102" t="str">
        <x:v>是</x:v>
      </x:c>
      <x:c r="L22" s="102" t="str">
        <x:v>是</x:v>
      </x:c>
      <x:c r="M22" s="103" t="str">
        <x:v>第18套8件共享单件回收值；角色总回收增加按50%结算</x:v>
      </x:c>
    </x:row>
    <x:row r="23">
      <x:c r="A23" s="101" t="n">
        <x:v>19</x:v>
      </x:c>
      <x:c r="B23" s="102" t="str">
        <x:v>C02</x:v>
      </x:c>
      <x:c r="C23" s="102" t="str">
        <x:v>宁姆格福</x:v>
      </x:c>
      <x:c r="D23" s="102" t="str">
        <x:v>A</x:v>
      </x:c>
      <x:c r="E23" s="102" t="str">
        <x:v>制式装备</x:v>
      </x:c>
      <x:c r="F23" s="102" t="str">
        <x:v>法环禁军剑|法环禁军战甲|法环禁军战盔|法环禁军项链|法环禁军腕甲|法环禁军戒指|法环禁军腰带|法环禁军战靴</x:v>
      </x:c>
      <x:c r="G23" s="159" t="n">
        <x:v>1900000000</x:v>
      </x:c>
      <x:c r="H23" s="159" t="n">
        <x:v>9500000</x:v>
      </x:c>
      <x:c r="I23" s="159" t="n">
        <x:v>2850000000</x:v>
      </x:c>
      <x:c r="J23" s="159" t="n">
        <x:v>14250000</x:v>
      </x:c>
      <x:c r="K23" s="102" t="str">
        <x:v>是</x:v>
      </x:c>
      <x:c r="L23" s="102" t="str">
        <x:v>是</x:v>
      </x:c>
      <x:c r="M23" s="103" t="str">
        <x:v>第19套8件共享单件回收值；角色总回收增加按50%结算</x:v>
      </x:c>
    </x:row>
    <x:row r="24">
      <x:c r="A24" s="104" t="n">
        <x:v>20</x:v>
      </x:c>
      <x:c r="B24" s="105" t="str">
        <x:v>C02</x:v>
      </x:c>
      <x:c r="C24" s="105" t="str">
        <x:v>宁姆格福</x:v>
      </x:c>
      <x:c r="D24" s="105" t="str">
        <x:v>A</x:v>
      </x:c>
      <x:c r="E24" s="105" t="str">
        <x:v>制式装备</x:v>
      </x:c>
      <x:c r="F24" s="105" t="str">
        <x:v>王庭统领剑|王庭统领战甲|王庭统领战盔|王庭统领项链|王庭统领腕甲|王庭统领戒指|王庭统领腰带|王庭统领战靴</x:v>
      </x:c>
      <x:c r="G24" s="160" t="n">
        <x:v>2300000000</x:v>
      </x:c>
      <x:c r="H24" s="160" t="n">
        <x:v>11500000</x:v>
      </x:c>
      <x:c r="I24" s="160" t="n">
        <x:v>3450000000</x:v>
      </x:c>
      <x:c r="J24" s="160" t="n">
        <x:v>17250000</x:v>
      </x:c>
      <x:c r="K24" s="105" t="str">
        <x:v>是</x:v>
      </x:c>
      <x:c r="L24" s="105" t="str">
        <x:v>是</x:v>
      </x:c>
      <x:c r="M24" s="106" t="str">
        <x:v>第20套8件共享单件回收值；角色总回收增加按50%结算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ca18244458348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14" hidden="0" customWidth="1"/>
    <x:col min="9" max="9" width="16" hidden="0" customWidth="1"/>
    <x:col min="10" max="10" width="18" hidden="0" customWidth="1"/>
    <x:col min="11" max="11" width="34" hidden="0" customWidth="1"/>
    <x:col min="12" max="12" width="40" hidden="0" customWidth="1"/>
  </x:cols>
  <x:sheetData>
    <x:row r="1" ht="28" customHeight="1">
      <x:c r="A1" s="5" t="str">
        <x:v>第1—10大陆563件专属逐件分解表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4" t="str">
        <x:v>C1强制口径：普通1、稀有2、BOSS/守关5。后续大陆逐级增加。材料数量固定，不受50%回收增加影响；本次不与专属爆率闭环。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32" customHeight="1">
      <x:c r="A4" s="63" t="str">
        <x:v>大陆ID</x:v>
      </x:c>
      <x:c r="B4" s="64" t="str">
        <x:v>大陆</x:v>
      </x:c>
      <x:c r="C4" s="64" t="str">
        <x:v>地图组</x:v>
      </x:c>
      <x:c r="D4" s="64" t="str">
        <x:v>层数</x:v>
      </x:c>
      <x:c r="E4" s="64" t="str">
        <x:v>来源类型</x:v>
      </x:c>
      <x:c r="F4" s="64" t="str">
        <x:v>来源怪物</x:v>
      </x:c>
      <x:c r="G4" s="64" t="str">
        <x:v>装备名称</x:v>
      </x:c>
      <x:c r="H4" s="64" t="str">
        <x:v>部位</x:v>
      </x:c>
      <x:c r="I4" s="64" t="str">
        <x:v>回收失色锻造石</x:v>
      </x:c>
      <x:c r="J4" s="64" t="str">
        <x:v>回收增加适用</x:v>
      </x:c>
      <x:c r="K4" s="64" t="str">
        <x:v>回收方式</x:v>
      </x:c>
      <x:c r="L4" s="65" t="str">
        <x:v>备注</x:v>
      </x:c>
    </x:row>
    <x:row r="5">
      <x:c r="A5" s="98" t="str">
        <x:v>C01</x:v>
      </x:c>
      <x:c r="B5" s="99" t="str">
        <x:v>漂流群岛</x:v>
      </x:c>
      <x:c r="C5" s="99" t="str">
        <x:v>失乡者海岸</x:v>
      </x:c>
      <x:c r="D5" s="99" t="str">
        <x:v>1层</x:v>
      </x:c>
      <x:c r="E5" s="99" t="str">
        <x:v>普通</x:v>
      </x:c>
      <x:c r="F5" s="99" t="str">
        <x:v>盐蚀流民</x:v>
      </x:c>
      <x:c r="G5" s="99" t="str">
        <x:v>盐蚀弯刃</x:v>
      </x:c>
      <x:c r="H5" s="99" t="str">
        <x:v>武器</x:v>
      </x:c>
      <x:c r="I5" s="146" t="n">
        <x:v>10</x:v>
      </x:c>
      <x:c r="J5" s="99" t="str">
        <x:v>否（材料数量固定）</x:v>
      </x:c>
      <x:c r="K5" s="99" t="str">
        <x:v>仅手动分解；默认不勾选；二次确认</x:v>
      </x:c>
      <x:c r="L5" s="100" t="str">
        <x:v>专属为核心成长，制式不替代。</x:v>
      </x:c>
    </x:row>
    <x:row r="6">
      <x:c r="A6" s="101" t="str">
        <x:v>C01</x:v>
      </x:c>
      <x:c r="B6" s="102" t="str">
        <x:v>漂流群岛</x:v>
      </x:c>
      <x:c r="C6" s="102" t="str">
        <x:v>失乡者海岸</x:v>
      </x:c>
      <x:c r="D6" s="102" t="str">
        <x:v>1层</x:v>
      </x:c>
      <x:c r="E6" s="102" t="str">
        <x:v>普通</x:v>
      </x:c>
      <x:c r="F6" s="102" t="str">
        <x:v>断桨弩手</x:v>
      </x:c>
      <x:c r="G6" s="102" t="str">
        <x:v>断桨骨链</x:v>
      </x:c>
      <x:c r="H6" s="102" t="str">
        <x:v>项链</x:v>
      </x:c>
      <x:c r="I6" s="147" t="n">
        <x:v>10</x:v>
      </x:c>
      <x:c r="J6" s="102" t="str">
        <x:v>否（材料数量固定）</x:v>
      </x:c>
      <x:c r="K6" s="102" t="str">
        <x:v>仅手动分解；默认不勾选；二次确认</x:v>
      </x:c>
      <x:c r="L6" s="103" t="str">
        <x:v>专属为核心成长，制式不替代。</x:v>
      </x:c>
    </x:row>
    <x:row r="7">
      <x:c r="A7" s="101" t="str">
        <x:v>C01</x:v>
      </x:c>
      <x:c r="B7" s="102" t="str">
        <x:v>漂流群岛</x:v>
      </x:c>
      <x:c r="C7" s="102" t="str">
        <x:v>失乡者海岸</x:v>
      </x:c>
      <x:c r="D7" s="102" t="str">
        <x:v>1—2层</x:v>
      </x:c>
      <x:c r="E7" s="102" t="str">
        <x:v>普通</x:v>
      </x:c>
      <x:c r="F7" s="102" t="str">
        <x:v>漂流尸兵</x:v>
      </x:c>
      <x:c r="G7" s="102" t="str">
        <x:v>漂流尸甲</x:v>
      </x:c>
      <x:c r="H7" s="102" t="str">
        <x:v>衣服</x:v>
      </x:c>
      <x:c r="I7" s="147" t="n">
        <x:v>10</x:v>
      </x:c>
      <x:c r="J7" s="102" t="str">
        <x:v>否（材料数量固定）</x:v>
      </x:c>
      <x:c r="K7" s="102" t="str">
        <x:v>仅手动分解；默认不勾选；二次确认</x:v>
      </x:c>
      <x:c r="L7" s="103" t="str">
        <x:v>专属为核心成长，制式不替代。</x:v>
      </x:c>
    </x:row>
    <x:row r="8">
      <x:c r="A8" s="101" t="str">
        <x:v>C01</x:v>
      </x:c>
      <x:c r="B8" s="102" t="str">
        <x:v>漂流群岛</x:v>
      </x:c>
      <x:c r="C8" s="102" t="str">
        <x:v>失乡者海岸</x:v>
      </x:c>
      <x:c r="D8" s="102" t="str">
        <x:v>2层</x:v>
      </x:c>
      <x:c r="E8" s="102" t="str">
        <x:v>普通</x:v>
      </x:c>
      <x:c r="F8" s="102" t="str">
        <x:v>失乡猎犬</x:v>
      </x:c>
      <x:c r="G8" s="102" t="str">
        <x:v>猎犬骨戒</x:v>
      </x:c>
      <x:c r="H8" s="102" t="str">
        <x:v>戒指</x:v>
      </x:c>
      <x:c r="I8" s="147" t="n">
        <x:v>10</x:v>
      </x:c>
      <x:c r="J8" s="102" t="str">
        <x:v>否（材料数量固定）</x:v>
      </x:c>
      <x:c r="K8" s="102" t="str">
        <x:v>仅手动分解；默认不勾选；二次确认</x:v>
      </x:c>
      <x:c r="L8" s="103" t="str">
        <x:v>专属为核心成长，制式不替代。</x:v>
      </x:c>
    </x:row>
    <x:row r="9">
      <x:c r="A9" s="101" t="str">
        <x:v>C01</x:v>
      </x:c>
      <x:c r="B9" s="102" t="str">
        <x:v>漂流群岛</x:v>
      </x:c>
      <x:c r="C9" s="102" t="str">
        <x:v>失乡者海岸</x:v>
      </x:c>
      <x:c r="D9" s="102" t="str">
        <x:v>2—3层</x:v>
      </x:c>
      <x:c r="E9" s="102" t="str">
        <x:v>普通</x:v>
      </x:c>
      <x:c r="F9" s="102" t="str">
        <x:v>腐潮巨蟹</x:v>
      </x:c>
      <x:c r="G9" s="102" t="str">
        <x:v>腐潮钳镯</x:v>
      </x:c>
      <x:c r="H9" s="102" t="str">
        <x:v>手镯</x:v>
      </x:c>
      <x:c r="I9" s="147" t="n">
        <x:v>10</x:v>
      </x:c>
      <x:c r="J9" s="102" t="str">
        <x:v>否（材料数量固定）</x:v>
      </x:c>
      <x:c r="K9" s="102" t="str">
        <x:v>仅手动分解；默认不勾选；二次确认</x:v>
      </x:c>
      <x:c r="L9" s="103" t="str">
        <x:v>专属为核心成长，制式不替代。</x:v>
      </x:c>
    </x:row>
    <x:row r="10">
      <x:c r="A10" s="101" t="str">
        <x:v>C01</x:v>
      </x:c>
      <x:c r="B10" s="102" t="str">
        <x:v>漂流群岛</x:v>
      </x:c>
      <x:c r="C10" s="102" t="str">
        <x:v>失乡者海岸</x:v>
      </x:c>
      <x:c r="D10" s="102" t="str">
        <x:v>1—2层</x:v>
      </x:c>
      <x:c r="E10" s="102" t="str">
        <x:v>稀有</x:v>
      </x:c>
      <x:c r="F10" s="102" t="str">
        <x:v>铁锚行刑者</x:v>
      </x:c>
      <x:c r="G10" s="102" t="str">
        <x:v>行刑锚刃</x:v>
      </x:c>
      <x:c r="H10" s="102" t="str">
        <x:v>武器</x:v>
      </x:c>
      <x:c r="I10" s="147" t="n">
        <x:v>20</x:v>
      </x:c>
      <x:c r="J10" s="102" t="str">
        <x:v>否（材料数量固定）</x:v>
      </x:c>
      <x:c r="K10" s="102" t="str">
        <x:v>仅手动分解；默认不勾选；二次确认</x:v>
      </x:c>
      <x:c r="L10" s="103" t="str">
        <x:v>专属为核心成长，制式不替代。</x:v>
      </x:c>
    </x:row>
    <x:row r="11">
      <x:c r="A11" s="101" t="str">
        <x:v>C01</x:v>
      </x:c>
      <x:c r="B11" s="102" t="str">
        <x:v>漂流群岛</x:v>
      </x:c>
      <x:c r="C11" s="102" t="str">
        <x:v>失乡者海岸</x:v>
      </x:c>
      <x:c r="D11" s="102" t="str">
        <x:v>2层</x:v>
      </x:c>
      <x:c r="E11" s="102" t="str">
        <x:v>稀有</x:v>
      </x:c>
      <x:c r="F11" s="102" t="str">
        <x:v>唤潮祷师</x:v>
      </x:c>
      <x:c r="G11" s="102" t="str">
        <x:v>唤潮旧勋</x:v>
      </x:c>
      <x:c r="H11" s="102" t="str">
        <x:v>勋章</x:v>
      </x:c>
      <x:c r="I11" s="147" t="n">
        <x:v>20</x:v>
      </x:c>
      <x:c r="J11" s="102" t="str">
        <x:v>否（材料数量固定）</x:v>
      </x:c>
      <x:c r="K11" s="102" t="str">
        <x:v>仅手动分解；默认不勾选；二次确认</x:v>
      </x:c>
      <x:c r="L11" s="103" t="str">
        <x:v>专属为核心成长，制式不替代。</x:v>
      </x:c>
    </x:row>
    <x:row r="12">
      <x:c r="A12" s="101" t="str">
        <x:v>C01</x:v>
      </x:c>
      <x:c r="B12" s="102" t="str">
        <x:v>漂流群岛</x:v>
      </x:c>
      <x:c r="C12" s="102" t="str">
        <x:v>失乡者海岸</x:v>
      </x:c>
      <x:c r="D12" s="102" t="str">
        <x:v>2—3层</x:v>
      </x:c>
      <x:c r="E12" s="102" t="str">
        <x:v>稀有</x:v>
      </x:c>
      <x:c r="F12" s="102" t="str">
        <x:v>沉船守财者</x:v>
      </x:c>
      <x:c r="G12" s="102" t="str">
        <x:v>沉金铁盔</x:v>
      </x:c>
      <x:c r="H12" s="102" t="str">
        <x:v>头盔</x:v>
      </x:c>
      <x:c r="I12" s="147" t="n">
        <x:v>20</x:v>
      </x:c>
      <x:c r="J12" s="102" t="str">
        <x:v>否（材料数量固定）</x:v>
      </x:c>
      <x:c r="K12" s="102" t="str">
        <x:v>仅手动分解；默认不勾选；二次确认</x:v>
      </x:c>
      <x:c r="L12" s="103" t="str">
        <x:v>专属为核心成长，制式不替代。</x:v>
      </x:c>
    </x:row>
    <x:row r="13">
      <x:c r="A13" s="101" t="str">
        <x:v>C01</x:v>
      </x:c>
      <x:c r="B13" s="102" t="str">
        <x:v>漂流群岛</x:v>
      </x:c>
      <x:c r="C13" s="102" t="str">
        <x:v>失乡者海岸</x:v>
      </x:c>
      <x:c r="D13" s="102" t="str">
        <x:v>3层</x:v>
      </x:c>
      <x:c r="E13" s="102" t="str">
        <x:v>稀有</x:v>
      </x:c>
      <x:c r="F13" s="102" t="str">
        <x:v>海雾骑士</x:v>
      </x:c>
      <x:c r="G13" s="102" t="str">
        <x:v>海雾塔盾</x:v>
      </x:c>
      <x:c r="H13" s="102" t="str">
        <x:v>盾牌</x:v>
      </x:c>
      <x:c r="I13" s="147" t="n">
        <x:v>20</x:v>
      </x:c>
      <x:c r="J13" s="102" t="str">
        <x:v>否（材料数量固定）</x:v>
      </x:c>
      <x:c r="K13" s="102" t="str">
        <x:v>仅手动分解；默认不勾选；二次确认</x:v>
      </x:c>
      <x:c r="L13" s="103" t="str">
        <x:v>专属为核心成长，制式不替代。</x:v>
      </x:c>
    </x:row>
    <x:row r="14">
      <x:c r="A14" s="101" t="str">
        <x:v>C01</x:v>
      </x:c>
      <x:c r="B14" s="102" t="str">
        <x:v>漂流群岛</x:v>
      </x:c>
      <x:c r="C14" s="102" t="str">
        <x:v>失乡者海岸</x:v>
      </x:c>
      <x:c r="D14" s="102" t="str">
        <x:v>2层</x:v>
      </x:c>
      <x:c r="E14" s="102" t="str">
        <x:v>BOSS</x:v>
      </x:c>
      <x:c r="F14" s="102" t="str">
        <x:v>断桅船长·赫恩</x:v>
      </x:c>
      <x:c r="G14" s="102" t="str">
        <x:v>断桅血刃</x:v>
      </x:c>
      <x:c r="H14" s="102" t="str">
        <x:v>武器</x:v>
      </x:c>
      <x:c r="I14" s="147" t="n">
        <x:v>50</x:v>
      </x:c>
      <x:c r="J14" s="102" t="str">
        <x:v>否（材料数量固定）</x:v>
      </x:c>
      <x:c r="K14" s="102" t="str">
        <x:v>仅手动分解；默认不勾选；二次确认</x:v>
      </x:c>
      <x:c r="L14" s="103" t="str">
        <x:v>专属为核心成长，制式不替代。</x:v>
      </x:c>
    </x:row>
    <x:row r="15">
      <x:c r="A15" s="101" t="str">
        <x:v>C01</x:v>
      </x:c>
      <x:c r="B15" s="102" t="str">
        <x:v>漂流群岛</x:v>
      </x:c>
      <x:c r="C15" s="102" t="str">
        <x:v>失乡者海岸</x:v>
      </x:c>
      <x:c r="D15" s="102" t="str">
        <x:v>3层</x:v>
      </x:c>
      <x:c r="E15" s="102" t="str">
        <x:v>BOSS</x:v>
      </x:c>
      <x:c r="F15" s="102" t="str">
        <x:v>吞岸巨兽·格拉姆</x:v>
      </x:c>
      <x:c r="G15" s="102" t="str">
        <x:v>吞岸重甲</x:v>
      </x:c>
      <x:c r="H15" s="102" t="str">
        <x:v>衣服</x:v>
      </x:c>
      <x:c r="I15" s="147" t="n">
        <x:v>50</x:v>
      </x:c>
      <x:c r="J15" s="102" t="str">
        <x:v>否（材料数量固定）</x:v>
      </x:c>
      <x:c r="K15" s="102" t="str">
        <x:v>仅手动分解；默认不勾选；二次确认</x:v>
      </x:c>
      <x:c r="L15" s="103" t="str">
        <x:v>专属为核心成长，制式不替代。</x:v>
      </x:c>
    </x:row>
    <x:row r="16">
      <x:c r="A16" s="101" t="str">
        <x:v>C01</x:v>
      </x:c>
      <x:c r="B16" s="102" t="str">
        <x:v>漂流群岛</x:v>
      </x:c>
      <x:c r="C16" s="102" t="str">
        <x:v>风暴断崖</x:v>
      </x:c>
      <x:c r="D16" s="102" t="str">
        <x:v>1—4层</x:v>
      </x:c>
      <x:c r="E16" s="102" t="str">
        <x:v>普通</x:v>
      </x:c>
      <x:c r="F16" s="102" t="str">
        <x:v>风蚀守卫</x:v>
      </x:c>
      <x:c r="G16" s="102" t="str">
        <x:v>风蚀盔</x:v>
      </x:c>
      <x:c r="H16" s="102" t="str">
        <x:v>头盔</x:v>
      </x:c>
      <x:c r="I16" s="147" t="n">
        <x:v>10</x:v>
      </x:c>
      <x:c r="J16" s="102" t="str">
        <x:v>否（材料数量固定）</x:v>
      </x:c>
      <x:c r="K16" s="102" t="str">
        <x:v>仅手动分解；默认不勾选；二次确认</x:v>
      </x:c>
      <x:c r="L16" s="103" t="str">
        <x:v>专属为核心成长，制式不替代。</x:v>
      </x:c>
    </x:row>
    <x:row r="17">
      <x:c r="A17" s="101" t="str">
        <x:v>C01</x:v>
      </x:c>
      <x:c r="B17" s="102" t="str">
        <x:v>漂流群岛</x:v>
      </x:c>
      <x:c r="C17" s="102" t="str">
        <x:v>风暴断崖</x:v>
      </x:c>
      <x:c r="D17" s="102" t="str">
        <x:v>1—4层</x:v>
      </x:c>
      <x:c r="E17" s="102" t="str">
        <x:v>普通</x:v>
      </x:c>
      <x:c r="F17" s="102" t="str">
        <x:v>断崖弩手</x:v>
      </x:c>
      <x:c r="G17" s="102" t="str">
        <x:v>鹰眼链</x:v>
      </x:c>
      <x:c r="H17" s="102" t="str">
        <x:v>项链</x:v>
      </x:c>
      <x:c r="I17" s="147" t="n">
        <x:v>10</x:v>
      </x:c>
      <x:c r="J17" s="102" t="str">
        <x:v>否（材料数量固定）</x:v>
      </x:c>
      <x:c r="K17" s="102" t="str">
        <x:v>仅手动分解；默认不勾选；二次确认</x:v>
      </x:c>
      <x:c r="L17" s="103" t="str">
        <x:v>专属为核心成长，制式不替代。</x:v>
      </x:c>
    </x:row>
    <x:row r="18">
      <x:c r="A18" s="101" t="str">
        <x:v>C01</x:v>
      </x:c>
      <x:c r="B18" s="102" t="str">
        <x:v>漂流群岛</x:v>
      </x:c>
      <x:c r="C18" s="102" t="str">
        <x:v>风暴断崖</x:v>
      </x:c>
      <x:c r="D18" s="102" t="str">
        <x:v>1—4层</x:v>
      </x:c>
      <x:c r="E18" s="102" t="str">
        <x:v>普通</x:v>
      </x:c>
      <x:c r="F18" s="102" t="str">
        <x:v>雷羽鹰</x:v>
      </x:c>
      <x:c r="G18" s="102" t="str">
        <x:v>雷羽护腕</x:v>
      </x:c>
      <x:c r="H18" s="102" t="str">
        <x:v>手镯</x:v>
      </x:c>
      <x:c r="I18" s="147" t="n">
        <x:v>10</x:v>
      </x:c>
      <x:c r="J18" s="102" t="str">
        <x:v>否（材料数量固定）</x:v>
      </x:c>
      <x:c r="K18" s="102" t="str">
        <x:v>仅手动分解；默认不勾选；二次确认</x:v>
      </x:c>
      <x:c r="L18" s="103" t="str">
        <x:v>专属为核心成长，制式不替代。</x:v>
      </x:c>
    </x:row>
    <x:row r="19">
      <x:c r="A19" s="101" t="str">
        <x:v>C01</x:v>
      </x:c>
      <x:c r="B19" s="102" t="str">
        <x:v>漂流群岛</x:v>
      </x:c>
      <x:c r="C19" s="102" t="str">
        <x:v>风暴断崖</x:v>
      </x:c>
      <x:c r="D19" s="102" t="str">
        <x:v>2—4层</x:v>
      </x:c>
      <x:c r="E19" s="102" t="str">
        <x:v>普通</x:v>
      </x:c>
      <x:c r="F19" s="102" t="str">
        <x:v>狂风战奴</x:v>
      </x:c>
      <x:c r="G19" s="102" t="str">
        <x:v>狂风骨戒</x:v>
      </x:c>
      <x:c r="H19" s="102" t="str">
        <x:v>戒指</x:v>
      </x:c>
      <x:c r="I19" s="147" t="n">
        <x:v>10</x:v>
      </x:c>
      <x:c r="J19" s="102" t="str">
        <x:v>否（材料数量固定）</x:v>
      </x:c>
      <x:c r="K19" s="102" t="str">
        <x:v>仅手动分解；默认不勾选；二次确认</x:v>
      </x:c>
      <x:c r="L19" s="103" t="str">
        <x:v>专属为核心成长，制式不替代。</x:v>
      </x:c>
    </x:row>
    <x:row r="20">
      <x:c r="A20" s="101" t="str">
        <x:v>C01</x:v>
      </x:c>
      <x:c r="B20" s="102" t="str">
        <x:v>漂流群岛</x:v>
      </x:c>
      <x:c r="C20" s="102" t="str">
        <x:v>风暴断崖</x:v>
      </x:c>
      <x:c r="D20" s="102" t="str">
        <x:v>2—4层</x:v>
      </x:c>
      <x:c r="E20" s="102" t="str">
        <x:v>普通</x:v>
      </x:c>
      <x:c r="F20" s="102" t="str">
        <x:v>坠崖亡兵</x:v>
      </x:c>
      <x:c r="G20" s="102" t="str">
        <x:v>断崖束带</x:v>
      </x:c>
      <x:c r="H20" s="102" t="str">
        <x:v>腰带</x:v>
      </x:c>
      <x:c r="I20" s="147" t="n">
        <x:v>10</x:v>
      </x:c>
      <x:c r="J20" s="102" t="str">
        <x:v>否（材料数量固定）</x:v>
      </x:c>
      <x:c r="K20" s="102" t="str">
        <x:v>仅手动分解；默认不勾选；二次确认</x:v>
      </x:c>
      <x:c r="L20" s="103" t="str">
        <x:v>专属为核心成长，制式不替代。</x:v>
      </x:c>
    </x:row>
    <x:row r="21">
      <x:c r="A21" s="101" t="str">
        <x:v>C01</x:v>
      </x:c>
      <x:c r="B21" s="102" t="str">
        <x:v>漂流群岛</x:v>
      </x:c>
      <x:c r="C21" s="102" t="str">
        <x:v>风暴断崖</x:v>
      </x:c>
      <x:c r="D21" s="102" t="str">
        <x:v>3—4层</x:v>
      </x:c>
      <x:c r="E21" s="102" t="str">
        <x:v>普通</x:v>
      </x:c>
      <x:c r="F21" s="102" t="str">
        <x:v>崖穴石蜥</x:v>
      </x:c>
      <x:c r="G21" s="102" t="str">
        <x:v>石蜥面巾</x:v>
      </x:c>
      <x:c r="H21" s="102" t="str">
        <x:v>斗笠</x:v>
      </x:c>
      <x:c r="I21" s="147" t="n">
        <x:v>10</x:v>
      </x:c>
      <x:c r="J21" s="102" t="str">
        <x:v>否（材料数量固定）</x:v>
      </x:c>
      <x:c r="K21" s="102" t="str">
        <x:v>仅手动分解；默认不勾选；二次确认</x:v>
      </x:c>
      <x:c r="L21" s="103" t="str">
        <x:v>专属为核心成长，制式不替代。</x:v>
      </x:c>
    </x:row>
    <x:row r="22">
      <x:c r="A22" s="101" t="str">
        <x:v>C01</x:v>
      </x:c>
      <x:c r="B22" s="102" t="str">
        <x:v>漂流群岛</x:v>
      </x:c>
      <x:c r="C22" s="102" t="str">
        <x:v>风暴断崖</x:v>
      </x:c>
      <x:c r="D22" s="102" t="str">
        <x:v>1—2层</x:v>
      </x:c>
      <x:c r="E22" s="102" t="str">
        <x:v>稀有</x:v>
      </x:c>
      <x:c r="F22" s="102" t="str">
        <x:v>逐雷骑士</x:v>
      </x:c>
      <x:c r="G22" s="102" t="str">
        <x:v>逐雷战靴</x:v>
      </x:c>
      <x:c r="H22" s="102" t="str">
        <x:v>鞋子</x:v>
      </x:c>
      <x:c r="I22" s="147" t="n">
        <x:v>20</x:v>
      </x:c>
      <x:c r="J22" s="102" t="str">
        <x:v>否（材料数量固定）</x:v>
      </x:c>
      <x:c r="K22" s="102" t="str">
        <x:v>仅手动分解；默认不勾选；二次确认</x:v>
      </x:c>
      <x:c r="L22" s="103" t="str">
        <x:v>专属为核心成长，制式不替代。</x:v>
      </x:c>
    </x:row>
    <x:row r="23">
      <x:c r="A23" s="101" t="str">
        <x:v>C01</x:v>
      </x:c>
      <x:c r="B23" s="102" t="str">
        <x:v>漂流群岛</x:v>
      </x:c>
      <x:c r="C23" s="102" t="str">
        <x:v>风暴断崖</x:v>
      </x:c>
      <x:c r="D23" s="102" t="str">
        <x:v>2—3层</x:v>
      </x:c>
      <x:c r="E23" s="102" t="str">
        <x:v>稀有</x:v>
      </x:c>
      <x:c r="F23" s="102" t="str">
        <x:v>风暴祭司</x:v>
      </x:c>
      <x:c r="G23" s="102" t="str">
        <x:v>风暴勋章</x:v>
      </x:c>
      <x:c r="H23" s="102" t="str">
        <x:v>勋章</x:v>
      </x:c>
      <x:c r="I23" s="147" t="n">
        <x:v>20</x:v>
      </x:c>
      <x:c r="J23" s="102" t="str">
        <x:v>否（材料数量固定）</x:v>
      </x:c>
      <x:c r="K23" s="102" t="str">
        <x:v>仅手动分解；默认不勾选；二次确认</x:v>
      </x:c>
      <x:c r="L23" s="103" t="str">
        <x:v>专属为核心成长，制式不替代。</x:v>
      </x:c>
    </x:row>
    <x:row r="24">
      <x:c r="A24" s="101" t="str">
        <x:v>C01</x:v>
      </x:c>
      <x:c r="B24" s="102" t="str">
        <x:v>漂流群岛</x:v>
      </x:c>
      <x:c r="C24" s="102" t="str">
        <x:v>风暴断崖</x:v>
      </x:c>
      <x:c r="D24" s="102" t="str">
        <x:v>3—4层</x:v>
      </x:c>
      <x:c r="E24" s="102" t="str">
        <x:v>稀有</x:v>
      </x:c>
      <x:c r="F24" s="102" t="str">
        <x:v>裂岩巨人</x:v>
      </x:c>
      <x:c r="G24" s="102" t="str">
        <x:v>裂岩巨盾</x:v>
      </x:c>
      <x:c r="H24" s="102" t="str">
        <x:v>盾牌</x:v>
      </x:c>
      <x:c r="I24" s="147" t="n">
        <x:v>20</x:v>
      </x:c>
      <x:c r="J24" s="102" t="str">
        <x:v>否（材料数量固定）</x:v>
      </x:c>
      <x:c r="K24" s="102" t="str">
        <x:v>仅手动分解；默认不勾选；二次确认</x:v>
      </x:c>
      <x:c r="L24" s="103" t="str">
        <x:v>专属为核心成长，制式不替代。</x:v>
      </x:c>
    </x:row>
    <x:row r="25">
      <x:c r="A25" s="101" t="str">
        <x:v>C01</x:v>
      </x:c>
      <x:c r="B25" s="102" t="str">
        <x:v>漂流群岛</x:v>
      </x:c>
      <x:c r="C25" s="102" t="str">
        <x:v>风暴断崖</x:v>
      </x:c>
      <x:c r="D25" s="102" t="str">
        <x:v>4层</x:v>
      </x:c>
      <x:c r="E25" s="102" t="str">
        <x:v>稀有</x:v>
      </x:c>
      <x:c r="F25" s="102" t="str">
        <x:v>黑翼猎杀者</x:v>
      </x:c>
      <x:c r="G25" s="102" t="str">
        <x:v>黑翼灵玉</x:v>
      </x:c>
      <x:c r="H25" s="102" t="str">
        <x:v>灵玉</x:v>
      </x:c>
      <x:c r="I25" s="147" t="n">
        <x:v>20</x:v>
      </x:c>
      <x:c r="J25" s="102" t="str">
        <x:v>否（材料数量固定）</x:v>
      </x:c>
      <x:c r="K25" s="102" t="str">
        <x:v>仅手动分解；默认不勾选；二次确认</x:v>
      </x:c>
      <x:c r="L25" s="103" t="str">
        <x:v>专属为核心成长，制式不替代。</x:v>
      </x:c>
    </x:row>
    <x:row r="26">
      <x:c r="A26" s="101" t="str">
        <x:v>C01</x:v>
      </x:c>
      <x:c r="B26" s="102" t="str">
        <x:v>漂流群岛</x:v>
      </x:c>
      <x:c r="C26" s="102" t="str">
        <x:v>风暴断崖</x:v>
      </x:c>
      <x:c r="D26" s="102" t="str">
        <x:v>3层</x:v>
      </x:c>
      <x:c r="E26" s="102" t="str">
        <x:v>BOSS</x:v>
      </x:c>
      <x:c r="F26" s="102" t="str">
        <x:v>风暴执刑官·巴鲁克</x:v>
      </x:c>
      <x:c r="G26" s="102" t="str">
        <x:v>执刑雷刃</x:v>
      </x:c>
      <x:c r="H26" s="102" t="str">
        <x:v>武器</x:v>
      </x:c>
      <x:c r="I26" s="147" t="n">
        <x:v>50</x:v>
      </x:c>
      <x:c r="J26" s="102" t="str">
        <x:v>否（材料数量固定）</x:v>
      </x:c>
      <x:c r="K26" s="102" t="str">
        <x:v>仅手动分解；默认不勾选；二次确认</x:v>
      </x:c>
      <x:c r="L26" s="103" t="str">
        <x:v>专属为核心成长，制式不替代。</x:v>
      </x:c>
    </x:row>
    <x:row r="27">
      <x:c r="A27" s="101" t="str">
        <x:v>C01</x:v>
      </x:c>
      <x:c r="B27" s="102" t="str">
        <x:v>漂流群岛</x:v>
      </x:c>
      <x:c r="C27" s="102" t="str">
        <x:v>风暴断崖</x:v>
      </x:c>
      <x:c r="D27" s="102" t="str">
        <x:v>4层</x:v>
      </x:c>
      <x:c r="E27" s="102" t="str">
        <x:v>BOSS</x:v>
      </x:c>
      <x:c r="F27" s="102" t="str">
        <x:v>断崖古龙·赛尔</x:v>
      </x:c>
      <x:c r="G27" s="102" t="str">
        <x:v>古龙风铠</x:v>
      </x:c>
      <x:c r="H27" s="102" t="str">
        <x:v>衣服</x:v>
      </x:c>
      <x:c r="I27" s="147" t="n">
        <x:v>50</x:v>
      </x:c>
      <x:c r="J27" s="102" t="str">
        <x:v>否（材料数量固定）</x:v>
      </x:c>
      <x:c r="K27" s="102" t="str">
        <x:v>仅手动分解；默认不勾选；二次确认</x:v>
      </x:c>
      <x:c r="L27" s="103" t="str">
        <x:v>专属为核心成长，制式不替代。</x:v>
      </x:c>
    </x:row>
    <x:row r="28">
      <x:c r="A28" s="101" t="str">
        <x:v>C01</x:v>
      </x:c>
      <x:c r="B28" s="102" t="str">
        <x:v>漂流群岛</x:v>
      </x:c>
      <x:c r="C28" s="102" t="str">
        <x:v>沉没王庭</x:v>
      </x:c>
      <x:c r="D28" s="102" t="str">
        <x:v>1—3层</x:v>
      </x:c>
      <x:c r="E28" s="102" t="str">
        <x:v>普通</x:v>
      </x:c>
      <x:c r="F28" s="102" t="str">
        <x:v>溺亡禁卫</x:v>
      </x:c>
      <x:c r="G28" s="102" t="str">
        <x:v>溺亡王盔</x:v>
      </x:c>
      <x:c r="H28" s="102" t="str">
        <x:v>头盔</x:v>
      </x:c>
      <x:c r="I28" s="147" t="n">
        <x:v>10</x:v>
      </x:c>
      <x:c r="J28" s="102" t="str">
        <x:v>否（材料数量固定）</x:v>
      </x:c>
      <x:c r="K28" s="102" t="str">
        <x:v>仅手动分解；默认不勾选；二次确认</x:v>
      </x:c>
      <x:c r="L28" s="103" t="str">
        <x:v>专属为核心成长，制式不替代。</x:v>
      </x:c>
    </x:row>
    <x:row r="29">
      <x:c r="A29" s="101" t="str">
        <x:v>C01</x:v>
      </x:c>
      <x:c r="B29" s="102" t="str">
        <x:v>漂流群岛</x:v>
      </x:c>
      <x:c r="C29" s="102" t="str">
        <x:v>沉没王庭</x:v>
      </x:c>
      <x:c r="D29" s="102" t="str">
        <x:v>1—3层</x:v>
      </x:c>
      <x:c r="E29" s="102" t="str">
        <x:v>普通</x:v>
      </x:c>
      <x:c r="F29" s="102" t="str">
        <x:v>沉宫侍从</x:v>
      </x:c>
      <x:c r="G29" s="102" t="str">
        <x:v>沉宫项链</x:v>
      </x:c>
      <x:c r="H29" s="102" t="str">
        <x:v>项链</x:v>
      </x:c>
      <x:c r="I29" s="147" t="n">
        <x:v>10</x:v>
      </x:c>
      <x:c r="J29" s="102" t="str">
        <x:v>否（材料数量固定）</x:v>
      </x:c>
      <x:c r="K29" s="102" t="str">
        <x:v>仅手动分解；默认不勾选；二次确认</x:v>
      </x:c>
      <x:c r="L29" s="103" t="str">
        <x:v>专属为核心成长，制式不替代。</x:v>
      </x:c>
    </x:row>
    <x:row r="30">
      <x:c r="A30" s="101" t="str">
        <x:v>C01</x:v>
      </x:c>
      <x:c r="B30" s="102" t="str">
        <x:v>漂流群岛</x:v>
      </x:c>
      <x:c r="C30" s="102" t="str">
        <x:v>沉没王庭</x:v>
      </x:c>
      <x:c r="D30" s="102" t="str">
        <x:v>1—3层</x:v>
      </x:c>
      <x:c r="E30" s="102" t="str">
        <x:v>普通</x:v>
      </x:c>
      <x:c r="F30" s="102" t="str">
        <x:v>苔甲骑兵</x:v>
      </x:c>
      <x:c r="G30" s="102" t="str">
        <x:v>苔痕护腕</x:v>
      </x:c>
      <x:c r="H30" s="102" t="str">
        <x:v>手镯</x:v>
      </x:c>
      <x:c r="I30" s="147" t="n">
        <x:v>10</x:v>
      </x:c>
      <x:c r="J30" s="102" t="str">
        <x:v>否（材料数量固定）</x:v>
      </x:c>
      <x:c r="K30" s="102" t="str">
        <x:v>仅手动分解；默认不勾选；二次确认</x:v>
      </x:c>
      <x:c r="L30" s="103" t="str">
        <x:v>专属为核心成长，制式不替代。</x:v>
      </x:c>
    </x:row>
    <x:row r="31">
      <x:c r="A31" s="101" t="str">
        <x:v>C01</x:v>
      </x:c>
      <x:c r="B31" s="102" t="str">
        <x:v>漂流群岛</x:v>
      </x:c>
      <x:c r="C31" s="102" t="str">
        <x:v>沉没王庭</x:v>
      </x:c>
      <x:c r="D31" s="102" t="str">
        <x:v>2—3层</x:v>
      </x:c>
      <x:c r="E31" s="102" t="str">
        <x:v>普通</x:v>
      </x:c>
      <x:c r="F31" s="102" t="str">
        <x:v>王庭咒师</x:v>
      </x:c>
      <x:c r="G31" s="102" t="str">
        <x:v>王庭秘戒</x:v>
      </x:c>
      <x:c r="H31" s="102" t="str">
        <x:v>戒指</x:v>
      </x:c>
      <x:c r="I31" s="147" t="n">
        <x:v>10</x:v>
      </x:c>
      <x:c r="J31" s="102" t="str">
        <x:v>否（材料数量固定）</x:v>
      </x:c>
      <x:c r="K31" s="102" t="str">
        <x:v>仅手动分解；默认不勾选；二次确认</x:v>
      </x:c>
      <x:c r="L31" s="103" t="str">
        <x:v>专属为核心成长，制式不替代。</x:v>
      </x:c>
    </x:row>
    <x:row r="32">
      <x:c r="A32" s="101" t="str">
        <x:v>C01</x:v>
      </x:c>
      <x:c r="B32" s="102" t="str">
        <x:v>漂流群岛</x:v>
      </x:c>
      <x:c r="C32" s="102" t="str">
        <x:v>沉没王庭</x:v>
      </x:c>
      <x:c r="D32" s="102" t="str">
        <x:v>2—3层</x:v>
      </x:c>
      <x:c r="E32" s="102" t="str">
        <x:v>普通</x:v>
      </x:c>
      <x:c r="F32" s="102" t="str">
        <x:v>深水石像</x:v>
      </x:c>
      <x:c r="G32" s="102" t="str">
        <x:v>深水束带</x:v>
      </x:c>
      <x:c r="H32" s="102" t="str">
        <x:v>腰带</x:v>
      </x:c>
      <x:c r="I32" s="147" t="n">
        <x:v>10</x:v>
      </x:c>
      <x:c r="J32" s="102" t="str">
        <x:v>否（材料数量固定）</x:v>
      </x:c>
      <x:c r="K32" s="102" t="str">
        <x:v>仅手动分解；默认不勾选；二次确认</x:v>
      </x:c>
      <x:c r="L32" s="103" t="str">
        <x:v>专属为核心成长，制式不替代。</x:v>
      </x:c>
    </x:row>
    <x:row r="33">
      <x:c r="A33" s="101" t="str">
        <x:v>C01</x:v>
      </x:c>
      <x:c r="B33" s="102" t="str">
        <x:v>漂流群岛</x:v>
      </x:c>
      <x:c r="C33" s="102" t="str">
        <x:v>沉没王庭</x:v>
      </x:c>
      <x:c r="D33" s="102" t="str">
        <x:v>3层</x:v>
      </x:c>
      <x:c r="E33" s="102" t="str">
        <x:v>普通</x:v>
      </x:c>
      <x:c r="F33" s="102" t="str">
        <x:v>幽灯侍者</x:v>
      </x:c>
      <x:c r="G33" s="102" t="str">
        <x:v>幽灯面巾</x:v>
      </x:c>
      <x:c r="H33" s="102" t="str">
        <x:v>斗笠</x:v>
      </x:c>
      <x:c r="I33" s="147" t="n">
        <x:v>10</x:v>
      </x:c>
      <x:c r="J33" s="102" t="str">
        <x:v>否（材料数量固定）</x:v>
      </x:c>
      <x:c r="K33" s="102" t="str">
        <x:v>仅手动分解；默认不勾选；二次确认</x:v>
      </x:c>
      <x:c r="L33" s="103" t="str">
        <x:v>专属为核心成长，制式不替代。</x:v>
      </x:c>
    </x:row>
    <x:row r="34">
      <x:c r="A34" s="101" t="str">
        <x:v>C01</x:v>
      </x:c>
      <x:c r="B34" s="102" t="str">
        <x:v>漂流群岛</x:v>
      </x:c>
      <x:c r="C34" s="102" t="str">
        <x:v>沉没王庭</x:v>
      </x:c>
      <x:c r="D34" s="102" t="str">
        <x:v>1—2层</x:v>
      </x:c>
      <x:c r="E34" s="102" t="str">
        <x:v>稀有</x:v>
      </x:c>
      <x:c r="F34" s="102" t="str">
        <x:v>失冠王子</x:v>
      </x:c>
      <x:c r="G34" s="102" t="str">
        <x:v>失冠战靴</x:v>
      </x:c>
      <x:c r="H34" s="102" t="str">
        <x:v>鞋子</x:v>
      </x:c>
      <x:c r="I34" s="147" t="n">
        <x:v>20</x:v>
      </x:c>
      <x:c r="J34" s="102" t="str">
        <x:v>否（材料数量固定）</x:v>
      </x:c>
      <x:c r="K34" s="102" t="str">
        <x:v>仅手动分解；默认不勾选；二次确认</x:v>
      </x:c>
      <x:c r="L34" s="103" t="str">
        <x:v>专属为核心成长，制式不替代。</x:v>
      </x:c>
    </x:row>
    <x:row r="35">
      <x:c r="A35" s="101" t="str">
        <x:v>C01</x:v>
      </x:c>
      <x:c r="B35" s="102" t="str">
        <x:v>漂流群岛</x:v>
      </x:c>
      <x:c r="C35" s="102" t="str">
        <x:v>沉没王庭</x:v>
      </x:c>
      <x:c r="D35" s="102" t="str">
        <x:v>2—3层</x:v>
      </x:c>
      <x:c r="E35" s="102" t="str">
        <x:v>稀有</x:v>
      </x:c>
      <x:c r="F35" s="102" t="str">
        <x:v>深渊看守</x:v>
      </x:c>
      <x:c r="G35" s="102" t="str">
        <x:v>深渊勋章</x:v>
      </x:c>
      <x:c r="H35" s="102" t="str">
        <x:v>勋章</x:v>
      </x:c>
      <x:c r="I35" s="147" t="n">
        <x:v>20</x:v>
      </x:c>
      <x:c r="J35" s="102" t="str">
        <x:v>否（材料数量固定）</x:v>
      </x:c>
      <x:c r="K35" s="102" t="str">
        <x:v>仅手动分解；默认不勾选；二次确认</x:v>
      </x:c>
      <x:c r="L35" s="103" t="str">
        <x:v>专属为核心成长，制式不替代。</x:v>
      </x:c>
    </x:row>
    <x:row r="36">
      <x:c r="A36" s="101" t="str">
        <x:v>C01</x:v>
      </x:c>
      <x:c r="B36" s="102" t="str">
        <x:v>漂流群岛</x:v>
      </x:c>
      <x:c r="C36" s="102" t="str">
        <x:v>沉没王庭</x:v>
      </x:c>
      <x:c r="D36" s="102" t="str">
        <x:v>3层</x:v>
      </x:c>
      <x:c r="E36" s="102" t="str">
        <x:v>稀有</x:v>
      </x:c>
      <x:c r="F36" s="102" t="str">
        <x:v>王庭裁决官</x:v>
      </x:c>
      <x:c r="G36" s="102" t="str">
        <x:v>裁决王盾</x:v>
      </x:c>
      <x:c r="H36" s="102" t="str">
        <x:v>盾牌</x:v>
      </x:c>
      <x:c r="I36" s="147" t="n">
        <x:v>20</x:v>
      </x:c>
      <x:c r="J36" s="102" t="str">
        <x:v>否（材料数量固定）</x:v>
      </x:c>
      <x:c r="K36" s="102" t="str">
        <x:v>仅手动分解；默认不勾选；二次确认</x:v>
      </x:c>
      <x:c r="L36" s="103" t="str">
        <x:v>专属为核心成长，制式不替代。</x:v>
      </x:c>
    </x:row>
    <x:row r="37">
      <x:c r="A37" s="101" t="str">
        <x:v>C01</x:v>
      </x:c>
      <x:c r="B37" s="102" t="str">
        <x:v>漂流群岛</x:v>
      </x:c>
      <x:c r="C37" s="102" t="str">
        <x:v>沉没王庭</x:v>
      </x:c>
      <x:c r="D37" s="102" t="str">
        <x:v>3层</x:v>
      </x:c>
      <x:c r="E37" s="102" t="str">
        <x:v>稀有</x:v>
      </x:c>
      <x:c r="F37" s="102" t="str">
        <x:v>沉默女祭司</x:v>
      </x:c>
      <x:c r="G37" s="102" t="str">
        <x:v>沉默灵玉</x:v>
      </x:c>
      <x:c r="H37" s="102" t="str">
        <x:v>灵玉</x:v>
      </x:c>
      <x:c r="I37" s="147" t="n">
        <x:v>20</x:v>
      </x:c>
      <x:c r="J37" s="102" t="str">
        <x:v>否（材料数量固定）</x:v>
      </x:c>
      <x:c r="K37" s="102" t="str">
        <x:v>仅手动分解；默认不勾选；二次确认</x:v>
      </x:c>
      <x:c r="L37" s="103" t="str">
        <x:v>专属为核心成长，制式不替代。</x:v>
      </x:c>
    </x:row>
    <x:row r="38">
      <x:c r="A38" s="101" t="str">
        <x:v>C01</x:v>
      </x:c>
      <x:c r="B38" s="102" t="str">
        <x:v>漂流群岛</x:v>
      </x:c>
      <x:c r="C38" s="102" t="str">
        <x:v>沉没王庭</x:v>
      </x:c>
      <x:c r="D38" s="102" t="str">
        <x:v>2层</x:v>
      </x:c>
      <x:c r="E38" s="102" t="str">
        <x:v>BOSS</x:v>
      </x:c>
      <x:c r="F38" s="102" t="str">
        <x:v>溺王亲卫长·萨恩</x:v>
      </x:c>
      <x:c r="G38" s="102" t="str">
        <x:v>亲卫王剑</x:v>
      </x:c>
      <x:c r="H38" s="102" t="str">
        <x:v>武器</x:v>
      </x:c>
      <x:c r="I38" s="147" t="n">
        <x:v>50</x:v>
      </x:c>
      <x:c r="J38" s="102" t="str">
        <x:v>否（材料数量固定）</x:v>
      </x:c>
      <x:c r="K38" s="102" t="str">
        <x:v>仅手动分解；默认不勾选；二次确认</x:v>
      </x:c>
      <x:c r="L38" s="103" t="str">
        <x:v>专属为核心成长，制式不替代。</x:v>
      </x:c>
    </x:row>
    <x:row r="39">
      <x:c r="A39" s="101" t="str">
        <x:v>C01</x:v>
      </x:c>
      <x:c r="B39" s="102" t="str">
        <x:v>漂流群岛</x:v>
      </x:c>
      <x:c r="C39" s="102" t="str">
        <x:v>沉没王庭</x:v>
      </x:c>
      <x:c r="D39" s="102" t="str">
        <x:v>3层</x:v>
      </x:c>
      <x:c r="E39" s="102" t="str">
        <x:v>BOSS</x:v>
      </x:c>
      <x:c r="F39" s="102" t="str">
        <x:v>深潮大祭司·伊莱娜</x:v>
      </x:c>
      <x:c r="G39" s="102" t="str">
        <x:v>深潮王铠</x:v>
      </x:c>
      <x:c r="H39" s="102" t="str">
        <x:v>衣服</x:v>
      </x:c>
      <x:c r="I39" s="147" t="n">
        <x:v>50</x:v>
      </x:c>
      <x:c r="J39" s="102" t="str">
        <x:v>否（材料数量固定）</x:v>
      </x:c>
      <x:c r="K39" s="102" t="str">
        <x:v>仅手动分解；默认不勾选；二次确认</x:v>
      </x:c>
      <x:c r="L39" s="103" t="str">
        <x:v>专属为核心成长，制式不替代。</x:v>
      </x:c>
    </x:row>
    <x:row r="40">
      <x:c r="A40" s="101" t="str">
        <x:v>C01</x:v>
      </x:c>
      <x:c r="B40" s="102" t="str">
        <x:v>漂流群岛</x:v>
      </x:c>
      <x:c r="C40" s="102" t="str">
        <x:v>沉没王庭</x:v>
      </x:c>
      <x:c r="D40" s="102" t="str">
        <x:v>4层</x:v>
      </x:c>
      <x:c r="E40" s="102" t="str">
        <x:v>守关BOSS</x:v>
      </x:c>
      <x:c r="F40" s="102" t="str">
        <x:v>沉没之王·奥德里安</x:v>
      </x:c>
      <x:c r="G40" s="102" t="str">
        <x:v>沉没王权</x:v>
      </x:c>
      <x:c r="H40" s="102" t="str">
        <x:v>武器</x:v>
      </x:c>
      <x:c r="I40" s="147" t="n">
        <x:v>50</x:v>
      </x:c>
      <x:c r="J40" s="102" t="str">
        <x:v>否（材料数量固定）</x:v>
      </x:c>
      <x:c r="K40" s="102" t="str">
        <x:v>仅手动分解；默认不勾选；二次确认</x:v>
      </x:c>
      <x:c r="L40" s="103" t="str">
        <x:v>专属为核心成长，制式不替代。</x:v>
      </x:c>
    </x:row>
    <x:row r="41">
      <x:c r="A41" s="101" t="str">
        <x:v>C01</x:v>
      </x:c>
      <x:c r="B41" s="102" t="str">
        <x:v>漂流群岛</x:v>
      </x:c>
      <x:c r="C41" s="102" t="str">
        <x:v>沉没王庭</x:v>
      </x:c>
      <x:c r="D41" s="102" t="str">
        <x:v>4层</x:v>
      </x:c>
      <x:c r="E41" s="102" t="str">
        <x:v>守关BOSS</x:v>
      </x:c>
      <x:c r="F41" s="102" t="str">
        <x:v>沉没之王·奥德里安</x:v>
      </x:c>
      <x:c r="G41" s="102" t="str">
        <x:v>潮葬礼剑</x:v>
      </x:c>
      <x:c r="H41" s="102" t="str">
        <x:v>时装武器</x:v>
      </x:c>
      <x:c r="I41" s="147" t="n">
        <x:v>50</x:v>
      </x:c>
      <x:c r="J41" s="102" t="str">
        <x:v>否（材料数量固定）</x:v>
      </x:c>
      <x:c r="K41" s="102" t="str">
        <x:v>仅手动分解；默认不勾选；二次确认</x:v>
      </x:c>
      <x:c r="L41" s="103" t="str">
        <x:v>两件时装具体单件基础约1/500。</x:v>
      </x:c>
    </x:row>
    <x:row r="42">
      <x:c r="A42" s="101" t="str">
        <x:v>C01</x:v>
      </x:c>
      <x:c r="B42" s="102" t="str">
        <x:v>漂流群岛</x:v>
      </x:c>
      <x:c r="C42" s="102" t="str">
        <x:v>沉没王庭</x:v>
      </x:c>
      <x:c r="D42" s="102" t="str">
        <x:v>4层</x:v>
      </x:c>
      <x:c r="E42" s="102" t="str">
        <x:v>守关BOSS</x:v>
      </x:c>
      <x:c r="F42" s="102" t="str">
        <x:v>沉没之王·奥德里安</x:v>
      </x:c>
      <x:c r="G42" s="102" t="str">
        <x:v>无冠王衣</x:v>
      </x:c>
      <x:c r="H42" s="102" t="str">
        <x:v>时装衣服</x:v>
      </x:c>
      <x:c r="I42" s="147" t="n">
        <x:v>50</x:v>
      </x:c>
      <x:c r="J42" s="102" t="str">
        <x:v>否（材料数量固定）</x:v>
      </x:c>
      <x:c r="K42" s="102" t="str">
        <x:v>仅手动分解；默认不勾选；二次确认</x:v>
      </x:c>
      <x:c r="L42" s="103" t="str">
        <x:v>两件时装具体单件基础约1/500。</x:v>
      </x:c>
    </x:row>
    <x:row r="43">
      <x:c r="A43" s="101" t="str">
        <x:v>C02</x:v>
      </x:c>
      <x:c r="B43" s="102" t="str">
        <x:v>宁姆格福</x:v>
      </x:c>
      <x:c r="C43" s="102" t="str">
        <x:v>漂流墓地</x:v>
      </x:c>
      <x:c r="D43" s="102" t="str">
        <x:v>1层</x:v>
      </x:c>
      <x:c r="E43" s="102" t="str">
        <x:v>普通</x:v>
      </x:c>
      <x:c r="F43" s="102" t="str">
        <x:v>褪色墓卒</x:v>
      </x:c>
      <x:c r="G43" s="102" t="str">
        <x:v>褪色墓刃</x:v>
      </x:c>
      <x:c r="H43" s="102" t="str">
        <x:v>武器</x:v>
      </x:c>
      <x:c r="I43" s="147" t="n">
        <x:v>20</x:v>
      </x:c>
      <x:c r="J43" s="102" t="str">
        <x:v>否（材料数量固定）</x:v>
      </x:c>
      <x:c r="K43" s="102" t="str">
        <x:v>仅手动分解；默认不勾选；二次确认</x:v>
      </x:c>
      <x:c r="L43" s="103" t="str">
        <x:v>褪色墓卒专属。刃背刻着归乡日期，年月却早于墓卒出生。后来盗墓者在封门石后找到褪色墓刃，石上只刻着“褪色墓卒归乡”，却没有死亡年月。</x:v>
      </x:c>
    </x:row>
    <x:row r="44">
      <x:c r="A44" s="101" t="str">
        <x:v>C02</x:v>
      </x:c>
      <x:c r="B44" s="102" t="str">
        <x:v>宁姆格福</x:v>
      </x:c>
      <x:c r="C44" s="102" t="str">
        <x:v>漂流墓地</x:v>
      </x:c>
      <x:c r="D44" s="102" t="str">
        <x:v>1层</x:v>
      </x:c>
      <x:c r="E44" s="102" t="str">
        <x:v>普通</x:v>
      </x:c>
      <x:c r="F44" s="102" t="str">
        <x:v>漂泊腐尸</x:v>
      </x:c>
      <x:c r="G44" s="102" t="str">
        <x:v>漂腐寿衣</x:v>
      </x:c>
      <x:c r="H44" s="102" t="str">
        <x:v>衣服</x:v>
      </x:c>
      <x:c r="I44" s="147" t="n">
        <x:v>20</x:v>
      </x:c>
      <x:c r="J44" s="102" t="str">
        <x:v>否（材料数量固定）</x:v>
      </x:c>
      <x:c r="K44" s="102" t="str">
        <x:v>仅手动分解；默认不勾选；二次确认</x:v>
      </x:c>
      <x:c r="L44" s="103" t="str">
        <x:v>漂泊腐尸专属。寿衣的针脚会在夜里自行收紧，像怕尸体再次离开棺椁。墓道每逢退潮便传出金属摩擦声，据说是漂泊腐尸仍在寻找被夺走的漂腐寿衣。</x:v>
      </x:c>
    </x:row>
    <x:row r="45">
      <x:c r="A45" s="101" t="str">
        <x:v>C02</x:v>
      </x:c>
      <x:c r="B45" s="102" t="str">
        <x:v>宁姆格福</x:v>
      </x:c>
      <x:c r="C45" s="102" t="str">
        <x:v>漂流墓地</x:v>
      </x:c>
      <x:c r="D45" s="102" t="str">
        <x:v>1层、2层</x:v>
      </x:c>
      <x:c r="E45" s="102" t="str">
        <x:v>普通</x:v>
      </x:c>
      <x:c r="F45" s="102" t="str">
        <x:v>墓穴尖牙鬼</x:v>
      </x:c>
      <x:c r="G45" s="102" t="str">
        <x:v>尖牙骨链</x:v>
      </x:c>
      <x:c r="H45" s="102" t="str">
        <x:v>项链</x:v>
      </x:c>
      <x:c r="I45" s="147" t="n">
        <x:v>20</x:v>
      </x:c>
      <x:c r="J45" s="102" t="str">
        <x:v>否（材料数量固定）</x:v>
      </x:c>
      <x:c r="K45" s="102" t="str">
        <x:v>仅手动分解；默认不勾选；二次确认</x:v>
      </x:c>
      <x:c r="L45" s="103" t="str">
        <x:v>墓穴尖牙鬼专属。每颗尖牙都来自一位试图从墓道爬出去的人。守墓人把尖牙骨链封进空棺，第二天棺盖却从里面被推开，地上只剩通往深处的湿脚印。</x:v>
      </x:c>
    </x:row>
    <x:row r="46">
      <x:c r="A46" s="101" t="str">
        <x:v>C02</x:v>
      </x:c>
      <x:c r="B46" s="102" t="str">
        <x:v>宁姆格福</x:v>
      </x:c>
      <x:c r="C46" s="102" t="str">
        <x:v>漂流墓地</x:v>
      </x:c>
      <x:c r="D46" s="102" t="str">
        <x:v>1层、2层</x:v>
      </x:c>
      <x:c r="E46" s="102" t="str">
        <x:v>普通</x:v>
      </x:c>
      <x:c r="F46" s="102" t="str">
        <x:v>石肤守墓人</x:v>
      </x:c>
      <x:c r="G46" s="102" t="str">
        <x:v>守墓石盔</x:v>
      </x:c>
      <x:c r="H46" s="102" t="str">
        <x:v>头盔</x:v>
      </x:c>
      <x:c r="I46" s="147" t="n">
        <x:v>20</x:v>
      </x:c>
      <x:c r="J46" s="102" t="str">
        <x:v>否（材料数量固定）</x:v>
      </x:c>
      <x:c r="K46" s="102" t="str">
        <x:v>仅手动分解；默认不勾选；二次确认</x:v>
      </x:c>
      <x:c r="L46" s="103" t="str">
        <x:v>石肤守墓人专属。石盔内侧仍留着看守者额头撞出的血痕。后来盗墓者在封门石后找到守墓石盔，石上只刻着“石肤守墓人归乡”，却没有死亡年月。</x:v>
      </x:c>
    </x:row>
    <x:row r="47">
      <x:c r="A47" s="101" t="str">
        <x:v>C02</x:v>
      </x:c>
      <x:c r="B47" s="102" t="str">
        <x:v>宁姆格福</x:v>
      </x:c>
      <x:c r="C47" s="102" t="str">
        <x:v>漂流墓地</x:v>
      </x:c>
      <x:c r="D47" s="102" t="str">
        <x:v>2层、3层</x:v>
      </x:c>
      <x:c r="E47" s="102" t="str">
        <x:v>普通</x:v>
      </x:c>
      <x:c r="F47" s="102" t="str">
        <x:v>失乡弩尸</x:v>
      </x:c>
      <x:c r="G47" s="102" t="str">
        <x:v>归乡弩戒</x:v>
      </x:c>
      <x:c r="H47" s="102" t="str">
        <x:v>戒指</x:v>
      </x:c>
      <x:c r="I47" s="147" t="n">
        <x:v>20</x:v>
      </x:c>
      <x:c r="J47" s="102" t="str">
        <x:v>否（材料数量固定）</x:v>
      </x:c>
      <x:c r="K47" s="102" t="str">
        <x:v>仅手动分解；默认不勾选；二次确认</x:v>
      </x:c>
      <x:c r="L47" s="103" t="str">
        <x:v>失乡弩尸专属。戒面箭头永远指向一座已经不存在的故乡。墓道每逢退潮便传出金属摩擦声，据说是失乡弩尸仍在寻找被夺走的归乡弩戒。</x:v>
      </x:c>
    </x:row>
    <x:row r="48">
      <x:c r="A48" s="101" t="str">
        <x:v>C02</x:v>
      </x:c>
      <x:c r="B48" s="102" t="str">
        <x:v>宁姆格福</x:v>
      </x:c>
      <x:c r="C48" s="102" t="str">
        <x:v>漂流墓地</x:v>
      </x:c>
      <x:c r="D48" s="102" t="str">
        <x:v>2层、3层</x:v>
      </x:c>
      <x:c r="E48" s="102" t="str">
        <x:v>普通</x:v>
      </x:c>
      <x:c r="F48" s="102" t="str">
        <x:v>幽火墓蛾</x:v>
      </x:c>
      <x:c r="G48" s="102" t="str">
        <x:v>幽火鳞镯</x:v>
      </x:c>
      <x:c r="H48" s="102" t="str">
        <x:v>手镯</x:v>
      </x:c>
      <x:c r="I48" s="147" t="n">
        <x:v>20</x:v>
      </x:c>
      <x:c r="J48" s="102" t="str">
        <x:v>否（材料数量固定）</x:v>
      </x:c>
      <x:c r="K48" s="102" t="str">
        <x:v>仅手动分解；默认不勾选；二次确认</x:v>
      </x:c>
      <x:c r="L48" s="103" t="str">
        <x:v>幽火墓蛾专属。鳞粉遇到活人的体温便会燃起蓝火。守墓人把幽火鳞镯封进空棺，第二天棺盖却从里面被推开，地上只剩通往深处的湿脚印。</x:v>
      </x:c>
    </x:row>
    <x:row r="49">
      <x:c r="A49" s="101" t="str">
        <x:v>C02</x:v>
      </x:c>
      <x:c r="B49" s="102" t="str">
        <x:v>宁姆格福</x:v>
      </x:c>
      <x:c r="C49" s="102" t="str">
        <x:v>漂流墓地</x:v>
      </x:c>
      <x:c r="D49" s="102" t="str">
        <x:v>1层、2层</x:v>
      </x:c>
      <x:c r="E49" s="102" t="str">
        <x:v>稀有</x:v>
      </x:c>
      <x:c r="F49" s="102" t="str">
        <x:v>归树看门犬</x:v>
      </x:c>
      <x:c r="G49" s="102" t="str">
        <x:v>归树犬徽</x:v>
      </x:c>
      <x:c r="H49" s="102" t="str">
        <x:v>勋章</x:v>
      </x:c>
      <x:c r="I49" s="147" t="n">
        <x:v>40</x:v>
      </x:c>
      <x:c r="J49" s="102" t="str">
        <x:v>否（材料数量固定）</x:v>
      </x:c>
      <x:c r="K49" s="102" t="str">
        <x:v>仅手动分解；默认不勾选；二次确认</x:v>
      </x:c>
      <x:c r="L49" s="103" t="str">
        <x:v>归树看门犬专属。它守的不是墓门，而是死者回到树根的最后一段路。后来盗墓者在封门石后找到归树犬徽，石上只刻着“归树看门犬归乡”，却没有死亡年月。</x:v>
      </x:c>
    </x:row>
    <x:row r="50">
      <x:c r="A50" s="101" t="str">
        <x:v>C02</x:v>
      </x:c>
      <x:c r="B50" s="102" t="str">
        <x:v>宁姆格福</x:v>
      </x:c>
      <x:c r="C50" s="102" t="str">
        <x:v>漂流墓地</x:v>
      </x:c>
      <x:c r="D50" s="102" t="str">
        <x:v>2层</x:v>
      </x:c>
      <x:c r="E50" s="102" t="str">
        <x:v>稀有</x:v>
      </x:c>
      <x:c r="F50" s="102" t="str">
        <x:v>腐败树根兽</x:v>
      </x:c>
      <x:c r="G50" s="102" t="str">
        <x:v>腐根塔盾</x:v>
      </x:c>
      <x:c r="H50" s="102" t="str">
        <x:v>盾牌</x:v>
      </x:c>
      <x:c r="I50" s="147" t="n">
        <x:v>40</x:v>
      </x:c>
      <x:c r="J50" s="102" t="str">
        <x:v>否（材料数量固定）</x:v>
      </x:c>
      <x:c r="K50" s="102" t="str">
        <x:v>仅手动分解；默认不勾选；二次确认</x:v>
      </x:c>
      <x:c r="L50" s="103" t="str">
        <x:v>腐败树根兽专属。盾面长出的根须只会缠住持盾者的手。墓道每逢退潮便传出金属摩擦声，据说是腐败树根兽仍在寻找被夺走的腐根塔盾。</x:v>
      </x:c>
    </x:row>
    <x:row r="51">
      <x:c r="A51" s="101" t="str">
        <x:v>C02</x:v>
      </x:c>
      <x:c r="B51" s="102" t="str">
        <x:v>宁姆格福</x:v>
      </x:c>
      <x:c r="C51" s="102" t="str">
        <x:v>漂流墓地</x:v>
      </x:c>
      <x:c r="D51" s="102" t="str">
        <x:v>2层、3层</x:v>
      </x:c>
      <x:c r="E51" s="102" t="str">
        <x:v>稀有</x:v>
      </x:c>
      <x:c r="F51" s="102" t="str">
        <x:v>失乡熔炉骑士</x:v>
      </x:c>
      <x:c r="G51" s="102" t="str">
        <x:v>初火兜鍪</x:v>
      </x:c>
      <x:c r="H51" s="102" t="str">
        <x:v>时装头盔</x:v>
      </x:c>
      <x:c r="I51" s="147" t="n">
        <x:v>40</x:v>
      </x:c>
      <x:c r="J51" s="102" t="str">
        <x:v>否（材料数量固定）</x:v>
      </x:c>
      <x:c r="K51" s="102" t="str">
        <x:v>仅手动分解；默认不勾选；二次确认</x:v>
      </x:c>
      <x:c r="L51" s="103" t="str">
        <x:v>失乡熔炉骑士专属。熔炉余火在面甲后燃烧，却从不照亮骑士的脸。守墓人把初火兜鍪封进空棺，第二天棺盖却从里面被推开，地上只剩通往深处的湿脚印。</x:v>
      </x:c>
    </x:row>
    <x:row r="52">
      <x:c r="A52" s="101" t="str">
        <x:v>C02</x:v>
      </x:c>
      <x:c r="B52" s="102" t="str">
        <x:v>宁姆格福</x:v>
      </x:c>
      <x:c r="C52" s="102" t="str">
        <x:v>漂流墓地</x:v>
      </x:c>
      <x:c r="D52" s="102" t="str">
        <x:v>3层</x:v>
      </x:c>
      <x:c r="E52" s="102" t="str">
        <x:v>稀有</x:v>
      </x:c>
      <x:c r="F52" s="102" t="str">
        <x:v>英雄墓影</x:v>
      </x:c>
      <x:c r="G52" s="102" t="str">
        <x:v>英雄余誓</x:v>
      </x:c>
      <x:c r="H52" s="102" t="str">
        <x:v>时装项链</x:v>
      </x:c>
      <x:c r="I52" s="147" t="n">
        <x:v>40</x:v>
      </x:c>
      <x:c r="J52" s="102" t="str">
        <x:v>否（材料数量固定）</x:v>
      </x:c>
      <x:c r="K52" s="102" t="str">
        <x:v>仅手动分解；默认不勾选；二次确认</x:v>
      </x:c>
      <x:c r="L52" s="103" t="str">
        <x:v>英雄墓影专属。誓词只剩最后一句：活着的人不许回头。后来盗墓者在封门石后找到英雄余誓，石上只刻着“英雄墓影归乡”，却没有死亡年月。</x:v>
      </x:c>
    </x:row>
    <x:row r="53">
      <x:c r="A53" s="101" t="str">
        <x:v>C02</x:v>
      </x:c>
      <x:c r="B53" s="102" t="str">
        <x:v>宁姆格福</x:v>
      </x:c>
      <x:c r="C53" s="102" t="str">
        <x:v>漂流墓地</x:v>
      </x:c>
      <x:c r="D53" s="102" t="str">
        <x:v>3层</x:v>
      </x:c>
      <x:c r="E53" s="102" t="str">
        <x:v>BOSS</x:v>
      </x:c>
      <x:c r="F53" s="102" t="str">
        <x:v>溃烂树灵·乌尔德</x:v>
      </x:c>
      <x:c r="G53" s="102" t="str">
        <x:v>腐树子鼠</x:v>
      </x:c>
      <x:c r="H53" s="102" t="str">
        <x:v>生肖1</x:v>
      </x:c>
      <x:c r="I53" s="147" t="n">
        <x:v>80</x:v>
      </x:c>
      <x:c r="J53" s="102" t="str">
        <x:v>否（材料数量固定）</x:v>
      </x:c>
      <x:c r="K53" s="102" t="str">
        <x:v>仅手动分解；默认不勾选；二次确认</x:v>
      </x:c>
      <x:c r="L53" s="103" t="str">
        <x:v>溃烂树灵·乌尔德专属。腐根缠成鼠形，啃噬所有写着姓名的木牌。墓道每逢退潮便传出金属摩擦声，据说是溃烂树灵·乌尔德仍在寻找被夺走的腐树子鼠。</x:v>
      </x:c>
    </x:row>
    <x:row r="54">
      <x:c r="A54" s="101" t="str">
        <x:v>C02</x:v>
      </x:c>
      <x:c r="B54" s="102" t="str">
        <x:v>宁姆格福</x:v>
      </x:c>
      <x:c r="C54" s="102" t="str">
        <x:v>漂流墓地</x:v>
      </x:c>
      <x:c r="D54" s="102" t="str">
        <x:v>3层</x:v>
      </x:c>
      <x:c r="E54" s="102" t="str">
        <x:v>BOSS</x:v>
      </x:c>
      <x:c r="F54" s="102" t="str">
        <x:v>接肢贵胄·格雷姆</x:v>
      </x:c>
      <x:c r="G54" s="102" t="str">
        <x:v>百臂丑牛</x:v>
      </x:c>
      <x:c r="H54" s="102" t="str">
        <x:v>生肖2</x:v>
      </x:c>
      <x:c r="I54" s="147" t="n">
        <x:v>80</x:v>
      </x:c>
      <x:c r="J54" s="102" t="str">
        <x:v>否（材料数量固定）</x:v>
      </x:c>
      <x:c r="K54" s="102" t="str">
        <x:v>仅手动分解；默认不勾选；二次确认</x:v>
      </x:c>
      <x:c r="L54" s="103" t="str">
        <x:v>接肢贵胄·格雷姆专属。牛骨上缝着幼小手掌，握紧时会听见贵胄的笑声。守墓人把百臂丑牛封进空棺，第二天棺盖却从里面被推开，地上只剩通往深处的湿脚印。</x:v>
      </x:c>
    </x:row>
    <x:row r="55">
      <x:c r="A55" s="101" t="str">
        <x:v>C02</x:v>
      </x:c>
      <x:c r="B55" s="102" t="str">
        <x:v>宁姆格福</x:v>
      </x:c>
      <x:c r="C55" s="102" t="str">
        <x:v>关卡前废墟</x:v>
      </x:c>
      <x:c r="D55" s="102" t="str">
        <x:v>1层</x:v>
      </x:c>
      <x:c r="E55" s="102" t="str">
        <x:v>普通</x:v>
      </x:c>
      <x:c r="F55" s="102" t="str">
        <x:v>葛瑞克步兵</x:v>
      </x:c>
      <x:c r="G55" s="102" t="str">
        <x:v>断旗军刀</x:v>
      </x:c>
      <x:c r="H55" s="102" t="str">
        <x:v>武器</x:v>
      </x:c>
      <x:c r="I55" s="147" t="n">
        <x:v>20</x:v>
      </x:c>
      <x:c r="J55" s="102" t="str">
        <x:v>否（材料数量固定）</x:v>
      </x:c>
      <x:c r="K55" s="102" t="str">
        <x:v>仅手动分解；默认不勾选；二次确认</x:v>
      </x:c>
      <x:c r="L55" s="103" t="str">
        <x:v>葛瑞克步兵专属。刀上的旗布只剩半截，却仍朝着王城方向飘。关卡陷落那夜，葛瑞克步兵把断旗军刀交给最后一名逃兵；多年后，逃兵与武器一起回到了无人驻守的城门。</x:v>
      </x:c>
    </x:row>
    <x:row r="56">
      <x:c r="A56" s="101" t="str">
        <x:v>C02</x:v>
      </x:c>
      <x:c r="B56" s="102" t="str">
        <x:v>宁姆格福</x:v>
      </x:c>
      <x:c r="C56" s="102" t="str">
        <x:v>关卡前废墟</x:v>
      </x:c>
      <x:c r="D56" s="102" t="str">
        <x:v>1层</x:v>
      </x:c>
      <x:c r="E56" s="102" t="str">
        <x:v>普通</x:v>
      </x:c>
      <x:c r="F56" s="102" t="str">
        <x:v>关卡长枪兵</x:v>
      </x:c>
      <x:c r="G56" s="102" t="str">
        <x:v>关隘铁甲</x:v>
      </x:c>
      <x:c r="H56" s="102" t="str">
        <x:v>衣服</x:v>
      </x:c>
      <x:c r="I56" s="147" t="n">
        <x:v>20</x:v>
      </x:c>
      <x:c r="J56" s="102" t="str">
        <x:v>否（材料数量固定）</x:v>
      </x:c>
      <x:c r="K56" s="102" t="str">
        <x:v>仅手动分解；默认不勾选；二次确认</x:v>
      </x:c>
      <x:c r="L56" s="103" t="str">
        <x:v>关卡长枪兵专属。铁甲背面写着撤退命令，正面却没有一道向后的划痕。废墟中的断旗只在关隘铁甲靠近时重新扬起，旗上却没有任何王国的徽记。</x:v>
      </x:c>
    </x:row>
    <x:row r="57">
      <x:c r="A57" s="101" t="str">
        <x:v>C02</x:v>
      </x:c>
      <x:c r="B57" s="102" t="str">
        <x:v>宁姆格福</x:v>
      </x:c>
      <x:c r="C57" s="102" t="str">
        <x:v>关卡前废墟</x:v>
      </x:c>
      <x:c r="D57" s="102" t="str">
        <x:v>1层、2层</x:v>
      </x:c>
      <x:c r="E57" s="102" t="str">
        <x:v>普通</x:v>
      </x:c>
      <x:c r="F57" s="102" t="str">
        <x:v>废墟弩手</x:v>
      </x:c>
      <x:c r="G57" s="102" t="str">
        <x:v>破垒鹰链</x:v>
      </x:c>
      <x:c r="H57" s="102" t="str">
        <x:v>项链</x:v>
      </x:c>
      <x:c r="I57" s="147" t="n">
        <x:v>20</x:v>
      </x:c>
      <x:c r="J57" s="102" t="str">
        <x:v>否（材料数量固定）</x:v>
      </x:c>
      <x:c r="K57" s="102" t="str">
        <x:v>仅手动分解；默认不勾选；二次确认</x:v>
      </x:c>
      <x:c r="L57" s="103" t="str">
        <x:v>废墟弩手专属。链坠封着一枚没有射出的箭，留给了最后一个逃兵。巡夜人曾听见废墟弩手隔着坍塌城墙点名，念到最后时，破垒鹰链会自己从鞘中滑出。</x:v>
      </x:c>
    </x:row>
    <x:row r="58">
      <x:c r="A58" s="101" t="str">
        <x:v>C02</x:v>
      </x:c>
      <x:c r="B58" s="102" t="str">
        <x:v>宁姆格福</x:v>
      </x:c>
      <x:c r="C58" s="102" t="str">
        <x:v>关卡前废墟</x:v>
      </x:c>
      <x:c r="D58" s="102" t="str">
        <x:v>1层、2层</x:v>
      </x:c>
      <x:c r="E58" s="102" t="str">
        <x:v>普通</x:v>
      </x:c>
      <x:c r="F58" s="102" t="str">
        <x:v>风暴战狼</x:v>
      </x:c>
      <x:c r="G58" s="102" t="str">
        <x:v>战狼铁盔</x:v>
      </x:c>
      <x:c r="H58" s="102" t="str">
        <x:v>头盔</x:v>
      </x:c>
      <x:c r="I58" s="147" t="n">
        <x:v>20</x:v>
      </x:c>
      <x:c r="J58" s="102" t="str">
        <x:v>否（材料数量固定）</x:v>
      </x:c>
      <x:c r="K58" s="102" t="str">
        <x:v>仅手动分解；默认不勾选；二次确认</x:v>
      </x:c>
      <x:c r="L58" s="103" t="str">
        <x:v>风暴战狼专属。盔顶狼鬃遇风便竖起，仿佛仍在嗅闻敌人的恐惧。关卡陷落那夜，风暴战狼把战狼铁盔交给最后一名逃兵；多年后，逃兵与武器一起回到了无人驻守的城门。</x:v>
      </x:c>
    </x:row>
    <x:row r="59">
      <x:c r="A59" s="101" t="str">
        <x:v>C02</x:v>
      </x:c>
      <x:c r="B59" s="102" t="str">
        <x:v>宁姆格福</x:v>
      </x:c>
      <x:c r="C59" s="102" t="str">
        <x:v>关卡前废墟</x:v>
      </x:c>
      <x:c r="D59" s="102" t="str">
        <x:v>2层、3层</x:v>
      </x:c>
      <x:c r="E59" s="102" t="str">
        <x:v>普通</x:v>
      </x:c>
      <x:c r="F59" s="102" t="str">
        <x:v>流放军士</x:v>
      </x:c>
      <x:c r="G59" s="102" t="str">
        <x:v>流放腕铠</x:v>
      </x:c>
      <x:c r="H59" s="102" t="str">
        <x:v>手镯</x:v>
      </x:c>
      <x:c r="I59" s="147" t="n">
        <x:v>20</x:v>
      </x:c>
      <x:c r="J59" s="102" t="str">
        <x:v>否（材料数量固定）</x:v>
      </x:c>
      <x:c r="K59" s="102" t="str">
        <x:v>仅手动分解；默认不勾选；二次确认</x:v>
      </x:c>
      <x:c r="L59" s="103" t="str">
        <x:v>流放军士专属。军士被逐出军营后，仍每天擦亮已经作废的军徽。废墟中的断旗只在流放腕铠靠近时重新扬起，旗上却没有任何王国的徽记。</x:v>
      </x:c>
    </x:row>
    <x:row r="60">
      <x:c r="A60" s="101" t="str">
        <x:v>C02</x:v>
      </x:c>
      <x:c r="B60" s="102" t="str">
        <x:v>宁姆格福</x:v>
      </x:c>
      <x:c r="C60" s="102" t="str">
        <x:v>关卡前废墟</x:v>
      </x:c>
      <x:c r="D60" s="102" t="str">
        <x:v>2层、3层</x:v>
      </x:c>
      <x:c r="E60" s="102" t="str">
        <x:v>普通</x:v>
      </x:c>
      <x:c r="F60" s="102" t="str">
        <x:v>断旗骑兵</x:v>
      </x:c>
      <x:c r="G60" s="102" t="str">
        <x:v>断旗马戒</x:v>
      </x:c>
      <x:c r="H60" s="102" t="str">
        <x:v>戒指</x:v>
      </x:c>
      <x:c r="I60" s="147" t="n">
        <x:v>20</x:v>
      </x:c>
      <x:c r="J60" s="102" t="str">
        <x:v>否（材料数量固定）</x:v>
      </x:c>
      <x:c r="K60" s="102" t="str">
        <x:v>仅手动分解；默认不勾选；二次确认</x:v>
      </x:c>
      <x:c r="L60" s="103" t="str">
        <x:v>断旗骑兵专属。戒内刻着战马的名字，骑手的名字反而被刮去了。巡夜人曾听见断旗骑兵隔着坍塌城墙点名，念到最后时，断旗马戒会自己从鞘中滑出。</x:v>
      </x:c>
    </x:row>
    <x:row r="61">
      <x:c r="A61" s="101" t="str">
        <x:v>C02</x:v>
      </x:c>
      <x:c r="B61" s="102" t="str">
        <x:v>宁姆格福</x:v>
      </x:c>
      <x:c r="C61" s="102" t="str">
        <x:v>关卡前废墟</x:v>
      </x:c>
      <x:c r="D61" s="102" t="str">
        <x:v>1层、2层</x:v>
      </x:c>
      <x:c r="E61" s="102" t="str">
        <x:v>稀有</x:v>
      </x:c>
      <x:c r="F61" s="102" t="str">
        <x:v>黄金重骑</x:v>
      </x:c>
      <x:c r="G61" s="102" t="str">
        <x:v>黄金战带</x:v>
      </x:c>
      <x:c r="H61" s="102" t="str">
        <x:v>腰带</x:v>
      </x:c>
      <x:c r="I61" s="147" t="n">
        <x:v>40</x:v>
      </x:c>
      <x:c r="J61" s="102" t="str">
        <x:v>否（材料数量固定）</x:v>
      </x:c>
      <x:c r="K61" s="102" t="str">
        <x:v>仅手动分解；默认不勾选；二次确认</x:v>
      </x:c>
      <x:c r="L61" s="103" t="str">
        <x:v>黄金重骑专属。腰带上的黄金不是奖赏，而是压住逃兵尸体的铅封。关卡陷落那夜，黄金重骑把黄金战带交给最后一名逃兵；多年后，逃兵与武器一起回到了无人驻守的城门。</x:v>
      </x:c>
    </x:row>
    <x:row r="62">
      <x:c r="A62" s="101" t="str">
        <x:v>C02</x:v>
      </x:c>
      <x:c r="B62" s="102" t="str">
        <x:v>宁姆格福</x:v>
      </x:c>
      <x:c r="C62" s="102" t="str">
        <x:v>关卡前废墟</x:v>
      </x:c>
      <x:c r="D62" s="102" t="str">
        <x:v>2层</x:v>
      </x:c>
      <x:c r="E62" s="102" t="str">
        <x:v>稀有</x:v>
      </x:c>
      <x:c r="F62" s="102" t="str">
        <x:v>失乡骑士</x:v>
      </x:c>
      <x:c r="G62" s="102" t="str">
        <x:v>失乡战靴</x:v>
      </x:c>
      <x:c r="H62" s="102" t="str">
        <x:v>鞋子</x:v>
      </x:c>
      <x:c r="I62" s="147" t="n">
        <x:v>40</x:v>
      </x:c>
      <x:c r="J62" s="102" t="str">
        <x:v>否（材料数量固定）</x:v>
      </x:c>
      <x:c r="K62" s="102" t="str">
        <x:v>仅手动分解；默认不勾选；二次确认</x:v>
      </x:c>
      <x:c r="L62" s="103" t="str">
        <x:v>失乡骑士专属。靴底沾着五座城的泥，却没有一粒来自故乡。废墟中的断旗只在失乡战靴靠近时重新扬起，旗上却没有任何王国的徽记。</x:v>
      </x:c>
    </x:row>
    <x:row r="63">
      <x:c r="A63" s="101" t="str">
        <x:v>C02</x:v>
      </x:c>
      <x:c r="B63" s="102" t="str">
        <x:v>宁姆格福</x:v>
      </x:c>
      <x:c r="C63" s="102" t="str">
        <x:v>关卡前废墟</x:v>
      </x:c>
      <x:c r="D63" s="102" t="str">
        <x:v>2层、3层</x:v>
      </x:c>
      <x:c r="E63" s="102" t="str">
        <x:v>稀有</x:v>
      </x:c>
      <x:c r="F63" s="102" t="str">
        <x:v>军营兽爪官</x:v>
      </x:c>
      <x:c r="G63" s="102" t="str">
        <x:v>兽爪礼刃</x:v>
      </x:c>
      <x:c r="H63" s="102" t="str">
        <x:v>时装武器</x:v>
      </x:c>
      <x:c r="I63" s="147" t="n">
        <x:v>40</x:v>
      </x:c>
      <x:c r="J63" s="102" t="str">
        <x:v>否（材料数量固定）</x:v>
      </x:c>
      <x:c r="K63" s="102" t="str">
        <x:v>仅手动分解；默认不勾选；二次确认</x:v>
      </x:c>
      <x:c r="L63" s="103" t="str">
        <x:v>军营兽爪官专属。礼刃从不用于杀敌，只负责割下败军者的徽章。巡夜人曾听见军营兽爪官隔着坍塌城墙点名，念到最后时，兽爪礼刃会自己从鞘中滑出。</x:v>
      </x:c>
    </x:row>
    <x:row r="64">
      <x:c r="A64" s="101" t="str">
        <x:v>C02</x:v>
      </x:c>
      <x:c r="B64" s="102" t="str">
        <x:v>宁姆格福</x:v>
      </x:c>
      <x:c r="C64" s="102" t="str">
        <x:v>关卡前废墟</x:v>
      </x:c>
      <x:c r="D64" s="102" t="str">
        <x:v>3层</x:v>
      </x:c>
      <x:c r="E64" s="102" t="str">
        <x:v>稀有</x:v>
      </x:c>
      <x:c r="F64" s="102" t="str">
        <x:v>关隘战车</x:v>
      </x:c>
      <x:c r="G64" s="102" t="str">
        <x:v>破阵军袍</x:v>
      </x:c>
      <x:c r="H64" s="102" t="str">
        <x:v>时装衣服</x:v>
      </x:c>
      <x:c r="I64" s="147" t="n">
        <x:v>40</x:v>
      </x:c>
      <x:c r="J64" s="102" t="str">
        <x:v>否（材料数量固定）</x:v>
      </x:c>
      <x:c r="K64" s="102" t="str">
        <x:v>仅手动分解；默认不勾选；二次确认</x:v>
      </x:c>
      <x:c r="L64" s="103" t="str">
        <x:v>关隘战车专属。军袍的车辙印从胸口碾过，像一场永不结束的冲锋。关卡陷落那夜，关隘战车把破阵军袍交给最后一名逃兵；多年后，逃兵与武器一起回到了无人驻守的城门。</x:v>
      </x:c>
    </x:row>
    <x:row r="65">
      <x:c r="A65" s="101" t="str">
        <x:v>C02</x:v>
      </x:c>
      <x:c r="B65" s="102" t="str">
        <x:v>宁姆格福</x:v>
      </x:c>
      <x:c r="C65" s="102" t="str">
        <x:v>关卡前废墟</x:v>
      </x:c>
      <x:c r="D65" s="102" t="str">
        <x:v>3层</x:v>
      </x:c>
      <x:c r="E65" s="102" t="str">
        <x:v>BOSS</x:v>
      </x:c>
      <x:c r="F65" s="102" t="str">
        <x:v>大树守卫·罗兰</x:v>
      </x:c>
      <x:c r="G65" s="102" t="str">
        <x:v>长戟寅虎</x:v>
      </x:c>
      <x:c r="H65" s="102" t="str">
        <x:v>生肖3</x:v>
      </x:c>
      <x:c r="I65" s="147" t="n">
        <x:v>80</x:v>
      </x:c>
      <x:c r="J65" s="102" t="str">
        <x:v>否（材料数量固定）</x:v>
      </x:c>
      <x:c r="K65" s="102" t="str">
        <x:v>仅手动分解；默认不勾选；二次确认</x:v>
      </x:c>
      <x:c r="L65" s="103" t="str">
        <x:v>大树守卫·罗兰专属。虎符被长戟洞穿后，仍能号令那些已经死去的骑士。废墟中的断旗只在长戟寅虎靠近时重新扬起，旗上却没有任何王国的徽记。</x:v>
      </x:c>
    </x:row>
    <x:row r="66">
      <x:c r="A66" s="101" t="str">
        <x:v>C02</x:v>
      </x:c>
      <x:c r="B66" s="102" t="str">
        <x:v>宁姆格福</x:v>
      </x:c>
      <x:c r="C66" s="102" t="str">
        <x:v>关卡前废墟</x:v>
      </x:c>
      <x:c r="D66" s="102" t="str">
        <x:v>3层</x:v>
      </x:c>
      <x:c r="E66" s="102" t="str">
        <x:v>BOSS</x:v>
      </x:c>
      <x:c r="F66" s="102" t="str">
        <x:v>黑夜骑兵·莫尔</x:v>
      </x:c>
      <x:c r="G66" s="102" t="str">
        <x:v>无月卯兔</x:v>
      </x:c>
      <x:c r="H66" s="102" t="str">
        <x:v>生肖4</x:v>
      </x:c>
      <x:c r="I66" s="147" t="n">
        <x:v>80</x:v>
      </x:c>
      <x:c r="J66" s="102" t="str">
        <x:v>否（材料数量固定）</x:v>
      </x:c>
      <x:c r="K66" s="102" t="str">
        <x:v>仅手动分解；默认不勾选；二次确认</x:v>
      </x:c>
      <x:c r="L66" s="103" t="str">
        <x:v>黑夜骑兵·莫尔专属。黑兔只在无月之夜睁眼，为骑兵寻找下一名逃亡者。巡夜人曾听见黑夜骑兵·莫尔隔着坍塌城墙点名，念到最后时，无月卯兔会自己从鞘中滑出。</x:v>
      </x:c>
    </x:row>
    <x:row r="67">
      <x:c r="A67" s="101" t="str">
        <x:v>C02</x:v>
      </x:c>
      <x:c r="B67" s="102" t="str">
        <x:v>宁姆格福</x:v>
      </x:c>
      <x:c r="C67" s="102" t="str">
        <x:v>迷雾丛林</x:v>
      </x:c>
      <x:c r="D67" s="102" t="str">
        <x:v>1层</x:v>
      </x:c>
      <x:c r="E67" s="102" t="str">
        <x:v>普通</x:v>
      </x:c>
      <x:c r="F67" s="102" t="str">
        <x:v>雾林野狼</x:v>
      </x:c>
      <x:c r="G67" s="102" t="str">
        <x:v>雾牙短刃</x:v>
      </x:c>
      <x:c r="H67" s="102" t="str">
        <x:v>武器</x:v>
      </x:c>
      <x:c r="I67" s="147" t="n">
        <x:v>20</x:v>
      </x:c>
      <x:c r="J67" s="102" t="str">
        <x:v>否（材料数量固定）</x:v>
      </x:c>
      <x:c r="K67" s="102" t="str">
        <x:v>仅手动分解；默认不勾选；二次确认</x:v>
      </x:c>
      <x:c r="L67" s="103" t="str">
        <x:v>雾林野狼专属。刃口总带着湿雾，擦净后会重新出现一排狼牙印。雾散时，人们在古树根下发现雾牙短刃，旁边留着雾林野狼绕树走了一生的蹄印。</x:v>
      </x:c>
    </x:row>
    <x:row r="68">
      <x:c r="A68" s="101" t="str">
        <x:v>C02</x:v>
      </x:c>
      <x:c r="B68" s="102" t="str">
        <x:v>宁姆格福</x:v>
      </x:c>
      <x:c r="C68" s="102" t="str">
        <x:v>迷雾丛林</x:v>
      </x:c>
      <x:c r="D68" s="102" t="str">
        <x:v>1层、2层</x:v>
      </x:c>
      <x:c r="E68" s="102" t="str">
        <x:v>普通</x:v>
      </x:c>
      <x:c r="F68" s="102" t="str">
        <x:v>卢恩巨熊</x:v>
      </x:c>
      <x:c r="G68" s="102" t="str">
        <x:v>熊王战靴</x:v>
      </x:c>
      <x:c r="H68" s="102" t="str">
        <x:v>鞋子</x:v>
      </x:c>
      <x:c r="I68" s="147" t="n">
        <x:v>20</x:v>
      </x:c>
      <x:c r="J68" s="102" t="str">
        <x:v>否（材料数量固定）</x:v>
      </x:c>
      <x:c r="K68" s="102" t="str">
        <x:v>仅手动分解；默认不勾选；二次确认</x:v>
      </x:c>
      <x:c r="L68" s="103" t="str">
        <x:v>卢恩巨熊专属。靴底厚得像熊掌，踩过的苔藓三年也不会再生。猎人带走熊王战靴后再没走出丛林；第二年，它又挂回原处，表面多了一道人的抓痕。</x:v>
      </x:c>
    </x:row>
    <x:row r="69">
      <x:c r="A69" s="101" t="str">
        <x:v>C02</x:v>
      </x:c>
      <x:c r="B69" s="102" t="str">
        <x:v>宁姆格福</x:v>
      </x:c>
      <x:c r="C69" s="102" t="str">
        <x:v>迷雾丛林</x:v>
      </x:c>
      <x:c r="D69" s="102" t="str">
        <x:v>1层</x:v>
      </x:c>
      <x:c r="E69" s="102" t="str">
        <x:v>普通</x:v>
      </x:c>
      <x:c r="F69" s="102" t="str">
        <x:v>祖灵鹿</x:v>
      </x:c>
      <x:c r="G69" s="102" t="str">
        <x:v>祖灵皮衣</x:v>
      </x:c>
      <x:c r="H69" s="102" t="str">
        <x:v>衣服</x:v>
      </x:c>
      <x:c r="I69" s="147" t="n">
        <x:v>20</x:v>
      </x:c>
      <x:c r="J69" s="102" t="str">
        <x:v>否（材料数量固定）</x:v>
      </x:c>
      <x:c r="K69" s="102" t="str">
        <x:v>仅手动分解；默认不勾选；二次确认</x:v>
      </x:c>
      <x:c r="L69" s="103" t="str">
        <x:v>祖灵鹿专属。皮衣没有缝线，像从一场梦里完整剥落。林地祭司说祖灵皮衣记得每一条归路，可凡是向它问路的人，最后都会回到祖灵鹿面前。</x:v>
      </x:c>
    </x:row>
    <x:row r="70">
      <x:c r="A70" s="101" t="str">
        <x:v>C02</x:v>
      </x:c>
      <x:c r="B70" s="102" t="str">
        <x:v>宁姆格福</x:v>
      </x:c>
      <x:c r="C70" s="102" t="str">
        <x:v>迷雾丛林</x:v>
      </x:c>
      <x:c r="D70" s="102" t="str">
        <x:v>1层、2层</x:v>
      </x:c>
      <x:c r="E70" s="102" t="str">
        <x:v>普通</x:v>
      </x:c>
      <x:c r="F70" s="102" t="str">
        <x:v>腐根树妖</x:v>
      </x:c>
      <x:c r="G70" s="102" t="str">
        <x:v>古树祷链</x:v>
      </x:c>
      <x:c r="H70" s="102" t="str">
        <x:v>项链</x:v>
      </x:c>
      <x:c r="I70" s="147" t="n">
        <x:v>20</x:v>
      </x:c>
      <x:c r="J70" s="102" t="str">
        <x:v>否（材料数量固定）</x:v>
      </x:c>
      <x:c r="K70" s="102" t="str">
        <x:v>仅手动分解；默认不勾选；二次确认</x:v>
      </x:c>
      <x:c r="L70" s="103" t="str">
        <x:v>腐根树妖专属。每枚木珠都封着一声祈祷，腐烂后反而更加清晰。雾散时，人们在古树根下发现古树祷链，旁边留着腐根树妖绕树走了一生的蹄印。</x:v>
      </x:c>
    </x:row>
    <x:row r="71">
      <x:c r="A71" s="101" t="str">
        <x:v>C02</x:v>
      </x:c>
      <x:c r="B71" s="102" t="str">
        <x:v>宁姆格福</x:v>
      </x:c>
      <x:c r="C71" s="102" t="str">
        <x:v>迷雾丛林</x:v>
      </x:c>
      <x:c r="D71" s="102" t="str">
        <x:v>2层、3层</x:v>
      </x:c>
      <x:c r="E71" s="102" t="str">
        <x:v>普通</x:v>
      </x:c>
      <x:c r="F71" s="102" t="str">
        <x:v>半兽哨兵</x:v>
      </x:c>
      <x:c r="G71" s="102" t="str">
        <x:v>半兽战勋</x:v>
      </x:c>
      <x:c r="H71" s="102" t="str">
        <x:v>勋章</x:v>
      </x:c>
      <x:c r="I71" s="147" t="n">
        <x:v>20</x:v>
      </x:c>
      <x:c r="J71" s="102" t="str">
        <x:v>否（材料数量固定）</x:v>
      </x:c>
      <x:c r="K71" s="102" t="str">
        <x:v>仅手动分解；默认不勾选；二次确认</x:v>
      </x:c>
      <x:c r="L71" s="103" t="str">
        <x:v>半兽哨兵专属。勋章奖励的不是勇敢，而是它第一个发现人类营地。猎人带走半兽战勋后再没走出丛林；第二年，它又挂回原处，表面多了一道人的抓痕。</x:v>
      </x:c>
    </x:row>
    <x:row r="72">
      <x:c r="A72" s="101" t="str">
        <x:v>C02</x:v>
      </x:c>
      <x:c r="B72" s="102" t="str">
        <x:v>宁姆格福</x:v>
      </x:c>
      <x:c r="C72" s="102" t="str">
        <x:v>迷雾丛林</x:v>
      </x:c>
      <x:c r="D72" s="102" t="str">
        <x:v>2层、3层</x:v>
      </x:c>
      <x:c r="E72" s="102" t="str">
        <x:v>普通</x:v>
      </x:c>
      <x:c r="F72" s="102" t="str">
        <x:v>林地毒花</x:v>
      </x:c>
      <x:c r="G72" s="102" t="str">
        <x:v>毒花巨盾</x:v>
      </x:c>
      <x:c r="H72" s="102" t="str">
        <x:v>盾牌</x:v>
      </x:c>
      <x:c r="I72" s="147" t="n">
        <x:v>20</x:v>
      </x:c>
      <x:c r="J72" s="102" t="str">
        <x:v>否（材料数量固定）</x:v>
      </x:c>
      <x:c r="K72" s="102" t="str">
        <x:v>仅手动分解；默认不勾选；二次确认</x:v>
      </x:c>
      <x:c r="L72" s="103" t="str">
        <x:v>林地毒花专属。盾面花瓣会在伤口附近开放，并吸走流出的血。林地祭司说毒花巨盾记得每一条归路，可凡是向它问路的人，最后都会回到林地毒花面前。</x:v>
      </x:c>
    </x:row>
    <x:row r="73">
      <x:c r="A73" s="101" t="str">
        <x:v>C02</x:v>
      </x:c>
      <x:c r="B73" s="102" t="str">
        <x:v>宁姆格福</x:v>
      </x:c>
      <x:c r="C73" s="102" t="str">
        <x:v>迷雾丛林</x:v>
      </x:c>
      <x:c r="D73" s="102" t="str">
        <x:v>1层、2层</x:v>
      </x:c>
      <x:c r="E73" s="102" t="str">
        <x:v>稀有</x:v>
      </x:c>
      <x:c r="F73" s="102" t="str">
        <x:v>卢恩熊王</x:v>
      </x:c>
      <x:c r="G73" s="102" t="str">
        <x:v>卢恩血镯</x:v>
      </x:c>
      <x:c r="H73" s="102" t="str">
        <x:v>时装手镯</x:v>
      </x:c>
      <x:c r="I73" s="147" t="n">
        <x:v>40</x:v>
      </x:c>
      <x:c r="J73" s="102" t="str">
        <x:v>否（材料数量固定）</x:v>
      </x:c>
      <x:c r="K73" s="102" t="str">
        <x:v>仅手动分解；默认不勾选；二次确认</x:v>
      </x:c>
      <x:c r="L73" s="103" t="str">
        <x:v>卢恩熊王专属。镯内凝着熊王的血，靠近卢恩时会像心脏一样跳动。雾散时，人们在古树根下发现卢恩血镯，旁边留着卢恩熊王绕树走了一生的蹄印。</x:v>
      </x:c>
    </x:row>
    <x:row r="74">
      <x:c r="A74" s="101" t="str">
        <x:v>C02</x:v>
      </x:c>
      <x:c r="B74" s="102" t="str">
        <x:v>宁姆格福</x:v>
      </x:c>
      <x:c r="C74" s="102" t="str">
        <x:v>迷雾丛林</x:v>
      </x:c>
      <x:c r="D74" s="102" t="str">
        <x:v>2层</x:v>
      </x:c>
      <x:c r="E74" s="102" t="str">
        <x:v>稀有</x:v>
      </x:c>
      <x:c r="F74" s="102" t="str">
        <x:v>小黄金树化身</x:v>
      </x:c>
      <x:c r="G74" s="102" t="str">
        <x:v>黄金树戒</x:v>
      </x:c>
      <x:c r="H74" s="102" t="str">
        <x:v>时装戒指</x:v>
      </x:c>
      <x:c r="I74" s="147" t="n">
        <x:v>40</x:v>
      </x:c>
      <x:c r="J74" s="102" t="str">
        <x:v>否（材料数量固定）</x:v>
      </x:c>
      <x:c r="K74" s="102" t="str">
        <x:v>仅手动分解；默认不勾选；二次确认</x:v>
      </x:c>
      <x:c r="L74" s="103" t="str">
        <x:v>小黄金树化身专属。戒中的嫩芽从未长大，只因它以佩戴者的寿命为土。猎人带走黄金树戒后再没走出丛林；第二年，它又挂回原处，表面多了一道人的抓痕。</x:v>
      </x:c>
    </x:row>
    <x:row r="75">
      <x:c r="A75" s="101" t="str">
        <x:v>C02</x:v>
      </x:c>
      <x:c r="B75" s="102" t="str">
        <x:v>宁姆格福</x:v>
      </x:c>
      <x:c r="C75" s="102" t="str">
        <x:v>迷雾丛林</x:v>
      </x:c>
      <x:c r="D75" s="102" t="str">
        <x:v>2层、3层</x:v>
      </x:c>
      <x:c r="E75" s="102" t="str">
        <x:v>稀有</x:v>
      </x:c>
      <x:c r="F75" s="102" t="str">
        <x:v>猎犬骑士·达瑞威尔</x:v>
      </x:c>
      <x:c r="G75" s="102" t="str">
        <x:v>猎犬辰龙</x:v>
      </x:c>
      <x:c r="H75" s="102" t="str">
        <x:v>生肖5</x:v>
      </x:c>
      <x:c r="I75" s="147" t="n">
        <x:v>40</x:v>
      </x:c>
      <x:c r="J75" s="102" t="str">
        <x:v>否（材料数量固定）</x:v>
      </x:c>
      <x:c r="K75" s="102" t="str">
        <x:v>仅手动分解；默认不勾选；二次确认</x:v>
      </x:c>
      <x:c r="L75" s="103" t="str">
        <x:v>猎犬骑士·达瑞威尔专属。龙骨被磨成猎犬獠牙，咬住目标后绝不松口。林地祭司说猎犬辰龙记得每一条归路，可凡是向它问路的人，最后都会回到猎犬骑士·达瑞威尔面前。</x:v>
      </x:c>
    </x:row>
    <x:row r="76">
      <x:c r="A76" s="101" t="str">
        <x:v>C02</x:v>
      </x:c>
      <x:c r="B76" s="102" t="str">
        <x:v>宁姆格福</x:v>
      </x:c>
      <x:c r="C76" s="102" t="str">
        <x:v>迷雾丛林</x:v>
      </x:c>
      <x:c r="D76" s="102" t="str">
        <x:v>3层</x:v>
      </x:c>
      <x:c r="E76" s="102" t="str">
        <x:v>稀有</x:v>
      </x:c>
      <x:c r="F76" s="102" t="str">
        <x:v>永眠祖灵</x:v>
      </x:c>
      <x:c r="G76" s="102" t="str">
        <x:v>祖魂巳蛇</x:v>
      </x:c>
      <x:c r="H76" s="102" t="str">
        <x:v>生肖6</x:v>
      </x:c>
      <x:c r="I76" s="147" t="n">
        <x:v>40</x:v>
      </x:c>
      <x:c r="J76" s="102" t="str">
        <x:v>否（材料数量固定）</x:v>
      </x:c>
      <x:c r="K76" s="102" t="str">
        <x:v>仅手动分解；默认不勾选；二次确认</x:v>
      </x:c>
      <x:c r="L76" s="103" t="str">
        <x:v>永眠祖灵专属。蛇骨盘成闭眼的祖灵，梦中仍沿着古老猎场游走。雾散时，人们在古树根下发现祖魂巳蛇，旁边留着永眠祖灵绕树走了一生的蹄印。</x:v>
      </x:c>
    </x:row>
    <x:row r="77">
      <x:c r="A77" s="101" t="str">
        <x:v>C02</x:v>
      </x:c>
      <x:c r="B77" s="102" t="str">
        <x:v>宁姆格福</x:v>
      </x:c>
      <x:c r="C77" s="102" t="str">
        <x:v>迷雾丛林</x:v>
      </x:c>
      <x:c r="D77" s="102" t="str">
        <x:v>3层</x:v>
      </x:c>
      <x:c r="E77" s="102" t="str">
        <x:v>BOSS</x:v>
      </x:c>
      <x:c r="F77" s="102" t="str">
        <x:v>提比亚唤船人·赫洛</x:v>
      </x:c>
      <x:c r="G77" s="102" t="str">
        <x:v>死水午马</x:v>
      </x:c>
      <x:c r="H77" s="102" t="str">
        <x:v>生肖7</x:v>
      </x:c>
      <x:c r="I77" s="147" t="n">
        <x:v>80</x:v>
      </x:c>
      <x:c r="J77" s="102" t="str">
        <x:v>否（材料数量固定）</x:v>
      </x:c>
      <x:c r="K77" s="102" t="str">
        <x:v>仅手动分解；默认不勾选；二次确认</x:v>
      </x:c>
      <x:c r="L77" s="103" t="str">
        <x:v>提比亚唤船人·赫洛专属。骨马从不踏地，只在亡者的倒影上奔跑。猎人带走死水午马后再没走出丛林；第二年，它又挂回原处，表面多了一道人的抓痕。</x:v>
      </x:c>
    </x:row>
    <x:row r="78">
      <x:c r="A78" s="101" t="str">
        <x:v>C02</x:v>
      </x:c>
      <x:c r="B78" s="102" t="str">
        <x:v>宁姆格福</x:v>
      </x:c>
      <x:c r="C78" s="102" t="str">
        <x:v>迷雾丛林</x:v>
      </x:c>
      <x:c r="D78" s="102" t="str">
        <x:v>3层</x:v>
      </x:c>
      <x:c r="E78" s="102" t="str">
        <x:v>BOSS</x:v>
      </x:c>
      <x:c r="F78" s="102" t="str">
        <x:v>雾林熔炉骑士·奥德</x:v>
      </x:c>
      <x:c r="G78" s="102" t="str">
        <x:v>熔炉古玉</x:v>
      </x:c>
      <x:c r="H78" s="102" t="str">
        <x:v>灵玉</x:v>
      </x:c>
      <x:c r="I78" s="147" t="n">
        <x:v>80</x:v>
      </x:c>
      <x:c r="J78" s="102" t="str">
        <x:v>否（材料数量固定）</x:v>
      </x:c>
      <x:c r="K78" s="102" t="str">
        <x:v>仅手动分解；默认不勾选；二次确认</x:v>
      </x:c>
      <x:c r="L78" s="103" t="str">
        <x:v>雾林熔炉骑士·奥德专属。玉中封着熔炉初火，握久了会忘记寒冷是什么。林地祭司说熔炉古玉记得每一条归路，可凡是向它问路的人，最后都会回到雾林熔炉骑士·奥德面前。</x:v>
      </x:c>
    </x:row>
    <x:row r="79">
      <x:c r="A79" s="101" t="str">
        <x:v>C02</x:v>
      </x:c>
      <x:c r="B79" s="102" t="str">
        <x:v>宁姆格福</x:v>
      </x:c>
      <x:c r="C79" s="102" t="str">
        <x:v>风暴山谷</x:v>
      </x:c>
      <x:c r="D79" s="102" t="str">
        <x:v>1层</x:v>
      </x:c>
      <x:c r="E79" s="102" t="str">
        <x:v>普通</x:v>
      </x:c>
      <x:c r="F79" s="102" t="str">
        <x:v>风暴鹰</x:v>
      </x:c>
      <x:c r="G79" s="102" t="str">
        <x:v>风羽战刃</x:v>
      </x:c>
      <x:c r="H79" s="102" t="str">
        <x:v>武器</x:v>
      </x:c>
      <x:c r="I79" s="147" t="n">
        <x:v>20</x:v>
      </x:c>
      <x:c r="J79" s="102" t="str">
        <x:v>否（材料数量固定）</x:v>
      </x:c>
      <x:c r="K79" s="102" t="str">
        <x:v>仅手动分解；默认不勾选；二次确认</x:v>
      </x:c>
      <x:c r="L79" s="103" t="str">
        <x:v>风暴鹰专属。刀脊生着逆向羽毛，挥动时会把风拖回身后。雷暴停歇后，风羽战刃仍在石缝中发热；靠近的人会听见风暴鹰在风里下达最后一次冲锋命令。</x:v>
      </x:c>
    </x:row>
    <x:row r="80">
      <x:c r="A80" s="101" t="str">
        <x:v>C02</x:v>
      </x:c>
      <x:c r="B80" s="102" t="str">
        <x:v>宁姆格福</x:v>
      </x:c>
      <x:c r="C80" s="102" t="str">
        <x:v>风暴山谷</x:v>
      </x:c>
      <x:c r="D80" s="102" t="str">
        <x:v>1层</x:v>
      </x:c>
      <x:c r="E80" s="102" t="str">
        <x:v>普通</x:v>
      </x:c>
      <x:c r="F80" s="102" t="str">
        <x:v>雷羽战鹰</x:v>
      </x:c>
      <x:c r="G80" s="102" t="str">
        <x:v>雷羽战衣</x:v>
      </x:c>
      <x:c r="H80" s="102" t="str">
        <x:v>衣服</x:v>
      </x:c>
      <x:c r="I80" s="147" t="n">
        <x:v>20</x:v>
      </x:c>
      <x:c r="J80" s="102" t="str">
        <x:v>否（材料数量固定）</x:v>
      </x:c>
      <x:c r="K80" s="102" t="str">
        <x:v>仅手动分解；默认不勾选；二次确认</x:v>
      </x:c>
      <x:c r="L80" s="103" t="str">
        <x:v>雷羽战鹰专属。每根雷羽都烧焦过一次，却仍在暴雨中发亮。山谷居民曾用雷羽战衣为失踪者引路，火光却总转向悬崖，仿佛那里才是雷羽战鹰认定的归宿。</x:v>
      </x:c>
    </x:row>
    <x:row r="81">
      <x:c r="A81" s="101" t="str">
        <x:v>C02</x:v>
      </x:c>
      <x:c r="B81" s="102" t="str">
        <x:v>宁姆格福</x:v>
      </x:c>
      <x:c r="C81" s="102" t="str">
        <x:v>风暴山谷</x:v>
      </x:c>
      <x:c r="D81" s="102" t="str">
        <x:v>1层、2层</x:v>
      </x:c>
      <x:c r="E81" s="102" t="str">
        <x:v>普通</x:v>
      </x:c>
      <x:c r="F81" s="102" t="str">
        <x:v>山谷巨人</x:v>
      </x:c>
      <x:c r="G81" s="102" t="str">
        <x:v>巨人铁盔</x:v>
      </x:c>
      <x:c r="H81" s="102" t="str">
        <x:v>头盔</x:v>
      </x:c>
      <x:c r="I81" s="147" t="n">
        <x:v>20</x:v>
      </x:c>
      <x:c r="J81" s="102" t="str">
        <x:v>否（材料数量固定）</x:v>
      </x:c>
      <x:c r="K81" s="102" t="str">
        <x:v>仅手动分解；默认不勾选；二次确认</x:v>
      </x:c>
      <x:c r="L81" s="103" t="str">
        <x:v>山谷巨人专属。铁盔本是山谷城门，巨人把门闩当成了护鼻。每当风向倒转，巨人铁盔便会自行震动，把持有者一步步带回山谷巨人战死的祭台。</x:v>
      </x:c>
    </x:row>
    <x:row r="82">
      <x:c r="A82" s="101" t="str">
        <x:v>C02</x:v>
      </x:c>
      <x:c r="B82" s="102" t="str">
        <x:v>宁姆格福</x:v>
      </x:c>
      <x:c r="C82" s="102" t="str">
        <x:v>风暴山谷</x:v>
      </x:c>
      <x:c r="D82" s="102" t="str">
        <x:v>1层、2层</x:v>
      </x:c>
      <x:c r="E82" s="102" t="str">
        <x:v>普通</x:v>
      </x:c>
      <x:c r="F82" s="102" t="str">
        <x:v>风蚀山羊</x:v>
      </x:c>
      <x:c r="G82" s="102" t="str">
        <x:v>风角骨戒</x:v>
      </x:c>
      <x:c r="H82" s="102" t="str">
        <x:v>戒指</x:v>
      </x:c>
      <x:c r="I82" s="147" t="n">
        <x:v>20</x:v>
      </x:c>
      <x:c r="J82" s="102" t="str">
        <x:v>否（材料数量固定）</x:v>
      </x:c>
      <x:c r="K82" s="102" t="str">
        <x:v>仅手动分解；默认不勾选；二次确认</x:v>
      </x:c>
      <x:c r="L82" s="103" t="str">
        <x:v>风蚀山羊专属。戒面弯角会随着风向转动，永远指向最陡的山壁。雷暴停歇后，风角骨戒仍在石缝中发热；靠近的人会听见风蚀山羊在风里下达最后一次冲锋命令。</x:v>
      </x:c>
    </x:row>
    <x:row r="83">
      <x:c r="A83" s="101" t="str">
        <x:v>C02</x:v>
      </x:c>
      <x:c r="B83" s="102" t="str">
        <x:v>宁姆格福</x:v>
      </x:c>
      <x:c r="C83" s="102" t="str">
        <x:v>风暴山谷</x:v>
      </x:c>
      <x:c r="D83" s="102" t="str">
        <x:v>2层、3层</x:v>
      </x:c>
      <x:c r="E83" s="102" t="str">
        <x:v>普通</x:v>
      </x:c>
      <x:c r="F83" s="102" t="str">
        <x:v>风暴流寇</x:v>
      </x:c>
      <x:c r="G83" s="102" t="str">
        <x:v>流寇束带</x:v>
      </x:c>
      <x:c r="H83" s="102" t="str">
        <x:v>腰带</x:v>
      </x:c>
      <x:c r="I83" s="147" t="n">
        <x:v>20</x:v>
      </x:c>
      <x:c r="J83" s="102" t="str">
        <x:v>否（材料数量固定）</x:v>
      </x:c>
      <x:c r="K83" s="102" t="str">
        <x:v>仅手动分解；默认不勾选；二次确认</x:v>
      </x:c>
      <x:c r="L83" s="103" t="str">
        <x:v>风暴流寇专属。束带藏着七把钥匙，却没有一把属于流寇自己。山谷居民曾用流寇束带为失踪者引路，火光却总转向悬崖，仿佛那里才是风暴流寇认定的归宿。</x:v>
      </x:c>
    </x:row>
    <x:row r="84">
      <x:c r="A84" s="101" t="str">
        <x:v>C02</x:v>
      </x:c>
      <x:c r="B84" s="102" t="str">
        <x:v>宁姆格福</x:v>
      </x:c>
      <x:c r="C84" s="102" t="str">
        <x:v>风暴山谷</x:v>
      </x:c>
      <x:c r="D84" s="102" t="str">
        <x:v>2层、3层</x:v>
      </x:c>
      <x:c r="E84" s="102" t="str">
        <x:v>普通</x:v>
      </x:c>
      <x:c r="F84" s="102" t="str">
        <x:v>雷痕石蜥</x:v>
      </x:c>
      <x:c r="G84" s="102" t="str">
        <x:v>雷痕石盾</x:v>
      </x:c>
      <x:c r="H84" s="102" t="str">
        <x:v>盾牌</x:v>
      </x:c>
      <x:c r="I84" s="147" t="n">
        <x:v>20</x:v>
      </x:c>
      <x:c r="J84" s="102" t="str">
        <x:v>否（材料数量固定）</x:v>
      </x:c>
      <x:c r="K84" s="102" t="str">
        <x:v>仅手动分解；默认不勾选；二次确认</x:v>
      </x:c>
      <x:c r="L84" s="103" t="str">
        <x:v>雷痕石蜥专属。雷痕每夜向盾心推进，至今仍差最后一寸。每当风向倒转，雷痕石盾便会自行震动，把持有者一步步带回雷痕石蜥战死的祭台。</x:v>
      </x:c>
    </x:row>
    <x:row r="85">
      <x:c r="A85" s="101" t="str">
        <x:v>C02</x:v>
      </x:c>
      <x:c r="B85" s="102" t="str">
        <x:v>宁姆格福</x:v>
      </x:c>
      <x:c r="C85" s="102" t="str">
        <x:v>风暴山谷</x:v>
      </x:c>
      <x:c r="D85" s="102" t="str">
        <x:v>1层、2层</x:v>
      </x:c>
      <x:c r="E85" s="102" t="str">
        <x:v>稀有</x:v>
      </x:c>
      <x:c r="F85" s="102" t="str">
        <x:v>山妖统领</x:v>
      </x:c>
      <x:c r="G85" s="102" t="str">
        <x:v>山妖魂玉</x:v>
      </x:c>
      <x:c r="H85" s="102" t="str">
        <x:v>灵玉</x:v>
      </x:c>
      <x:c r="I85" s="147" t="n">
        <x:v>40</x:v>
      </x:c>
      <x:c r="J85" s="102" t="str">
        <x:v>否（材料数量固定）</x:v>
      </x:c>
      <x:c r="K85" s="102" t="str">
        <x:v>仅手动分解；默认不勾选；二次确认</x:v>
      </x:c>
      <x:c r="L85" s="103" t="str">
        <x:v>山妖统领专属。魂玉里回荡着统领的号角，听久了会想向悬崖冲锋。雷暴停歇后，山妖魂玉仍在石缝中发热；靠近的人会听见山妖统领在风里下达最后一次冲锋命令。</x:v>
      </x:c>
    </x:row>
    <x:row r="86">
      <x:c r="A86" s="101" t="str">
        <x:v>C02</x:v>
      </x:c>
      <x:c r="B86" s="102" t="str">
        <x:v>宁姆格福</x:v>
      </x:c>
      <x:c r="C86" s="102" t="str">
        <x:v>风暴山谷</x:v>
      </x:c>
      <x:c r="D86" s="102" t="str">
        <x:v>2层</x:v>
      </x:c>
      <x:c r="E86" s="102" t="str">
        <x:v>稀有</x:v>
      </x:c>
      <x:c r="F86" s="102" t="str">
        <x:v>战鹰驯兽师</x:v>
      </x:c>
      <x:c r="G86" s="102" t="str">
        <x:v>鹰主风冠</x:v>
      </x:c>
      <x:c r="H86" s="102" t="str">
        <x:v>时装头盔</x:v>
      </x:c>
      <x:c r="I86" s="147" t="n">
        <x:v>40</x:v>
      </x:c>
      <x:c r="J86" s="102" t="str">
        <x:v>否（材料数量固定）</x:v>
      </x:c>
      <x:c r="K86" s="102" t="str">
        <x:v>仅手动分解；默认不勾选；二次确认</x:v>
      </x:c>
      <x:c r="L86" s="103" t="str">
        <x:v>战鹰驯兽师专属。风冠没有羽毛，却能让所有战鹰低头。山谷居民曾用鹰主风冠为失踪者引路，火光却总转向悬崖，仿佛那里才是战鹰驯兽师认定的归宿。</x:v>
      </x:c>
    </x:row>
    <x:row r="87">
      <x:c r="A87" s="101" t="str">
        <x:v>C02</x:v>
      </x:c>
      <x:c r="B87" s="102" t="str">
        <x:v>宁姆格福</x:v>
      </x:c>
      <x:c r="C87" s="102" t="str">
        <x:v>风暴山谷</x:v>
      </x:c>
      <x:c r="D87" s="102" t="str">
        <x:v>2层、3层</x:v>
      </x:c>
      <x:c r="E87" s="102" t="str">
        <x:v>稀有</x:v>
      </x:c>
      <x:c r="F87" s="102" t="str">
        <x:v>熔炉百夫长</x:v>
      </x:c>
      <x:c r="G87" s="102" t="str">
        <x:v>百夫熔戟</x:v>
      </x:c>
      <x:c r="H87" s="102" t="str">
        <x:v>时装武器</x:v>
      </x:c>
      <x:c r="I87" s="147" t="n">
        <x:v>40</x:v>
      </x:c>
      <x:c r="J87" s="102" t="str">
        <x:v>否（材料数量固定）</x:v>
      </x:c>
      <x:c r="K87" s="102" t="str">
        <x:v>仅手动分解；默认不勾选；二次确认</x:v>
      </x:c>
      <x:c r="L87" s="103" t="str">
        <x:v>熔炉百夫长专属。戟刃只在败兵面前点燃，用来照清他们最后的表情。每当风向倒转，百夫熔戟便会自行震动，把持有者一步步带回熔炉百夫长战死的祭台。</x:v>
      </x:c>
    </x:row>
    <x:row r="88">
      <x:c r="A88" s="101" t="str">
        <x:v>C02</x:v>
      </x:c>
      <x:c r="B88" s="102" t="str">
        <x:v>宁姆格福</x:v>
      </x:c>
      <x:c r="C88" s="102" t="str">
        <x:v>风暴山谷</x:v>
      </x:c>
      <x:c r="D88" s="102" t="str">
        <x:v>3层</x:v>
      </x:c>
      <x:c r="E88" s="102" t="str">
        <x:v>稀有</x:v>
      </x:c>
      <x:c r="F88" s="102" t="str">
        <x:v>死亡仪鸟</x:v>
      </x:c>
      <x:c r="G88" s="102" t="str">
        <x:v>葬日未羊</x:v>
      </x:c>
      <x:c r="H88" s="102" t="str">
        <x:v>生肖8</x:v>
      </x:c>
      <x:c r="I88" s="147" t="n">
        <x:v>40</x:v>
      </x:c>
      <x:c r="J88" s="102" t="str">
        <x:v>否（材料数量固定）</x:v>
      </x:c>
      <x:c r="K88" s="102" t="str">
        <x:v>仅手动分解；默认不勾选；二次确认</x:v>
      </x:c>
      <x:c r="L88" s="103" t="str">
        <x:v>死亡仪鸟专属。黑羊角上挂着太阳的灰，每逢清晨便落下一层。雷暴停歇后，葬日未羊仍在石缝中发热；靠近的人会听见死亡仪鸟在风里下达最后一次冲锋命令。</x:v>
      </x:c>
    </x:row>
    <x:row r="89">
      <x:c r="A89" s="101" t="str">
        <x:v>C02</x:v>
      </x:c>
      <x:c r="B89" s="102" t="str">
        <x:v>宁姆格福</x:v>
      </x:c>
      <x:c r="C89" s="102" t="str">
        <x:v>风暴山谷</x:v>
      </x:c>
      <x:c r="D89" s="102" t="str">
        <x:v>3层</x:v>
      </x:c>
      <x:c r="E89" s="102" t="str">
        <x:v>BOSS</x:v>
      </x:c>
      <x:c r="F89" s="102" t="str">
        <x:v>风暴君王·奥雷格</x:v>
      </x:c>
      <x:c r="G89" s="102" t="str">
        <x:v>雷冠申猴</x:v>
      </x:c>
      <x:c r="H89" s="102" t="str">
        <x:v>生肖9</x:v>
      </x:c>
      <x:c r="I89" s="147" t="n">
        <x:v>80</x:v>
      </x:c>
      <x:c r="J89" s="102" t="str">
        <x:v>否（材料数量固定）</x:v>
      </x:c>
      <x:c r="K89" s="102" t="str">
        <x:v>仅手动分解；默认不勾选；二次确认</x:v>
      </x:c>
      <x:c r="L89" s="103" t="str">
        <x:v>风暴君王·奥雷格专属。猴面雷冠会模仿前任君王的声音，下达相反的命令。山谷居民曾用雷冠申猴为失踪者引路，火光却总转向悬崖，仿佛那里才是风暴君王·奥雷格认定的归宿。</x:v>
      </x:c>
    </x:row>
    <x:row r="90">
      <x:c r="A90" s="101" t="str">
        <x:v>C02</x:v>
      </x:c>
      <x:c r="B90" s="102" t="str">
        <x:v>宁姆格福</x:v>
      </x:c>
      <x:c r="C90" s="102" t="str">
        <x:v>风暴山谷</x:v>
      </x:c>
      <x:c r="D90" s="102" t="str">
        <x:v>3层</x:v>
      </x:c>
      <x:c r="E90" s="102" t="str">
        <x:v>BOSS</x:v>
      </x:c>
      <x:c r="F90" s="102" t="str">
        <x:v>恶兆妖鬼·玛尔基特</x:v>
      </x:c>
      <x:c r="G90" s="102" t="str">
        <x:v>恶兆酉鸡</x:v>
      </x:c>
      <x:c r="H90" s="102" t="str">
        <x:v>生肖10</x:v>
      </x:c>
      <x:c r="I90" s="147" t="n">
        <x:v>80</x:v>
      </x:c>
      <x:c r="J90" s="102" t="str">
        <x:v>否（材料数量固定）</x:v>
      </x:c>
      <x:c r="K90" s="102" t="str">
        <x:v>仅手动分解；默认不勾选；二次确认</x:v>
      </x:c>
      <x:c r="L90" s="103" t="str">
        <x:v>恶兆妖鬼·玛尔基特专属。鸡骨在黎明前啼叫，宣告的不是日出，而是谁将死去。每当风向倒转，恶兆酉鸡便会自行震动，把持有者一步步带回恶兆妖鬼·玛尔基特战死的祭台。</x:v>
      </x:c>
    </x:row>
    <x:row r="91">
      <x:c r="A91" s="101" t="str">
        <x:v>C02</x:v>
      </x:c>
      <x:c r="B91" s="102" t="str">
        <x:v>宁姆格福</x:v>
      </x:c>
      <x:c r="C91" s="102" t="str">
        <x:v>史东薇尔王城</x:v>
      </x:c>
      <x:c r="D91" s="102" t="str">
        <x:v>1层</x:v>
      </x:c>
      <x:c r="E91" s="102" t="str">
        <x:v>普通</x:v>
      </x:c>
      <x:c r="F91" s="102" t="str">
        <x:v>王城流刑兵</x:v>
      </x:c>
      <x:c r="G91" s="102" t="str">
        <x:v>流刑王刃</x:v>
      </x:c>
      <x:c r="H91" s="102" t="str">
        <x:v>武器</x:v>
      </x:c>
      <x:c r="I91" s="147" t="n">
        <x:v>20</x:v>
      </x:c>
      <x:c r="J91" s="102" t="str">
        <x:v>否（材料数量固定）</x:v>
      </x:c>
      <x:c r="K91" s="102" t="str">
        <x:v>仅手动分解；默认不勾选；二次确认</x:v>
      </x:c>
      <x:c r="L91" s="103" t="str">
        <x:v>王城流刑兵专属。刀柄刻着赦免令，只有被处死后才能完整看见。王城换过许多主人，流刑王刃却始终留在原位；据说王城流刑兵的誓言比王座活得更久。</x:v>
      </x:c>
    </x:row>
    <x:row r="92">
      <x:c r="A92" s="101" t="str">
        <x:v>C02</x:v>
      </x:c>
      <x:c r="B92" s="102" t="str">
        <x:v>宁姆格福</x:v>
      </x:c>
      <x:c r="C92" s="102" t="str">
        <x:v>史东薇尔王城</x:v>
      </x:c>
      <x:c r="D92" s="102" t="str">
        <x:v>1层</x:v>
      </x:c>
      <x:c r="E92" s="102" t="str">
        <x:v>普通</x:v>
      </x:c>
      <x:c r="F92" s="102" t="str">
        <x:v>失乡斧卫</x:v>
      </x:c>
      <x:c r="G92" s="102" t="str">
        <x:v>失乡斧铠</x:v>
      </x:c>
      <x:c r="H92" s="102" t="str">
        <x:v>衣服</x:v>
      </x:c>
      <x:c r="I92" s="147" t="n">
        <x:v>20</x:v>
      </x:c>
      <x:c r="J92" s="102" t="str">
        <x:v>否（材料数量固定）</x:v>
      </x:c>
      <x:c r="K92" s="102" t="str">
        <x:v>仅手动分解；默认不勾选；二次确认</x:v>
      </x:c>
      <x:c r="L92" s="103" t="str">
        <x:v>失乡斧卫专属。斧卫把故乡地图缝进甲里，针线最终只围成一座牢笼。行刑钟响起时，失乡斧铠会映出一双不属于持有者的手，那是失乡斧卫最后没能接上的肢体。</x:v>
      </x:c>
    </x:row>
    <x:row r="93">
      <x:c r="A93" s="101" t="str">
        <x:v>C02</x:v>
      </x:c>
      <x:c r="B93" s="102" t="str">
        <x:v>宁姆格福</x:v>
      </x:c>
      <x:c r="C93" s="102" t="str">
        <x:v>史东薇尔王城</x:v>
      </x:c>
      <x:c r="D93" s="102" t="str">
        <x:v>1层、2层</x:v>
      </x:c>
      <x:c r="E93" s="102" t="str">
        <x:v>普通</x:v>
      </x:c>
      <x:c r="F93" s="102" t="str">
        <x:v>火药弩兵</x:v>
      </x:c>
      <x:c r="G93" s="102" t="str">
        <x:v>火药锁链</x:v>
      </x:c>
      <x:c r="H93" s="102" t="str">
        <x:v>项链</x:v>
      </x:c>
      <x:c r="I93" s="147" t="n">
        <x:v>20</x:v>
      </x:c>
      <x:c r="J93" s="102" t="str">
        <x:v>否（材料数量固定）</x:v>
      </x:c>
      <x:c r="K93" s="102" t="str">
        <x:v>仅手动分解；默认不勾选；二次确认</x:v>
      </x:c>
      <x:c r="L93" s="103" t="str">
        <x:v>火药弩兵专属。链盒里装着最后一撮火药，足够炸开门，却不够炸断锁。侍从在密室账册里只找到一行记录：火药锁链已经归还，而火药弩兵仍欠王城一条命。</x:v>
      </x:c>
    </x:row>
    <x:row r="94">
      <x:c r="A94" s="101" t="str">
        <x:v>C02</x:v>
      </x:c>
      <x:c r="B94" s="102" t="str">
        <x:v>宁姆格福</x:v>
      </x:c>
      <x:c r="C94" s="102" t="str">
        <x:v>史东薇尔王城</x:v>
      </x:c>
      <x:c r="D94" s="102" t="str">
        <x:v>1层、2层</x:v>
      </x:c>
      <x:c r="E94" s="102" t="str">
        <x:v>普通</x:v>
      </x:c>
      <x:c r="F94" s="102" t="str">
        <x:v>刀翼战鹰</x:v>
      </x:c>
      <x:c r="G94" s="102" t="str">
        <x:v>刀翼王盔</x:v>
      </x:c>
      <x:c r="H94" s="102" t="str">
        <x:v>头盔</x:v>
      </x:c>
      <x:c r="I94" s="147" t="n">
        <x:v>20</x:v>
      </x:c>
      <x:c r="J94" s="102" t="str">
        <x:v>否（材料数量固定）</x:v>
      </x:c>
      <x:c r="K94" s="102" t="str">
        <x:v>仅手动分解；默认不勾选；二次确认</x:v>
      </x:c>
      <x:c r="L94" s="103" t="str">
        <x:v>刀翼战鹰专属。盔侧刀羽会在主人后退时自行展开，割伤他的脖颈。王城换过许多主人，刀翼王盔却始终留在原位；据说刀翼战鹰的誓言比王座活得更久。</x:v>
      </x:c>
    </x:row>
    <x:row r="95">
      <x:c r="A95" s="101" t="str">
        <x:v>C02</x:v>
      </x:c>
      <x:c r="B95" s="102" t="str">
        <x:v>宁姆格福</x:v>
      </x:c>
      <x:c r="C95" s="102" t="str">
        <x:v>史东薇尔王城</x:v>
      </x:c>
      <x:c r="D95" s="102" t="str">
        <x:v>2层、3层</x:v>
      </x:c>
      <x:c r="E95" s="102" t="str">
        <x:v>普通</x:v>
      </x:c>
      <x:c r="F95" s="102" t="str">
        <x:v>接肢侍从</x:v>
      </x:c>
      <x:c r="G95" s="102" t="str">
        <x:v>百指腕甲</x:v>
      </x:c>
      <x:c r="H95" s="102" t="str">
        <x:v>手镯</x:v>
      </x:c>
      <x:c r="I95" s="147" t="n">
        <x:v>20</x:v>
      </x:c>
      <x:c r="J95" s="102" t="str">
        <x:v>否（材料数量固定）</x:v>
      </x:c>
      <x:c r="K95" s="102" t="str">
        <x:v>仅手动分解；默认不勾选；二次确认</x:v>
      </x:c>
      <x:c r="L95" s="103" t="str">
        <x:v>接肢侍从专属。腕甲内藏着多余的手指，夜里会替主人握紧武器。行刑钟响起时，百指腕甲会映出一双不属于持有者的手，那是接肢侍从最后没能接上的肢体。</x:v>
      </x:c>
    </x:row>
    <x:row r="96">
      <x:c r="A96" s="101" t="str">
        <x:v>C02</x:v>
      </x:c>
      <x:c r="B96" s="102" t="str">
        <x:v>宁姆格福</x:v>
      </x:c>
      <x:c r="C96" s="102" t="str">
        <x:v>史东薇尔王城</x:v>
      </x:c>
      <x:c r="D96" s="102" t="str">
        <x:v>2层、3层</x:v>
      </x:c>
      <x:c r="E96" s="102" t="str">
        <x:v>普通</x:v>
      </x:c>
      <x:c r="F96" s="102" t="str">
        <x:v>王城禁卫</x:v>
      </x:c>
      <x:c r="G96" s="102" t="str">
        <x:v>禁卫誓戒</x:v>
      </x:c>
      <x:c r="H96" s="102" t="str">
        <x:v>戒指</x:v>
      </x:c>
      <x:c r="I96" s="147" t="n">
        <x:v>20</x:v>
      </x:c>
      <x:c r="J96" s="102" t="str">
        <x:v>否（材料数量固定）</x:v>
      </x:c>
      <x:c r="K96" s="102" t="str">
        <x:v>仅手动分解；默认不勾选；二次确认</x:v>
      </x:c>
      <x:c r="L96" s="103" t="str">
        <x:v>王城禁卫专属。誓戒一旦摘下，所有被守卫拒之门外的人都会同时敲门。侍从在密室账册里只找到一行记录：禁卫誓戒已经归还，而王城禁卫仍欠王城一条命。</x:v>
      </x:c>
    </x:row>
    <x:row r="97">
      <x:c r="A97" s="101" t="str">
        <x:v>C02</x:v>
      </x:c>
      <x:c r="B97" s="102" t="str">
        <x:v>宁姆格福</x:v>
      </x:c>
      <x:c r="C97" s="102" t="str">
        <x:v>史东薇尔王城</x:v>
      </x:c>
      <x:c r="D97" s="102" t="str">
        <x:v>1层、2层</x:v>
      </x:c>
      <x:c r="E97" s="102" t="str">
        <x:v>稀有</x:v>
      </x:c>
      <x:c r="F97" s="102" t="str">
        <x:v>失乡骑士长</x:v>
      </x:c>
      <x:c r="G97" s="102" t="str">
        <x:v>失乡统帅勋</x:v>
      </x:c>
      <x:c r="H97" s="102" t="str">
        <x:v>勋章</x:v>
      </x:c>
      <x:c r="I97" s="147" t="n">
        <x:v>40</x:v>
      </x:c>
      <x:c r="J97" s="102" t="str">
        <x:v>否（材料数量固定）</x:v>
      </x:c>
      <x:c r="K97" s="102" t="str">
        <x:v>仅手动分解；默认不勾选；二次确认</x:v>
      </x:c>
      <x:c r="L97" s="103" t="str">
        <x:v>失乡骑士长专属。勋章背面没有国王头像，只有一扇永远关闭的城门。王城换过许多主人，失乡统帅勋却始终留在原位；据说失乡骑士长的誓言比王座活得更久。</x:v>
      </x:c>
    </x:row>
    <x:row r="98">
      <x:c r="A98" s="101" t="str">
        <x:v>C02</x:v>
      </x:c>
      <x:c r="B98" s="102" t="str">
        <x:v>宁姆格福</x:v>
      </x:c>
      <x:c r="C98" s="102" t="str">
        <x:v>史东薇尔王城</x:v>
      </x:c>
      <x:c r="D98" s="102" t="str">
        <x:v>2层</x:v>
      </x:c>
      <x:c r="E98" s="102" t="str">
        <x:v>稀有</x:v>
      </x:c>
      <x:c r="F98" s="102" t="str">
        <x:v>接肢狮卫</x:v>
      </x:c>
      <x:c r="G98" s="102" t="str">
        <x:v>百骸狮盾</x:v>
      </x:c>
      <x:c r="H98" s="102" t="str">
        <x:v>盾牌</x:v>
      </x:c>
      <x:c r="I98" s="147" t="n">
        <x:v>40</x:v>
      </x:c>
      <x:c r="J98" s="102" t="str">
        <x:v>否（材料数量固定）</x:v>
      </x:c>
      <x:c r="K98" s="102" t="str">
        <x:v>仅手动分解；默认不勾选；二次确认</x:v>
      </x:c>
      <x:c r="L98" s="103" t="str">
        <x:v>接肢狮卫专属。狮盾吼叫时，盾后会伸出不属于持盾者的手臂。行刑钟响起时，百骸狮盾会映出一双不属于持有者的手，那是接肢狮卫最后没能接上的肢体。</x:v>
      </x:c>
    </x:row>
    <x:row r="99">
      <x:c r="A99" s="101" t="str">
        <x:v>C02</x:v>
      </x:c>
      <x:c r="B99" s="102" t="str">
        <x:v>宁姆格福</x:v>
      </x:c>
      <x:c r="C99" s="102" t="str">
        <x:v>史东薇尔王城</x:v>
      </x:c>
      <x:c r="D99" s="102" t="str">
        <x:v>2层、3层</x:v>
      </x:c>
      <x:c r="E99" s="102" t="str">
        <x:v>稀有</x:v>
      </x:c>
      <x:c r="F99" s="102" t="str">
        <x:v>黑焰礼拜官</x:v>
      </x:c>
      <x:c r="G99" s="102" t="str">
        <x:v>黑焰王玉</x:v>
      </x:c>
      <x:c r="H99" s="102" t="str">
        <x:v>灵玉</x:v>
      </x:c>
      <x:c r="I99" s="147" t="n">
        <x:v>40</x:v>
      </x:c>
      <x:c r="J99" s="102" t="str">
        <x:v>否（材料数量固定）</x:v>
      </x:c>
      <x:c r="K99" s="102" t="str">
        <x:v>仅手动分解；默认不勾选；二次确认</x:v>
      </x:c>
      <x:c r="L99" s="103" t="str">
        <x:v>黑焰礼拜官专属。黑焰不烧肉身，只把祈祷者相信过的东西一件件焚尽。侍从在密室账册里只找到一行记录：黑焰王玉已经归还，而黑焰礼拜官仍欠王城一条命。</x:v>
      </x:c>
    </x:row>
    <x:row r="100">
      <x:c r="A100" s="101" t="str">
        <x:v>C02</x:v>
      </x:c>
      <x:c r="B100" s="102" t="str">
        <x:v>宁姆格福</x:v>
      </x:c>
      <x:c r="C100" s="102" t="str">
        <x:v>史东薇尔王城</x:v>
      </x:c>
      <x:c r="D100" s="102" t="str">
        <x:v>3层</x:v>
      </x:c>
      <x:c r="E100" s="102" t="str">
        <x:v>稀有</x:v>
      </x:c>
      <x:c r="F100" s="102" t="str">
        <x:v>王城执刑官</x:v>
      </x:c>
      <x:c r="G100" s="102" t="str">
        <x:v>王城断罪刃</x:v>
      </x:c>
      <x:c r="H100" s="102" t="str">
        <x:v>时装武器</x:v>
      </x:c>
      <x:c r="I100" s="147" t="n">
        <x:v>40</x:v>
      </x:c>
      <x:c r="J100" s="102" t="str">
        <x:v>否（材料数量固定）</x:v>
      </x:c>
      <x:c r="K100" s="102" t="str">
        <x:v>仅手动分解；默认不勾选；二次确认</x:v>
      </x:c>
      <x:c r="L100" s="103" t="str">
        <x:v>王城执刑官专属。断罪刃没有锋口，受刑者却总会在宣判前流血。王城换过许多主人，王城断罪刃却始终留在原位；据说王城执刑官的誓言比王座活得更久。</x:v>
      </x:c>
    </x:row>
    <x:row r="101">
      <x:c r="A101" s="101" t="str">
        <x:v>C02</x:v>
      </x:c>
      <x:c r="B101" s="102" t="str">
        <x:v>宁姆格福</x:v>
      </x:c>
      <x:c r="C101" s="102" t="str">
        <x:v>史东薇尔王城</x:v>
      </x:c>
      <x:c r="D101" s="102" t="str">
        <x:v>3层</x:v>
      </x:c>
      <x:c r="E101" s="102" t="str">
        <x:v>BOSS</x:v>
      </x:c>
      <x:c r="F101" s="102" t="str">
        <x:v>接肢兽将·戈德温</x:v>
      </x:c>
      <x:c r="G101" s="102" t="str">
        <x:v>百骸王衣</x:v>
      </x:c>
      <x:c r="H101" s="102" t="str">
        <x:v>时装衣服</x:v>
      </x:c>
      <x:c r="I101" s="147" t="n">
        <x:v>80</x:v>
      </x:c>
      <x:c r="J101" s="102" t="str">
        <x:v>否（材料数量固定）</x:v>
      </x:c>
      <x:c r="K101" s="102" t="str">
        <x:v>仅手动分解；默认不勾选；二次确认</x:v>
      </x:c>
      <x:c r="L101" s="103" t="str">
        <x:v>接肢兽将·戈德温专属。王衣的每条袖子都属于不同主人，只有最里面那双手仍在挣扎。行刑钟响起时，百骸王衣会映出一双不属于持有者的手，那是接肢兽将·戈德温最后没能接上的肢体。</x:v>
      </x:c>
    </x:row>
    <x:row r="102">
      <x:c r="A102" s="101" t="str">
        <x:v>C02</x:v>
      </x:c>
      <x:c r="B102" s="102" t="str">
        <x:v>宁姆格福</x:v>
      </x:c>
      <x:c r="C102" s="102" t="str">
        <x:v>史东薇尔王城</x:v>
      </x:c>
      <x:c r="D102" s="102" t="str">
        <x:v>3层</x:v>
      </x:c>
      <x:c r="E102" s="102" t="str">
        <x:v>BOSS</x:v>
      </x:c>
      <x:c r="F102" s="102" t="str">
        <x:v>失乡统帅·欧尼尔</x:v>
      </x:c>
      <x:c r="G102" s="102" t="str">
        <x:v>失乡戌狗</x:v>
      </x:c>
      <x:c r="H102" s="102" t="str">
        <x:v>生肖11</x:v>
      </x:c>
      <x:c r="I102" s="147" t="n">
        <x:v>80</x:v>
      </x:c>
      <x:c r="J102" s="102" t="str">
        <x:v>否（材料数量固定）</x:v>
      </x:c>
      <x:c r="K102" s="102" t="str">
        <x:v>仅手动分解；默认不勾选；二次确认</x:v>
      </x:c>
      <x:c r="L102" s="103" t="str">
        <x:v>失乡统帅·欧尼尔专属。铁犬守着一面无国徽的军旗，谁靠近就咬住谁的影子。侍从在密室账册里只找到一行记录：失乡戌狗已经归还，而失乡统帅·欧尼尔仍欠王城一条命。</x:v>
      </x:c>
    </x:row>
    <x:row r="103">
      <x:c r="A103" s="101" t="str">
        <x:v>C02</x:v>
      </x:c>
      <x:c r="B103" s="102" t="str">
        <x:v>宁姆格福</x:v>
      </x:c>
      <x:c r="C103" s="102" t="str">
        <x:v>史东薇尔王城</x:v>
      </x:c>
      <x:c r="D103" s="102" t="str">
        <x:v>4层</x:v>
      </x:c>
      <x:c r="E103" s="102" t="str">
        <x:v>守关BOSS</x:v>
      </x:c>
      <x:c r="F103" s="102" t="str">
        <x:v>接肢君王·葛瑞克</x:v>
      </x:c>
      <x:c r="G103" s="102" t="str">
        <x:v>接肢亥猪</x:v>
      </x:c>
      <x:c r="H103" s="102" t="str">
        <x:v>生肖12</x:v>
      </x:c>
      <x:c r="I103" s="147" t="n">
        <x:v>80</x:v>
      </x:c>
      <x:c r="J103" s="102" t="str">
        <x:v>否（材料数量固定）</x:v>
      </x:c>
      <x:c r="K103" s="102" t="str">
        <x:v>仅手动分解；默认不勾选；二次确认</x:v>
      </x:c>
      <x:c r="L103" s="103" t="str">
        <x:v>接肢君王·葛瑞克专属。铜猪吞下无数断肢，却始终长不出属于自己的王者之手。王城换过许多主人，接肢亥猪却始终留在原位；据说接肢君王·葛瑞克的誓言比王座活得更久。</x:v>
      </x:c>
    </x:row>
    <x:row r="104">
      <x:c r="A104" s="101" t="str">
        <x:v>C03</x:v>
      </x:c>
      <x:c r="B104" s="102" t="str">
        <x:v>宁姆格福西域</x:v>
      </x:c>
      <x:c r="C104" s="102" t="str">
        <x:v>西境荒原</x:v>
      </x:c>
      <x:c r="D104" s="102" t="n">
        <x:v>1</x:v>
      </x:c>
      <x:c r="E104" s="102" t="str">
        <x:v>普通</x:v>
      </x:c>
      <x:c r="F104" s="102" t="str">
        <x:v>荒原拾骨者</x:v>
      </x:c>
      <x:c r="G104" s="102" t="str">
        <x:v>拾骨弯刀</x:v>
      </x:c>
      <x:c r="H104" s="102" t="str">
        <x:v>武器</x:v>
      </x:c>
      <x:c r="I104" s="147" t="n">
        <x:v>30</x:v>
      </x:c>
      <x:c r="J104" s="102" t="str">
        <x:v>否（材料数量固定）</x:v>
      </x:c>
      <x:c r="K104" s="102" t="str">
        <x:v>仅手动分解；默认不勾选；二次确认</x:v>
      </x:c>
      <x:c r="L104" s="103" t="str">
        <x:v>一怪一专属；专属来源跟随本行准确地图号</x:v>
      </x:c>
    </x:row>
    <x:row r="105">
      <x:c r="A105" s="101" t="str">
        <x:v>C03</x:v>
      </x:c>
      <x:c r="B105" s="102" t="str">
        <x:v>宁姆格福西域</x:v>
      </x:c>
      <x:c r="C105" s="102" t="str">
        <x:v>西境荒原</x:v>
      </x:c>
      <x:c r="D105" s="102" t="n">
        <x:v>3</x:v>
      </x:c>
      <x:c r="E105" s="102" t="str">
        <x:v>普通</x:v>
      </x:c>
      <x:c r="F105" s="102" t="str">
        <x:v>断旗步兵</x:v>
      </x:c>
      <x:c r="G105" s="102" t="str">
        <x:v>断旗战链</x:v>
      </x:c>
      <x:c r="H105" s="102" t="str">
        <x:v>项链</x:v>
      </x:c>
      <x:c r="I105" s="147" t="n">
        <x:v>30</x:v>
      </x:c>
      <x:c r="J105" s="102" t="str">
        <x:v>否（材料数量固定）</x:v>
      </x:c>
      <x:c r="K105" s="102" t="str">
        <x:v>仅手动分解；默认不勾选；二次确认</x:v>
      </x:c>
      <x:c r="L105" s="103" t="str">
        <x:v>一怪一专属；专属来源跟随本行准确地图号</x:v>
      </x:c>
    </x:row>
    <x:row r="106">
      <x:c r="A106" s="101" t="str">
        <x:v>C03</x:v>
      </x:c>
      <x:c r="B106" s="102" t="str">
        <x:v>宁姆格福西域</x:v>
      </x:c>
      <x:c r="C106" s="102" t="str">
        <x:v>西境荒原</x:v>
      </x:c>
      <x:c r="D106" s="102" t="n">
        <x:v>2</x:v>
      </x:c>
      <x:c r="E106" s="102" t="str">
        <x:v>普通</x:v>
      </x:c>
      <x:c r="F106" s="102" t="str">
        <x:v>风沙掠夺者</x:v>
      </x:c>
      <x:c r="G106" s="102" t="str">
        <x:v>掠风护腕</x:v>
      </x:c>
      <x:c r="H106" s="102" t="str">
        <x:v>手镯</x:v>
      </x:c>
      <x:c r="I106" s="147" t="n">
        <x:v>30</x:v>
      </x:c>
      <x:c r="J106" s="102" t="str">
        <x:v>否（材料数量固定）</x:v>
      </x:c>
      <x:c r="K106" s="102" t="str">
        <x:v>仅手动分解；默认不勾选；二次确认</x:v>
      </x:c>
      <x:c r="L106" s="103" t="str">
        <x:v>一怪一专属；专属来源跟随本行准确地图号</x:v>
      </x:c>
    </x:row>
    <x:row r="107">
      <x:c r="A107" s="101" t="str">
        <x:v>C03</x:v>
      </x:c>
      <x:c r="B107" s="102" t="str">
        <x:v>宁姆格福西域</x:v>
      </x:c>
      <x:c r="C107" s="102" t="str">
        <x:v>西境荒原</x:v>
      </x:c>
      <x:c r="D107" s="102" t="n">
        <x:v>2</x:v>
      </x:c>
      <x:c r="E107" s="102" t="str">
        <x:v>普通</x:v>
      </x:c>
      <x:c r="F107" s="102" t="str">
        <x:v>铁蹄战马</x:v>
      </x:c>
      <x:c r="G107" s="102" t="str">
        <x:v>铁蹄战靴</x:v>
      </x:c>
      <x:c r="H107" s="102" t="str">
        <x:v>鞋子</x:v>
      </x:c>
      <x:c r="I107" s="147" t="n">
        <x:v>30</x:v>
      </x:c>
      <x:c r="J107" s="102" t="str">
        <x:v>否（材料数量固定）</x:v>
      </x:c>
      <x:c r="K107" s="102" t="str">
        <x:v>仅手动分解；默认不勾选；二次确认</x:v>
      </x:c>
      <x:c r="L107" s="103" t="str">
        <x:v>一怪一专属；专属来源跟随本行准确地图号</x:v>
      </x:c>
    </x:row>
    <x:row r="108">
      <x:c r="A108" s="101" t="str">
        <x:v>C03</x:v>
      </x:c>
      <x:c r="B108" s="102" t="str">
        <x:v>宁姆格福西域</x:v>
      </x:c>
      <x:c r="C108" s="102" t="str">
        <x:v>西境荒原</x:v>
      </x:c>
      <x:c r="D108" s="102" t="n">
        <x:v>1</x:v>
      </x:c>
      <x:c r="E108" s="102" t="str">
        <x:v>普通</x:v>
      </x:c>
      <x:c r="F108" s="102" t="str">
        <x:v>枯草狼</x:v>
      </x:c>
      <x:c r="G108" s="102" t="str">
        <x:v>枯草牙戒</x:v>
      </x:c>
      <x:c r="H108" s="102" t="str">
        <x:v>戒指</x:v>
      </x:c>
      <x:c r="I108" s="147" t="n">
        <x:v>30</x:v>
      </x:c>
      <x:c r="J108" s="102" t="str">
        <x:v>否（材料数量固定）</x:v>
      </x:c>
      <x:c r="K108" s="102" t="str">
        <x:v>仅手动分解；默认不勾选；二次确认</x:v>
      </x:c>
      <x:c r="L108" s="103" t="str">
        <x:v>一怪一专属；专属来源跟随本行准确地图号</x:v>
      </x:c>
    </x:row>
    <x:row r="109">
      <x:c r="A109" s="101" t="str">
        <x:v>C03</x:v>
      </x:c>
      <x:c r="B109" s="102" t="str">
        <x:v>宁姆格福西域</x:v>
      </x:c>
      <x:c r="C109" s="102" t="str">
        <x:v>西境荒原</x:v>
      </x:c>
      <x:c r="D109" s="102" t="n">
        <x:v>4</x:v>
      </x:c>
      <x:c r="E109" s="102" t="str">
        <x:v>普通</x:v>
      </x:c>
      <x:c r="F109" s="102" t="str">
        <x:v>锈甲逃兵</x:v>
      </x:c>
      <x:c r="G109" s="102" t="str">
        <x:v>锈甲腰封</x:v>
      </x:c>
      <x:c r="H109" s="102" t="str">
        <x:v>腰带</x:v>
      </x:c>
      <x:c r="I109" s="147" t="n">
        <x:v>30</x:v>
      </x:c>
      <x:c r="J109" s="102" t="str">
        <x:v>否（材料数量固定）</x:v>
      </x:c>
      <x:c r="K109" s="102" t="str">
        <x:v>仅手动分解；默认不勾选；二次确认</x:v>
      </x:c>
      <x:c r="L109" s="103" t="str">
        <x:v>一怪一专属；专属来源跟随本行准确地图号</x:v>
      </x:c>
    </x:row>
    <x:row r="110">
      <x:c r="A110" s="101" t="str">
        <x:v>C03</x:v>
      </x:c>
      <x:c r="B110" s="102" t="str">
        <x:v>宁姆格福西域</x:v>
      </x:c>
      <x:c r="C110" s="102" t="str">
        <x:v>西境荒原</x:v>
      </x:c>
      <x:c r="D110" s="102" t="n">
        <x:v>1</x:v>
      </x:c>
      <x:c r="E110" s="102" t="str">
        <x:v>稀有</x:v>
      </x:c>
      <x:c r="F110" s="102" t="str">
        <x:v>西境旗卫</x:v>
      </x:c>
      <x:c r="G110" s="102" t="str">
        <x:v>西境军盔</x:v>
      </x:c>
      <x:c r="H110" s="102" t="str">
        <x:v>头盔</x:v>
      </x:c>
      <x:c r="I110" s="147" t="n">
        <x:v>60</x:v>
      </x:c>
      <x:c r="J110" s="102" t="str">
        <x:v>否（材料数量固定）</x:v>
      </x:c>
      <x:c r="K110" s="102" t="str">
        <x:v>仅手动分解；默认不勾选；二次确认</x:v>
      </x:c>
      <x:c r="L110" s="103" t="str">
        <x:v>一怪一专属；专属来源跟随本行准确地图号</x:v>
      </x:c>
    </x:row>
    <x:row r="111">
      <x:c r="A111" s="101" t="str">
        <x:v>C03</x:v>
      </x:c>
      <x:c r="B111" s="102" t="str">
        <x:v>宁姆格福西域</x:v>
      </x:c>
      <x:c r="C111" s="102" t="str">
        <x:v>西境荒原</x:v>
      </x:c>
      <x:c r="D111" s="102" t="n">
        <x:v>3</x:v>
      </x:c>
      <x:c r="E111" s="102" t="str">
        <x:v>稀有</x:v>
      </x:c>
      <x:c r="F111" s="102" t="str">
        <x:v>独眼弩将</x:v>
      </x:c>
      <x:c r="G111" s="102" t="str">
        <x:v>独眼鹰坠</x:v>
      </x:c>
      <x:c r="H111" s="102" t="str">
        <x:v>项链</x:v>
      </x:c>
      <x:c r="I111" s="147" t="n">
        <x:v>60</x:v>
      </x:c>
      <x:c r="J111" s="102" t="str">
        <x:v>否（材料数量固定）</x:v>
      </x:c>
      <x:c r="K111" s="102" t="str">
        <x:v>仅手动分解；默认不勾选；二次确认</x:v>
      </x:c>
      <x:c r="L111" s="103" t="str">
        <x:v>一怪一专属；专属来源跟随本行准确地图号</x:v>
      </x:c>
    </x:row>
    <x:row r="112">
      <x:c r="A112" s="101" t="str">
        <x:v>C03</x:v>
      </x:c>
      <x:c r="B112" s="102" t="str">
        <x:v>宁姆格福西域</x:v>
      </x:c>
      <x:c r="C112" s="102" t="str">
        <x:v>西境荒原</x:v>
      </x:c>
      <x:c r="D112" s="102" t="n">
        <x:v>2</x:v>
      </x:c>
      <x:c r="E112" s="102" t="str">
        <x:v>稀有</x:v>
      </x:c>
      <x:c r="F112" s="102" t="str">
        <x:v>荒风骑士</x:v>
      </x:c>
      <x:c r="G112" s="102" t="str">
        <x:v>荒风披甲</x:v>
      </x:c>
      <x:c r="H112" s="102" t="str">
        <x:v>衣服</x:v>
      </x:c>
      <x:c r="I112" s="147" t="n">
        <x:v>60</x:v>
      </x:c>
      <x:c r="J112" s="102" t="str">
        <x:v>否（材料数量固定）</x:v>
      </x:c>
      <x:c r="K112" s="102" t="str">
        <x:v>仅手动分解；默认不勾选；二次确认</x:v>
      </x:c>
      <x:c r="L112" s="103" t="str">
        <x:v>一怪一专属；专属来源跟随本行准确地图号</x:v>
      </x:c>
    </x:row>
    <x:row r="113">
      <x:c r="A113" s="101" t="str">
        <x:v>C03</x:v>
      </x:c>
      <x:c r="B113" s="102" t="str">
        <x:v>宁姆格福西域</x:v>
      </x:c>
      <x:c r="C113" s="102" t="str">
        <x:v>西境荒原</x:v>
      </x:c>
      <x:c r="D113" s="102" t="n">
        <x:v>4</x:v>
      </x:c>
      <x:c r="E113" s="102" t="str">
        <x:v>稀有</x:v>
      </x:c>
      <x:c r="F113" s="102" t="str">
        <x:v>战场收尸官</x:v>
      </x:c>
      <x:c r="G113" s="102" t="str">
        <x:v>收尸骨印</x:v>
      </x:c>
      <x:c r="H113" s="102" t="str">
        <x:v>勋章</x:v>
      </x:c>
      <x:c r="I113" s="147" t="n">
        <x:v>60</x:v>
      </x:c>
      <x:c r="J113" s="102" t="str">
        <x:v>否（材料数量固定）</x:v>
      </x:c>
      <x:c r="K113" s="102" t="str">
        <x:v>仅手动分解；默认不勾选；二次确认</x:v>
      </x:c>
      <x:c r="L113" s="103" t="str">
        <x:v>一怪一专属；专属来源跟随本行准确地图号</x:v>
      </x:c>
    </x:row>
    <x:row r="114">
      <x:c r="A114" s="101" t="str">
        <x:v>C03</x:v>
      </x:c>
      <x:c r="B114" s="102" t="str">
        <x:v>宁姆格福西域</x:v>
      </x:c>
      <x:c r="C114" s="102" t="str">
        <x:v>西境荒原</x:v>
      </x:c>
      <x:c r="D114" s="102" t="n">
        <x:v>3</x:v>
      </x:c>
      <x:c r="E114" s="102" t="str">
        <x:v>地图BOSS</x:v>
      </x:c>
      <x:c r="F114" s="102" t="str">
        <x:v>断旗统领·瓦伦</x:v>
      </x:c>
      <x:c r="G114" s="102" t="str">
        <x:v>统领断旗枪</x:v>
      </x:c>
      <x:c r="H114" s="102" t="str">
        <x:v>武器</x:v>
      </x:c>
      <x:c r="I114" s="147" t="n">
        <x:v>120</x:v>
      </x:c>
      <x:c r="J114" s="102" t="str">
        <x:v>否（材料数量固定）</x:v>
      </x:c>
      <x:c r="K114" s="102" t="str">
        <x:v>仅手动分解；默认不勾选；二次确认</x:v>
      </x:c>
      <x:c r="L114" s="103" t="str">
        <x:v>一怪一专属；专属来源跟随本行准确地图号</x:v>
      </x:c>
    </x:row>
    <x:row r="115">
      <x:c r="A115" s="101" t="str">
        <x:v>C03</x:v>
      </x:c>
      <x:c r="B115" s="102" t="str">
        <x:v>宁姆格福西域</x:v>
      </x:c>
      <x:c r="C115" s="102" t="str">
        <x:v>西境荒原</x:v>
      </x:c>
      <x:c r="D115" s="102" t="n">
        <x:v>4</x:v>
      </x:c>
      <x:c r="E115" s="102" t="str">
        <x:v>地图BOSS</x:v>
      </x:c>
      <x:c r="F115" s="102" t="str">
        <x:v>荒原巨犀·莫赫</x:v>
      </x:c>
      <x:c r="G115" s="102" t="str">
        <x:v>巨犀荒铠</x:v>
      </x:c>
      <x:c r="H115" s="102" t="str">
        <x:v>衣服</x:v>
      </x:c>
      <x:c r="I115" s="147" t="n">
        <x:v>120</x:v>
      </x:c>
      <x:c r="J115" s="102" t="str">
        <x:v>否（材料数量固定）</x:v>
      </x:c>
      <x:c r="K115" s="102" t="str">
        <x:v>仅手动分解；默认不勾选；二次确认</x:v>
      </x:c>
      <x:c r="L115" s="103" t="str">
        <x:v>一怪一专属；专属来源跟随本行准确地图号</x:v>
      </x:c>
    </x:row>
    <x:row r="116">
      <x:c r="A116" s="101" t="str">
        <x:v>C03</x:v>
      </x:c>
      <x:c r="B116" s="102" t="str">
        <x:v>宁姆格福西域</x:v>
      </x:c>
      <x:c r="C116" s="102" t="str">
        <x:v>海风断崖</x:v>
      </x:c>
      <x:c r="D116" s="102" t="n">
        <x:v>1</x:v>
      </x:c>
      <x:c r="E116" s="102" t="str">
        <x:v>普通</x:v>
      </x:c>
      <x:c r="F116" s="102" t="str">
        <x:v>海崖盐工</x:v>
      </x:c>
      <x:c r="G116" s="102" t="str">
        <x:v>盐晶短刃</x:v>
      </x:c>
      <x:c r="H116" s="102" t="str">
        <x:v>武器</x:v>
      </x:c>
      <x:c r="I116" s="147" t="n">
        <x:v>30</x:v>
      </x:c>
      <x:c r="J116" s="102" t="str">
        <x:v>否（材料数量固定）</x:v>
      </x:c>
      <x:c r="K116" s="102" t="str">
        <x:v>仅手动分解；默认不勾选；二次确认</x:v>
      </x:c>
      <x:c r="L116" s="103" t="str">
        <x:v>一怪一专属；专属来源跟随本行准确地图号</x:v>
      </x:c>
    </x:row>
    <x:row r="117">
      <x:c r="A117" s="101" t="str">
        <x:v>C03</x:v>
      </x:c>
      <x:c r="B117" s="102" t="str">
        <x:v>宁姆格福西域</x:v>
      </x:c>
      <x:c r="C117" s="102" t="str">
        <x:v>海风断崖</x:v>
      </x:c>
      <x:c r="D117" s="102" t="n">
        <x:v>2</x:v>
      </x:c>
      <x:c r="E117" s="102" t="str">
        <x:v>普通</x:v>
      </x:c>
      <x:c r="F117" s="102" t="str">
        <x:v>逐风矛兵</x:v>
      </x:c>
      <x:c r="G117" s="102" t="str">
        <x:v>逐风长矛</x:v>
      </x:c>
      <x:c r="H117" s="102" t="str">
        <x:v>武器</x:v>
      </x:c>
      <x:c r="I117" s="147" t="n">
        <x:v>30</x:v>
      </x:c>
      <x:c r="J117" s="102" t="str">
        <x:v>否（材料数量固定）</x:v>
      </x:c>
      <x:c r="K117" s="102" t="str">
        <x:v>仅手动分解；默认不勾选；二次确认</x:v>
      </x:c>
      <x:c r="L117" s="103" t="str">
        <x:v>一怪一专属；专属来源跟随本行准确地图号</x:v>
      </x:c>
    </x:row>
    <x:row r="118">
      <x:c r="A118" s="101" t="str">
        <x:v>C03</x:v>
      </x:c>
      <x:c r="B118" s="102" t="str">
        <x:v>宁姆格福西域</x:v>
      </x:c>
      <x:c r="C118" s="102" t="str">
        <x:v>海风断崖</x:v>
      </x:c>
      <x:c r="D118" s="102" t="n">
        <x:v>3</x:v>
      </x:c>
      <x:c r="E118" s="102" t="str">
        <x:v>普通</x:v>
      </x:c>
      <x:c r="F118" s="102" t="str">
        <x:v>裂羽海鹰</x:v>
      </x:c>
      <x:c r="G118" s="102" t="str">
        <x:v>裂羽护腕</x:v>
      </x:c>
      <x:c r="H118" s="102" t="str">
        <x:v>手镯</x:v>
      </x:c>
      <x:c r="I118" s="147" t="n">
        <x:v>30</x:v>
      </x:c>
      <x:c r="J118" s="102" t="str">
        <x:v>否（材料数量固定）</x:v>
      </x:c>
      <x:c r="K118" s="102" t="str">
        <x:v>仅手动分解；默认不勾选；二次确认</x:v>
      </x:c>
      <x:c r="L118" s="103" t="str">
        <x:v>一怪一专属；专属来源跟随本行准确地图号</x:v>
      </x:c>
    </x:row>
    <x:row r="119">
      <x:c r="A119" s="101" t="str">
        <x:v>C03</x:v>
      </x:c>
      <x:c r="B119" s="102" t="str">
        <x:v>宁姆格福西域</x:v>
      </x:c>
      <x:c r="C119" s="102" t="str">
        <x:v>海风断崖</x:v>
      </x:c>
      <x:c r="D119" s="102" t="n">
        <x:v>1</x:v>
      </x:c>
      <x:c r="E119" s="102" t="str">
        <x:v>普通</x:v>
      </x:c>
      <x:c r="F119" s="102" t="str">
        <x:v>潮穴石蜥</x:v>
      </x:c>
      <x:c r="G119" s="102" t="str">
        <x:v>潮穴石盾</x:v>
      </x:c>
      <x:c r="H119" s="102" t="str">
        <x:v>盾牌</x:v>
      </x:c>
      <x:c r="I119" s="147" t="n">
        <x:v>30</x:v>
      </x:c>
      <x:c r="J119" s="102" t="str">
        <x:v>否（材料数量固定）</x:v>
      </x:c>
      <x:c r="K119" s="102" t="str">
        <x:v>仅手动分解；默认不勾选；二次确认</x:v>
      </x:c>
      <x:c r="L119" s="103" t="str">
        <x:v>一怪一专属；专属来源跟随本行准确地图号</x:v>
      </x:c>
    </x:row>
    <x:row r="120">
      <x:c r="A120" s="101" t="str">
        <x:v>C03</x:v>
      </x:c>
      <x:c r="B120" s="102" t="str">
        <x:v>宁姆格福西域</x:v>
      </x:c>
      <x:c r="C120" s="102" t="str">
        <x:v>海风断崖</x:v>
      </x:c>
      <x:c r="D120" s="102" t="n">
        <x:v>2</x:v>
      </x:c>
      <x:c r="E120" s="102" t="str">
        <x:v>普通</x:v>
      </x:c>
      <x:c r="F120" s="102" t="str">
        <x:v>断索流徒</x:v>
      </x:c>
      <x:c r="G120" s="102" t="str">
        <x:v>断索束带</x:v>
      </x:c>
      <x:c r="H120" s="102" t="str">
        <x:v>腰带</x:v>
      </x:c>
      <x:c r="I120" s="147" t="n">
        <x:v>30</x:v>
      </x:c>
      <x:c r="J120" s="102" t="str">
        <x:v>否（材料数量固定）</x:v>
      </x:c>
      <x:c r="K120" s="102" t="str">
        <x:v>仅手动分解；默认不勾选；二次确认</x:v>
      </x:c>
      <x:c r="L120" s="103" t="str">
        <x:v>一怪一专属；专属来源跟随本行准确地图号</x:v>
      </x:c>
    </x:row>
    <x:row r="121">
      <x:c r="A121" s="101" t="str">
        <x:v>C03</x:v>
      </x:c>
      <x:c r="B121" s="102" t="str">
        <x:v>宁姆格福西域</x:v>
      </x:c>
      <x:c r="C121" s="102" t="str">
        <x:v>海风断崖</x:v>
      </x:c>
      <x:c r="D121" s="102" t="n">
        <x:v>4</x:v>
      </x:c>
      <x:c r="E121" s="102" t="str">
        <x:v>普通</x:v>
      </x:c>
      <x:c r="F121" s="102" t="str">
        <x:v>崖边祷徒</x:v>
      </x:c>
      <x:c r="G121" s="102" t="str">
        <x:v>海崖祷链</x:v>
      </x:c>
      <x:c r="H121" s="102" t="str">
        <x:v>项链</x:v>
      </x:c>
      <x:c r="I121" s="147" t="n">
        <x:v>30</x:v>
      </x:c>
      <x:c r="J121" s="102" t="str">
        <x:v>否（材料数量固定）</x:v>
      </x:c>
      <x:c r="K121" s="102" t="str">
        <x:v>仅手动分解；默认不勾选；二次确认</x:v>
      </x:c>
      <x:c r="L121" s="103" t="str">
        <x:v>一怪一专属；专属来源跟随本行准确地图号</x:v>
      </x:c>
    </x:row>
    <x:row r="122">
      <x:c r="A122" s="101" t="str">
        <x:v>C03</x:v>
      </x:c>
      <x:c r="B122" s="102" t="str">
        <x:v>宁姆格福西域</x:v>
      </x:c>
      <x:c r="C122" s="102" t="str">
        <x:v>海风断崖</x:v>
      </x:c>
      <x:c r="D122" s="102" t="n">
        <x:v>3</x:v>
      </x:c>
      <x:c r="E122" s="102" t="str">
        <x:v>稀有</x:v>
      </x:c>
      <x:c r="F122" s="102" t="str">
        <x:v>风蚀守望者</x:v>
      </x:c>
      <x:c r="G122" s="102" t="str">
        <x:v>风蚀眺盔</x:v>
      </x:c>
      <x:c r="H122" s="102" t="str">
        <x:v>头盔</x:v>
      </x:c>
      <x:c r="I122" s="147" t="n">
        <x:v>60</x:v>
      </x:c>
      <x:c r="J122" s="102" t="str">
        <x:v>否（材料数量固定）</x:v>
      </x:c>
      <x:c r="K122" s="102" t="str">
        <x:v>仅手动分解；默认不勾选；二次确认</x:v>
      </x:c>
      <x:c r="L122" s="103" t="str">
        <x:v>一怪一专属；专属来源跟随本行准确地图号</x:v>
      </x:c>
    </x:row>
    <x:row r="123">
      <x:c r="A123" s="101" t="str">
        <x:v>C03</x:v>
      </x:c>
      <x:c r="B123" s="102" t="str">
        <x:v>宁姆格福西域</x:v>
      </x:c>
      <x:c r="C123" s="102" t="str">
        <x:v>海风断崖</x:v>
      </x:c>
      <x:c r="D123" s="102" t="n">
        <x:v>1</x:v>
      </x:c>
      <x:c r="E123" s="102" t="str">
        <x:v>稀有</x:v>
      </x:c>
      <x:c r="F123" s="102" t="str">
        <x:v>斩浪骑士</x:v>
      </x:c>
      <x:c r="G123" s="102" t="str">
        <x:v>斩浪战衣</x:v>
      </x:c>
      <x:c r="H123" s="102" t="str">
        <x:v>衣服</x:v>
      </x:c>
      <x:c r="I123" s="147" t="n">
        <x:v>60</x:v>
      </x:c>
      <x:c r="J123" s="102" t="str">
        <x:v>否（材料数量固定）</x:v>
      </x:c>
      <x:c r="K123" s="102" t="str">
        <x:v>仅手动分解；默认不勾选；二次确认</x:v>
      </x:c>
      <x:c r="L123" s="103" t="str">
        <x:v>一怪一专属；专属来源跟随本行准确地图号</x:v>
      </x:c>
    </x:row>
    <x:row r="124">
      <x:c r="A124" s="101" t="str">
        <x:v>C03</x:v>
      </x:c>
      <x:c r="B124" s="102" t="str">
        <x:v>宁姆格福西域</x:v>
      </x:c>
      <x:c r="C124" s="102" t="str">
        <x:v>海风断崖</x:v>
      </x:c>
      <x:c r="D124" s="102" t="n">
        <x:v>2</x:v>
      </x:c>
      <x:c r="E124" s="102" t="str">
        <x:v>稀有</x:v>
      </x:c>
      <x:c r="F124" s="102" t="str">
        <x:v>海雾猎手</x:v>
      </x:c>
      <x:c r="G124" s="102" t="str">
        <x:v>海雾猎戒</x:v>
      </x:c>
      <x:c r="H124" s="102" t="str">
        <x:v>戒指</x:v>
      </x:c>
      <x:c r="I124" s="147" t="n">
        <x:v>60</x:v>
      </x:c>
      <x:c r="J124" s="102" t="str">
        <x:v>否（材料数量固定）</x:v>
      </x:c>
      <x:c r="K124" s="102" t="str">
        <x:v>仅手动分解；默认不勾选；二次确认</x:v>
      </x:c>
      <x:c r="L124" s="103" t="str">
        <x:v>一怪一专属；专属来源跟随本行准确地图号</x:v>
      </x:c>
    </x:row>
    <x:row r="125">
      <x:c r="A125" s="101" t="str">
        <x:v>C03</x:v>
      </x:c>
      <x:c r="B125" s="102" t="str">
        <x:v>宁姆格福西域</x:v>
      </x:c>
      <x:c r="C125" s="102" t="str">
        <x:v>海风断崖</x:v>
      </x:c>
      <x:c r="D125" s="102" t="n">
        <x:v>4</x:v>
      </x:c>
      <x:c r="E125" s="102" t="str">
        <x:v>稀有</x:v>
      </x:c>
      <x:c r="F125" s="102" t="str">
        <x:v>雷崖祭司</x:v>
      </x:c>
      <x:c r="G125" s="102" t="str">
        <x:v>霆崖祭冠</x:v>
      </x:c>
      <x:c r="H125" s="102" t="str">
        <x:v>头盔</x:v>
      </x:c>
      <x:c r="I125" s="147" t="n">
        <x:v>60</x:v>
      </x:c>
      <x:c r="J125" s="102" t="str">
        <x:v>否（材料数量固定）</x:v>
      </x:c>
      <x:c r="K125" s="102" t="str">
        <x:v>仅手动分解；默认不勾选；二次确认</x:v>
      </x:c>
      <x:c r="L125" s="103" t="str">
        <x:v>一怪一专属；专属来源跟随本行准确地图号</x:v>
      </x:c>
    </x:row>
    <x:row r="126">
      <x:c r="A126" s="101" t="str">
        <x:v>C03</x:v>
      </x:c>
      <x:c r="B126" s="102" t="str">
        <x:v>宁姆格福西域</x:v>
      </x:c>
      <x:c r="C126" s="102" t="str">
        <x:v>海风断崖</x:v>
      </x:c>
      <x:c r="D126" s="102" t="n">
        <x:v>3</x:v>
      </x:c>
      <x:c r="E126" s="102" t="str">
        <x:v>地图BOSS</x:v>
      </x:c>
      <x:c r="F126" s="102" t="str">
        <x:v>裂风执旗官·卡恩</x:v>
      </x:c>
      <x:c r="G126" s="102" t="str">
        <x:v>裂风战旗刃</x:v>
      </x:c>
      <x:c r="H126" s="102" t="str">
        <x:v>武器</x:v>
      </x:c>
      <x:c r="I126" s="147" t="n">
        <x:v>120</x:v>
      </x:c>
      <x:c r="J126" s="102" t="str">
        <x:v>否（材料数量固定）</x:v>
      </x:c>
      <x:c r="K126" s="102" t="str">
        <x:v>仅手动分解；默认不勾选；二次确认</x:v>
      </x:c>
      <x:c r="L126" s="103" t="str">
        <x:v>一怪一专属；专属来源跟随本行准确地图号</x:v>
      </x:c>
    </x:row>
    <x:row r="127">
      <x:c r="A127" s="101" t="str">
        <x:v>C03</x:v>
      </x:c>
      <x:c r="B127" s="102" t="str">
        <x:v>宁姆格福西域</x:v>
      </x:c>
      <x:c r="C127" s="102" t="str">
        <x:v>海风断崖</x:v>
      </x:c>
      <x:c r="D127" s="102" t="n">
        <x:v>4</x:v>
      </x:c>
      <x:c r="E127" s="102" t="str">
        <x:v>地图BOSS</x:v>
      </x:c>
      <x:c r="F127" s="102" t="str">
        <x:v>啸海古翼·塞洛</x:v>
      </x:c>
      <x:c r="G127" s="102" t="str">
        <x:v>啸海翼铠</x:v>
      </x:c>
      <x:c r="H127" s="102" t="str">
        <x:v>衣服</x:v>
      </x:c>
      <x:c r="I127" s="147" t="n">
        <x:v>120</x:v>
      </x:c>
      <x:c r="J127" s="102" t="str">
        <x:v>否（材料数量固定）</x:v>
      </x:c>
      <x:c r="K127" s="102" t="str">
        <x:v>仅手动分解；默认不勾选；二次确认</x:v>
      </x:c>
      <x:c r="L127" s="103" t="str">
        <x:v>一怪一专属；专属来源跟随本行准确地图号</x:v>
      </x:c>
    </x:row>
    <x:row r="128">
      <x:c r="A128" s="101" t="str">
        <x:v>C03</x:v>
      </x:c>
      <x:c r="B128" s="102" t="str">
        <x:v>宁姆格福西域</x:v>
      </x:c>
      <x:c r="C128" s="102" t="str">
        <x:v>失落驿道</x:v>
      </x:c>
      <x:c r="D128" s="102" t="n">
        <x:v>1</x:v>
      </x:c>
      <x:c r="E128" s="102" t="str">
        <x:v>普通</x:v>
      </x:c>
      <x:c r="F128" s="102" t="str">
        <x:v>驿道苦役</x:v>
      </x:c>
      <x:c r="G128" s="102" t="str">
        <x:v>驿骨短剑</x:v>
      </x:c>
      <x:c r="H128" s="102" t="str">
        <x:v>武器</x:v>
      </x:c>
      <x:c r="I128" s="147" t="n">
        <x:v>30</x:v>
      </x:c>
      <x:c r="J128" s="102" t="str">
        <x:v>否（材料数量固定）</x:v>
      </x:c>
      <x:c r="K128" s="102" t="str">
        <x:v>仅手动分解；默认不勾选；二次确认</x:v>
      </x:c>
      <x:c r="L128" s="103" t="str">
        <x:v>一怪一专属；专属来源跟随本行准确地图号</x:v>
      </x:c>
    </x:row>
    <x:row r="129">
      <x:c r="A129" s="101" t="str">
        <x:v>C03</x:v>
      </x:c>
      <x:c r="B129" s="102" t="str">
        <x:v>宁姆格福西域</x:v>
      </x:c>
      <x:c r="C129" s="102" t="str">
        <x:v>失落驿道</x:v>
      </x:c>
      <x:c r="D129" s="102" t="n">
        <x:v>2</x:v>
      </x:c>
      <x:c r="E129" s="102" t="str">
        <x:v>普通</x:v>
      </x:c>
      <x:c r="F129" s="102" t="str">
        <x:v>荒商护卫</x:v>
      </x:c>
      <x:c r="G129" s="102" t="str">
        <x:v>荒商护符</x:v>
      </x:c>
      <x:c r="H129" s="102" t="str">
        <x:v>项链</x:v>
      </x:c>
      <x:c r="I129" s="147" t="n">
        <x:v>30</x:v>
      </x:c>
      <x:c r="J129" s="102" t="str">
        <x:v>否（材料数量固定）</x:v>
      </x:c>
      <x:c r="K129" s="102" t="str">
        <x:v>仅手动分解；默认不勾选；二次确认</x:v>
      </x:c>
      <x:c r="L129" s="103" t="str">
        <x:v>一怪一专属；专属来源跟随本行准确地图号</x:v>
      </x:c>
    </x:row>
    <x:row r="130">
      <x:c r="A130" s="101" t="str">
        <x:v>C03</x:v>
      </x:c>
      <x:c r="B130" s="102" t="str">
        <x:v>宁姆格福西域</x:v>
      </x:c>
      <x:c r="C130" s="102" t="str">
        <x:v>失落驿道</x:v>
      </x:c>
      <x:c r="D130" s="102" t="n">
        <x:v>1</x:v>
      </x:c>
      <x:c r="E130" s="102" t="str">
        <x:v>普通</x:v>
      </x:c>
      <x:c r="F130" s="102" t="str">
        <x:v>灰篷盗匪</x:v>
      </x:c>
      <x:c r="G130" s="102" t="str">
        <x:v>灰篷面巾</x:v>
      </x:c>
      <x:c r="H130" s="102" t="str">
        <x:v>斗笠</x:v>
      </x:c>
      <x:c r="I130" s="147" t="n">
        <x:v>30</x:v>
      </x:c>
      <x:c r="J130" s="102" t="str">
        <x:v>否（材料数量固定）</x:v>
      </x:c>
      <x:c r="K130" s="102" t="str">
        <x:v>仅手动分解；默认不勾选；二次确认</x:v>
      </x:c>
      <x:c r="L130" s="103" t="str">
        <x:v>一怪一专属；专属来源跟随本行准确地图号</x:v>
      </x:c>
    </x:row>
    <x:row r="131">
      <x:c r="A131" s="101" t="str">
        <x:v>C03</x:v>
      </x:c>
      <x:c r="B131" s="102" t="str">
        <x:v>宁姆格福西域</x:v>
      </x:c>
      <x:c r="C131" s="102" t="str">
        <x:v>失落驿道</x:v>
      </x:c>
      <x:c r="D131" s="102" t="n">
        <x:v>2</x:v>
      </x:c>
      <x:c r="E131" s="102" t="str">
        <x:v>普通</x:v>
      </x:c>
      <x:c r="F131" s="102" t="str">
        <x:v>驮货尸兵</x:v>
      </x:c>
      <x:c r="G131" s="102" t="str">
        <x:v>驮货重甲</x:v>
      </x:c>
      <x:c r="H131" s="102" t="str">
        <x:v>衣服</x:v>
      </x:c>
      <x:c r="I131" s="147" t="n">
        <x:v>30</x:v>
      </x:c>
      <x:c r="J131" s="102" t="str">
        <x:v>否（材料数量固定）</x:v>
      </x:c>
      <x:c r="K131" s="102" t="str">
        <x:v>仅手动分解；默认不勾选；二次确认</x:v>
      </x:c>
      <x:c r="L131" s="103" t="str">
        <x:v>一怪一专属；专属来源跟随本行准确地图号</x:v>
      </x:c>
    </x:row>
    <x:row r="132">
      <x:c r="A132" s="101" t="str">
        <x:v>C03</x:v>
      </x:c>
      <x:c r="B132" s="102" t="str">
        <x:v>宁姆格福西域</x:v>
      </x:c>
      <x:c r="C132" s="102" t="str">
        <x:v>失落驿道</x:v>
      </x:c>
      <x:c r="D132" s="102" t="n">
        <x:v>3</x:v>
      </x:c>
      <x:c r="E132" s="102" t="str">
        <x:v>普通</x:v>
      </x:c>
      <x:c r="F132" s="102" t="str">
        <x:v>营火猎犬</x:v>
      </x:c>
      <x:c r="G132" s="102" t="str">
        <x:v>营火牙戒</x:v>
      </x:c>
      <x:c r="H132" s="102" t="str">
        <x:v>戒指</x:v>
      </x:c>
      <x:c r="I132" s="147" t="n">
        <x:v>30</x:v>
      </x:c>
      <x:c r="J132" s="102" t="str">
        <x:v>否（材料数量固定）</x:v>
      </x:c>
      <x:c r="K132" s="102" t="str">
        <x:v>仅手动分解；默认不勾选；二次确认</x:v>
      </x:c>
      <x:c r="L132" s="103" t="str">
        <x:v>一怪一专属；专属来源跟随本行准确地图号</x:v>
      </x:c>
    </x:row>
    <x:row r="133">
      <x:c r="A133" s="101" t="str">
        <x:v>C03</x:v>
      </x:c>
      <x:c r="B133" s="102" t="str">
        <x:v>宁姆格福西域</x:v>
      </x:c>
      <x:c r="C133" s="102" t="str">
        <x:v>失落驿道</x:v>
      </x:c>
      <x:c r="D133" s="102" t="n">
        <x:v>3</x:v>
      </x:c>
      <x:c r="E133" s="102" t="str">
        <x:v>普通</x:v>
      </x:c>
      <x:c r="F133" s="102" t="str">
        <x:v>断轮弩手</x:v>
      </x:c>
      <x:c r="G133" s="102" t="str">
        <x:v>断轮弩机</x:v>
      </x:c>
      <x:c r="H133" s="102" t="str">
        <x:v>武器</x:v>
      </x:c>
      <x:c r="I133" s="147" t="n">
        <x:v>30</x:v>
      </x:c>
      <x:c r="J133" s="102" t="str">
        <x:v>否（材料数量固定）</x:v>
      </x:c>
      <x:c r="K133" s="102" t="str">
        <x:v>仅手动分解；默认不勾选；二次确认</x:v>
      </x:c>
      <x:c r="L133" s="103" t="str">
        <x:v>一怪一专属；专属来源跟随本行准确地图号</x:v>
      </x:c>
    </x:row>
    <x:row r="134">
      <x:c r="A134" s="101" t="str">
        <x:v>C03</x:v>
      </x:c>
      <x:c r="B134" s="102" t="str">
        <x:v>宁姆格福西域</x:v>
      </x:c>
      <x:c r="C134" s="102" t="str">
        <x:v>失落驿道</x:v>
      </x:c>
      <x:c r="D134" s="102" t="n">
        <x:v>1</x:v>
      </x:c>
      <x:c r="E134" s="102" t="str">
        <x:v>稀有</x:v>
      </x:c>
      <x:c r="F134" s="102" t="str">
        <x:v>火漆追缉者</x:v>
      </x:c>
      <x:c r="G134" s="102" t="str">
        <x:v>火漆追缉令</x:v>
      </x:c>
      <x:c r="H134" s="102" t="str">
        <x:v>勋章</x:v>
      </x:c>
      <x:c r="I134" s="147" t="n">
        <x:v>60</x:v>
      </x:c>
      <x:c r="J134" s="102" t="str">
        <x:v>否（材料数量固定）</x:v>
      </x:c>
      <x:c r="K134" s="102" t="str">
        <x:v>仅手动分解；默认不勾选；二次确认</x:v>
      </x:c>
      <x:c r="L134" s="103" t="str">
        <x:v>一怪一专属；专属来源跟随本行准确地图号</x:v>
      </x:c>
    </x:row>
    <x:row r="135">
      <x:c r="A135" s="101" t="str">
        <x:v>C03</x:v>
      </x:c>
      <x:c r="B135" s="102" t="str">
        <x:v>宁姆格福西域</x:v>
      </x:c>
      <x:c r="C135" s="102" t="str">
        <x:v>失落驿道</x:v>
      </x:c>
      <x:c r="D135" s="102" t="n">
        <x:v>2</x:v>
      </x:c>
      <x:c r="E135" s="102" t="str">
        <x:v>稀有</x:v>
      </x:c>
      <x:c r="F135" s="102" t="str">
        <x:v>商队叛骑</x:v>
      </x:c>
      <x:c r="G135" s="102" t="str">
        <x:v>叛骑战靴</x:v>
      </x:c>
      <x:c r="H135" s="102" t="str">
        <x:v>鞋子</x:v>
      </x:c>
      <x:c r="I135" s="147" t="n">
        <x:v>60</x:v>
      </x:c>
      <x:c r="J135" s="102" t="str">
        <x:v>否（材料数量固定）</x:v>
      </x:c>
      <x:c r="K135" s="102" t="str">
        <x:v>仅手动分解；默认不勾选；二次确认</x:v>
      </x:c>
      <x:c r="L135" s="103" t="str">
        <x:v>一怪一专属；专属来源跟随本行准确地图号</x:v>
      </x:c>
    </x:row>
    <x:row r="136">
      <x:c r="A136" s="101" t="str">
        <x:v>C03</x:v>
      </x:c>
      <x:c r="B136" s="102" t="str">
        <x:v>宁姆格福西域</x:v>
      </x:c>
      <x:c r="C136" s="102" t="str">
        <x:v>失落驿道</x:v>
      </x:c>
      <x:c r="D136" s="102" t="n">
        <x:v>3</x:v>
      </x:c>
      <x:c r="E136" s="102" t="str">
        <x:v>稀有</x:v>
      </x:c>
      <x:c r="F136" s="102" t="str">
        <x:v>断路劫首</x:v>
      </x:c>
      <x:c r="G136" s="102" t="str">
        <x:v>劫首弯刃</x:v>
      </x:c>
      <x:c r="H136" s="102" t="str">
        <x:v>武器</x:v>
      </x:c>
      <x:c r="I136" s="147" t="n">
        <x:v>60</x:v>
      </x:c>
      <x:c r="J136" s="102" t="str">
        <x:v>否（材料数量固定）</x:v>
      </x:c>
      <x:c r="K136" s="102" t="str">
        <x:v>仅手动分解；默认不勾选；二次确认</x:v>
      </x:c>
      <x:c r="L136" s="103" t="str">
        <x:v>一怪一专属；专属来源跟随本行准确地图号</x:v>
      </x:c>
    </x:row>
    <x:row r="137">
      <x:c r="A137" s="101" t="str">
        <x:v>C03</x:v>
      </x:c>
      <x:c r="B137" s="102" t="str">
        <x:v>宁姆格福西域</x:v>
      </x:c>
      <x:c r="C137" s="102" t="str">
        <x:v>失落驿道</x:v>
      </x:c>
      <x:c r="D137" s="102" t="n">
        <x:v>3</x:v>
      </x:c>
      <x:c r="E137" s="102" t="str">
        <x:v>稀有</x:v>
      </x:c>
      <x:c r="F137" s="102" t="str">
        <x:v>黑帐术士</x:v>
      </x:c>
      <x:c r="G137" s="102" t="str">
        <x:v>黯幕咒戒</x:v>
      </x:c>
      <x:c r="H137" s="102" t="str">
        <x:v>戒指</x:v>
      </x:c>
      <x:c r="I137" s="147" t="n">
        <x:v>60</x:v>
      </x:c>
      <x:c r="J137" s="102" t="str">
        <x:v>否（材料数量固定）</x:v>
      </x:c>
      <x:c r="K137" s="102" t="str">
        <x:v>仅手动分解；默认不勾选；二次确认</x:v>
      </x:c>
      <x:c r="L137" s="103" t="str">
        <x:v>一怪一专属；专属来源跟随本行准确地图号</x:v>
      </x:c>
    </x:row>
    <x:row r="138">
      <x:c r="A138" s="101" t="str">
        <x:v>C03</x:v>
      </x:c>
      <x:c r="B138" s="102" t="str">
        <x:v>宁姆格福西域</x:v>
      </x:c>
      <x:c r="C138" s="102" t="str">
        <x:v>失落驿道</x:v>
      </x:c>
      <x:c r="D138" s="102" t="n">
        <x:v>2</x:v>
      </x:c>
      <x:c r="E138" s="102" t="str">
        <x:v>地图BOSS</x:v>
      </x:c>
      <x:c r="F138" s="102" t="str">
        <x:v>无路佣兵王·赫托</x:v>
      </x:c>
      <x:c r="G138" s="102" t="str">
        <x:v>无路王剑</x:v>
      </x:c>
      <x:c r="H138" s="102" t="str">
        <x:v>武器</x:v>
      </x:c>
      <x:c r="I138" s="147" t="n">
        <x:v>120</x:v>
      </x:c>
      <x:c r="J138" s="102" t="str">
        <x:v>否（材料数量固定）</x:v>
      </x:c>
      <x:c r="K138" s="102" t="str">
        <x:v>仅手动分解；默认不勾选；二次确认</x:v>
      </x:c>
      <x:c r="L138" s="103" t="str">
        <x:v>一怪一专属；专属来源跟随本行准确地图号</x:v>
      </x:c>
    </x:row>
    <x:row r="139">
      <x:c r="A139" s="101" t="str">
        <x:v>C03</x:v>
      </x:c>
      <x:c r="B139" s="102" t="str">
        <x:v>宁姆格福西域</x:v>
      </x:c>
      <x:c r="C139" s="102" t="str">
        <x:v>失落驿道</x:v>
      </x:c>
      <x:c r="D139" s="102" t="n">
        <x:v>3</x:v>
      </x:c>
      <x:c r="E139" s="102" t="str">
        <x:v>地图BOSS</x:v>
      </x:c>
      <x:c r="F139" s="102" t="str">
        <x:v>赤篷巨像·马尔</x:v>
      </x:c>
      <x:c r="G139" s="102" t="str">
        <x:v>赤篷铁衣</x:v>
      </x:c>
      <x:c r="H139" s="102" t="str">
        <x:v>衣服</x:v>
      </x:c>
      <x:c r="I139" s="147" t="n">
        <x:v>120</x:v>
      </x:c>
      <x:c r="J139" s="102" t="str">
        <x:v>否（材料数量固定）</x:v>
      </x:c>
      <x:c r="K139" s="102" t="str">
        <x:v>仅手动分解；默认不勾选；二次确认</x:v>
      </x:c>
      <x:c r="L139" s="103" t="str">
        <x:v>一怪一专属；专属来源跟随本行准确地图号</x:v>
      </x:c>
    </x:row>
    <x:row r="140">
      <x:c r="A140" s="101" t="str">
        <x:v>C03</x:v>
      </x:c>
      <x:c r="B140" s="102" t="str">
        <x:v>宁姆格福西域</x:v>
      </x:c>
      <x:c r="C140" s="102" t="str">
        <x:v>古战场遗迹</x:v>
      </x:c>
      <x:c r="D140" s="102" t="n">
        <x:v>1</x:v>
      </x:c>
      <x:c r="E140" s="102" t="str">
        <x:v>普通</x:v>
      </x:c>
      <x:c r="F140" s="102" t="str">
        <x:v>残阵兵魂</x:v>
      </x:c>
      <x:c r="G140" s="102" t="str">
        <x:v>残阵战刀</x:v>
      </x:c>
      <x:c r="H140" s="102" t="str">
        <x:v>武器</x:v>
      </x:c>
      <x:c r="I140" s="147" t="n">
        <x:v>30</x:v>
      </x:c>
      <x:c r="J140" s="102" t="str">
        <x:v>否（材料数量固定）</x:v>
      </x:c>
      <x:c r="K140" s="102" t="str">
        <x:v>仅手动分解；默认不勾选；二次确认</x:v>
      </x:c>
      <x:c r="L140" s="103" t="str">
        <x:v>一怪一专属；专属来源跟随本行准确地图号</x:v>
      </x:c>
    </x:row>
    <x:row r="141">
      <x:c r="A141" s="101" t="str">
        <x:v>C03</x:v>
      </x:c>
      <x:c r="B141" s="102" t="str">
        <x:v>宁姆格福西域</x:v>
      </x:c>
      <x:c r="C141" s="102" t="str">
        <x:v>古战场遗迹</x:v>
      </x:c>
      <x:c r="D141" s="102" t="n">
        <x:v>1</x:v>
      </x:c>
      <x:c r="E141" s="102" t="str">
        <x:v>普通</x:v>
      </x:c>
      <x:c r="F141" s="102" t="str">
        <x:v>折戟亡卒</x:v>
      </x:c>
      <x:c r="G141" s="102" t="str">
        <x:v>折戟铁链</x:v>
      </x:c>
      <x:c r="H141" s="102" t="str">
        <x:v>项链</x:v>
      </x:c>
      <x:c r="I141" s="147" t="n">
        <x:v>30</x:v>
      </x:c>
      <x:c r="J141" s="102" t="str">
        <x:v>否（材料数量固定）</x:v>
      </x:c>
      <x:c r="K141" s="102" t="str">
        <x:v>仅手动分解；默认不勾选；二次确认</x:v>
      </x:c>
      <x:c r="L141" s="103" t="str">
        <x:v>一怪一专属；专属来源跟随本行准确地图号</x:v>
      </x:c>
    </x:row>
    <x:row r="142">
      <x:c r="A142" s="101" t="str">
        <x:v>C03</x:v>
      </x:c>
      <x:c r="B142" s="102" t="str">
        <x:v>宁姆格福西域</x:v>
      </x:c>
      <x:c r="C142" s="102" t="str">
        <x:v>古战场遗迹</x:v>
      </x:c>
      <x:c r="D142" s="102" t="n">
        <x:v>2</x:v>
      </x:c>
      <x:c r="E142" s="102" t="str">
        <x:v>普通</x:v>
      </x:c>
      <x:c r="F142" s="102" t="str">
        <x:v>战壕腐尸</x:v>
      </x:c>
      <x:c r="G142" s="102" t="str">
        <x:v>战壕骨甲</x:v>
      </x:c>
      <x:c r="H142" s="102" t="str">
        <x:v>衣服</x:v>
      </x:c>
      <x:c r="I142" s="147" t="n">
        <x:v>30</x:v>
      </x:c>
      <x:c r="J142" s="102" t="str">
        <x:v>否（材料数量固定）</x:v>
      </x:c>
      <x:c r="K142" s="102" t="str">
        <x:v>仅手动分解；默认不勾选；二次确认</x:v>
      </x:c>
      <x:c r="L142" s="103" t="str">
        <x:v>一怪一专属；专属来源跟随本行准确地图号</x:v>
      </x:c>
    </x:row>
    <x:row r="143">
      <x:c r="A143" s="101" t="str">
        <x:v>C03</x:v>
      </x:c>
      <x:c r="B143" s="102" t="str">
        <x:v>宁姆格福西域</x:v>
      </x:c>
      <x:c r="C143" s="102" t="str">
        <x:v>古战场遗迹</x:v>
      </x:c>
      <x:c r="D143" s="102" t="n">
        <x:v>2</x:v>
      </x:c>
      <x:c r="E143" s="102" t="str">
        <x:v>普通</x:v>
      </x:c>
      <x:c r="F143" s="102" t="str">
        <x:v>无首号手</x:v>
      </x:c>
      <x:c r="G143" s="102" t="str">
        <x:v>无首号角</x:v>
      </x:c>
      <x:c r="H143" s="102" t="str">
        <x:v>勋章</x:v>
      </x:c>
      <x:c r="I143" s="147" t="n">
        <x:v>30</x:v>
      </x:c>
      <x:c r="J143" s="102" t="str">
        <x:v>否（材料数量固定）</x:v>
      </x:c>
      <x:c r="K143" s="102" t="str">
        <x:v>仅手动分解；默认不勾选；二次确认</x:v>
      </x:c>
      <x:c r="L143" s="103" t="str">
        <x:v>一怪一专属；专属来源跟随本行准确地图号</x:v>
      </x:c>
    </x:row>
    <x:row r="144">
      <x:c r="A144" s="101" t="str">
        <x:v>C03</x:v>
      </x:c>
      <x:c r="B144" s="102" t="str">
        <x:v>宁姆格福西域</x:v>
      </x:c>
      <x:c r="C144" s="102" t="str">
        <x:v>古战场遗迹</x:v>
      </x:c>
      <x:c r="D144" s="102" t="n">
        <x:v>3</x:v>
      </x:c>
      <x:c r="E144" s="102" t="str">
        <x:v>普通</x:v>
      </x:c>
      <x:c r="F144" s="102" t="str">
        <x:v>墓旗守卫</x:v>
      </x:c>
      <x:c r="G144" s="102" t="str">
        <x:v>墓旗头冠</x:v>
      </x:c>
      <x:c r="H144" s="102" t="str">
        <x:v>头盔</x:v>
      </x:c>
      <x:c r="I144" s="147" t="n">
        <x:v>30</x:v>
      </x:c>
      <x:c r="J144" s="102" t="str">
        <x:v>否（材料数量固定）</x:v>
      </x:c>
      <x:c r="K144" s="102" t="str">
        <x:v>仅手动分解；默认不勾选；二次确认</x:v>
      </x:c>
      <x:c r="L144" s="103" t="str">
        <x:v>一怪一专属；专属来源跟随本行准确地图号</x:v>
      </x:c>
    </x:row>
    <x:row r="145">
      <x:c r="A145" s="101" t="str">
        <x:v>C03</x:v>
      </x:c>
      <x:c r="B145" s="102" t="str">
        <x:v>宁姆格福西域</x:v>
      </x:c>
      <x:c r="C145" s="102" t="str">
        <x:v>古战场遗迹</x:v>
      </x:c>
      <x:c r="D145" s="102" t="n">
        <x:v>3</x:v>
      </x:c>
      <x:c r="E145" s="102" t="str">
        <x:v>普通</x:v>
      </x:c>
      <x:c r="F145" s="102" t="str">
        <x:v>英灵战马</x:v>
      </x:c>
      <x:c r="G145" s="102" t="str">
        <x:v>英灵马靴</x:v>
      </x:c>
      <x:c r="H145" s="102" t="str">
        <x:v>鞋子</x:v>
      </x:c>
      <x:c r="I145" s="147" t="n">
        <x:v>30</x:v>
      </x:c>
      <x:c r="J145" s="102" t="str">
        <x:v>否（材料数量固定）</x:v>
      </x:c>
      <x:c r="K145" s="102" t="str">
        <x:v>仅手动分解；默认不勾选；二次确认</x:v>
      </x:c>
      <x:c r="L145" s="103" t="str">
        <x:v>一怪一专属；专属来源跟随本行准确地图号</x:v>
      </x:c>
    </x:row>
    <x:row r="146">
      <x:c r="A146" s="101" t="str">
        <x:v>C03</x:v>
      </x:c>
      <x:c r="B146" s="102" t="str">
        <x:v>宁姆格福西域</x:v>
      </x:c>
      <x:c r="C146" s="102" t="str">
        <x:v>古战场遗迹</x:v>
      </x:c>
      <x:c r="D146" s="102" t="n">
        <x:v>1</x:v>
      </x:c>
      <x:c r="E146" s="102" t="str">
        <x:v>稀有</x:v>
      </x:c>
      <x:c r="F146" s="102" t="str">
        <x:v>百战英魂</x:v>
      </x:c>
      <x:c r="G146" s="102" t="str">
        <x:v>百战腕甲</x:v>
      </x:c>
      <x:c r="H146" s="102" t="str">
        <x:v>手镯</x:v>
      </x:c>
      <x:c r="I146" s="147" t="n">
        <x:v>60</x:v>
      </x:c>
      <x:c r="J146" s="102" t="str">
        <x:v>否（材料数量固定）</x:v>
      </x:c>
      <x:c r="K146" s="102" t="str">
        <x:v>仅手动分解；默认不勾选；二次确认</x:v>
      </x:c>
      <x:c r="L146" s="103" t="str">
        <x:v>一怪一专属；专属来源跟随本行准确地图号</x:v>
      </x:c>
    </x:row>
    <x:row r="147">
      <x:c r="A147" s="101" t="str">
        <x:v>C03</x:v>
      </x:c>
      <x:c r="B147" s="102" t="str">
        <x:v>宁姆格福西域</x:v>
      </x:c>
      <x:c r="C147" s="102" t="str">
        <x:v>古战场遗迹</x:v>
      </x:c>
      <x:c r="D147" s="102" t="n">
        <x:v>2</x:v>
      </x:c>
      <x:c r="E147" s="102" t="str">
        <x:v>稀有</x:v>
      </x:c>
      <x:c r="F147" s="102" t="str">
        <x:v>亡阵旗官</x:v>
      </x:c>
      <x:c r="G147" s="102" t="str">
        <x:v>亡阵旗印</x:v>
      </x:c>
      <x:c r="H147" s="102" t="str">
        <x:v>勋章</x:v>
      </x:c>
      <x:c r="I147" s="147" t="n">
        <x:v>60</x:v>
      </x:c>
      <x:c r="J147" s="102" t="str">
        <x:v>否（材料数量固定）</x:v>
      </x:c>
      <x:c r="K147" s="102" t="str">
        <x:v>仅手动分解；默认不勾选；二次确认</x:v>
      </x:c>
      <x:c r="L147" s="103" t="str">
        <x:v>一怪一专属；专属来源跟随本行准确地图号</x:v>
      </x:c>
    </x:row>
    <x:row r="148">
      <x:c r="A148" s="101" t="str">
        <x:v>C03</x:v>
      </x:c>
      <x:c r="B148" s="102" t="str">
        <x:v>宁姆格福西域</x:v>
      </x:c>
      <x:c r="C148" s="102" t="str">
        <x:v>古战场遗迹</x:v>
      </x:c>
      <x:c r="D148" s="102" t="n">
        <x:v>3</x:v>
      </x:c>
      <x:c r="E148" s="102" t="str">
        <x:v>稀有</x:v>
      </x:c>
      <x:c r="F148" s="102" t="str">
        <x:v>誓死卫士</x:v>
      </x:c>
      <x:c r="G148" s="102" t="str">
        <x:v>誓死王盾</x:v>
      </x:c>
      <x:c r="H148" s="102" t="str">
        <x:v>盾牌</x:v>
      </x:c>
      <x:c r="I148" s="147" t="n">
        <x:v>60</x:v>
      </x:c>
      <x:c r="J148" s="102" t="str">
        <x:v>否（材料数量固定）</x:v>
      </x:c>
      <x:c r="K148" s="102" t="str">
        <x:v>仅手动分解；默认不勾选；二次确认</x:v>
      </x:c>
      <x:c r="L148" s="103" t="str">
        <x:v>一怪一专属；专属来源跟随本行准确地图号</x:v>
      </x:c>
    </x:row>
    <x:row r="149">
      <x:c r="A149" s="101" t="str">
        <x:v>C03</x:v>
      </x:c>
      <x:c r="B149" s="102" t="str">
        <x:v>宁姆格福西域</x:v>
      </x:c>
      <x:c r="C149" s="102" t="str">
        <x:v>古战场遗迹</x:v>
      </x:c>
      <x:c r="D149" s="102" t="n">
        <x:v>3</x:v>
      </x:c>
      <x:c r="E149" s="102" t="str">
        <x:v>稀有</x:v>
      </x:c>
      <x:c r="F149" s="102" t="str">
        <x:v>祭坛唤魂师</x:v>
      </x:c>
      <x:c r="G149" s="102" t="str">
        <x:v>幽坛引魂铃</x:v>
      </x:c>
      <x:c r="H149" s="102" t="str">
        <x:v>项链</x:v>
      </x:c>
      <x:c r="I149" s="147" t="n">
        <x:v>60</x:v>
      </x:c>
      <x:c r="J149" s="102" t="str">
        <x:v>否（材料数量固定）</x:v>
      </x:c>
      <x:c r="K149" s="102" t="str">
        <x:v>仅手动分解；默认不勾选；二次确认</x:v>
      </x:c>
      <x:c r="L149" s="103" t="str">
        <x:v>一怪一专属；专属来源跟随本行准确地图号</x:v>
      </x:c>
    </x:row>
    <x:row r="150">
      <x:c r="A150" s="101" t="str">
        <x:v>C03</x:v>
      </x:c>
      <x:c r="B150" s="102" t="str">
        <x:v>宁姆格福西域</x:v>
      </x:c>
      <x:c r="C150" s="102" t="str">
        <x:v>古战场遗迹</x:v>
      </x:c>
      <x:c r="D150" s="102" t="n">
        <x:v>2</x:v>
      </x:c>
      <x:c r="E150" s="102" t="str">
        <x:v>地图BOSS</x:v>
      </x:c>
      <x:c r="F150" s="102" t="str">
        <x:v>古战将·雷戈</x:v>
      </x:c>
      <x:c r="G150" s="102" t="str">
        <x:v>雷戈古戟</x:v>
      </x:c>
      <x:c r="H150" s="102" t="str">
        <x:v>武器</x:v>
      </x:c>
      <x:c r="I150" s="147" t="n">
        <x:v>120</x:v>
      </x:c>
      <x:c r="J150" s="102" t="str">
        <x:v>否（材料数量固定）</x:v>
      </x:c>
      <x:c r="K150" s="102" t="str">
        <x:v>仅手动分解；默认不勾选；二次确认</x:v>
      </x:c>
      <x:c r="L150" s="103" t="str">
        <x:v>一怪一专属；专属来源跟随本行准确地图号</x:v>
      </x:c>
    </x:row>
    <x:row r="151">
      <x:c r="A151" s="101" t="str">
        <x:v>C03</x:v>
      </x:c>
      <x:c r="B151" s="102" t="str">
        <x:v>宁姆格福西域</x:v>
      </x:c>
      <x:c r="C151" s="102" t="str">
        <x:v>古战场遗迹</x:v>
      </x:c>
      <x:c r="D151" s="102" t="n">
        <x:v>3</x:v>
      </x:c>
      <x:c r="E151" s="102" t="str">
        <x:v>地图BOSS</x:v>
      </x:c>
      <x:c r="F151" s="102" t="str">
        <x:v>千军怨灵·阿萨</x:v>
      </x:c>
      <x:c r="G151" s="102" t="str">
        <x:v>千军魂衣</x:v>
      </x:c>
      <x:c r="H151" s="102" t="str">
        <x:v>衣服</x:v>
      </x:c>
      <x:c r="I151" s="147" t="n">
        <x:v>120</x:v>
      </x:c>
      <x:c r="J151" s="102" t="str">
        <x:v>否（材料数量固定）</x:v>
      </x:c>
      <x:c r="K151" s="102" t="str">
        <x:v>仅手动分解；默认不勾选；二次确认</x:v>
      </x:c>
      <x:c r="L151" s="103" t="str">
        <x:v>一怪一专属；专属来源跟随本行准确地图号</x:v>
      </x:c>
    </x:row>
    <x:row r="152">
      <x:c r="A152" s="101" t="str">
        <x:v>C03</x:v>
      </x:c>
      <x:c r="B152" s="102" t="str">
        <x:v>宁姆格福西域</x:v>
      </x:c>
      <x:c r="C152" s="102" t="str">
        <x:v>风蚀古垒</x:v>
      </x:c>
      <x:c r="D152" s="102" t="n">
        <x:v>1</x:v>
      </x:c>
      <x:c r="E152" s="102" t="str">
        <x:v>普通</x:v>
      </x:c>
      <x:c r="F152" s="102" t="str">
        <x:v>古垒戍兵</x:v>
      </x:c>
      <x:c r="G152" s="102" t="str">
        <x:v>古垒军刀</x:v>
      </x:c>
      <x:c r="H152" s="102" t="str">
        <x:v>武器</x:v>
      </x:c>
      <x:c r="I152" s="147" t="n">
        <x:v>30</x:v>
      </x:c>
      <x:c r="J152" s="102" t="str">
        <x:v>否（材料数量固定）</x:v>
      </x:c>
      <x:c r="K152" s="102" t="str">
        <x:v>仅手动分解；默认不勾选；二次确认</x:v>
      </x:c>
      <x:c r="L152" s="103" t="str">
        <x:v>一怪一专属；专属来源跟随本行准确地图号</x:v>
      </x:c>
    </x:row>
    <x:row r="153">
      <x:c r="A153" s="101" t="str">
        <x:v>C03</x:v>
      </x:c>
      <x:c r="B153" s="102" t="str">
        <x:v>宁姆格福西域</x:v>
      </x:c>
      <x:c r="C153" s="102" t="str">
        <x:v>风蚀古垒</x:v>
      </x:c>
      <x:c r="D153" s="102" t="n">
        <x:v>1</x:v>
      </x:c>
      <x:c r="E153" s="102" t="str">
        <x:v>普通</x:v>
      </x:c>
      <x:c r="F153" s="102" t="str">
        <x:v>风沙箭手</x:v>
      </x:c>
      <x:c r="G153" s="102" t="str">
        <x:v>风沙鹰链</x:v>
      </x:c>
      <x:c r="H153" s="102" t="str">
        <x:v>项链</x:v>
      </x:c>
      <x:c r="I153" s="147" t="n">
        <x:v>30</x:v>
      </x:c>
      <x:c r="J153" s="102" t="str">
        <x:v>否（材料数量固定）</x:v>
      </x:c>
      <x:c r="K153" s="102" t="str">
        <x:v>仅手动分解；默认不勾选；二次确认</x:v>
      </x:c>
      <x:c r="L153" s="103" t="str">
        <x:v>一怪一专属；专属来源跟随本行准确地图号</x:v>
      </x:c>
    </x:row>
    <x:row r="154">
      <x:c r="A154" s="101" t="str">
        <x:v>C03</x:v>
      </x:c>
      <x:c r="B154" s="102" t="str">
        <x:v>宁姆格福西域</x:v>
      </x:c>
      <x:c r="C154" s="102" t="str">
        <x:v>风蚀古垒</x:v>
      </x:c>
      <x:c r="D154" s="102" t="n">
        <x:v>2</x:v>
      </x:c>
      <x:c r="E154" s="102" t="str">
        <x:v>普通</x:v>
      </x:c>
      <x:c r="F154" s="102" t="str">
        <x:v>回廊石卫</x:v>
      </x:c>
      <x:c r="G154" s="102" t="str">
        <x:v>回廊石盔</x:v>
      </x:c>
      <x:c r="H154" s="102" t="str">
        <x:v>头盔</x:v>
      </x:c>
      <x:c r="I154" s="147" t="n">
        <x:v>30</x:v>
      </x:c>
      <x:c r="J154" s="102" t="str">
        <x:v>否（材料数量固定）</x:v>
      </x:c>
      <x:c r="K154" s="102" t="str">
        <x:v>仅手动分解；默认不勾选；二次确认</x:v>
      </x:c>
      <x:c r="L154" s="103" t="str">
        <x:v>一怪一专属；专属来源跟随本行准确地图号</x:v>
      </x:c>
    </x:row>
    <x:row r="155">
      <x:c r="A155" s="101" t="str">
        <x:v>C03</x:v>
      </x:c>
      <x:c r="B155" s="102" t="str">
        <x:v>宁姆格福西域</x:v>
      </x:c>
      <x:c r="C155" s="102" t="str">
        <x:v>风蚀古垒</x:v>
      </x:c>
      <x:c r="D155" s="102" t="n">
        <x:v>3</x:v>
      </x:c>
      <x:c r="E155" s="102" t="str">
        <x:v>普通</x:v>
      </x:c>
      <x:c r="F155" s="102" t="str">
        <x:v>地宫掘墓人</x:v>
      </x:c>
      <x:c r="G155" s="102" t="str">
        <x:v>掘墓铁镯</x:v>
      </x:c>
      <x:c r="H155" s="102" t="str">
        <x:v>手镯</x:v>
      </x:c>
      <x:c r="I155" s="147" t="n">
        <x:v>30</x:v>
      </x:c>
      <x:c r="J155" s="102" t="str">
        <x:v>否（材料数量固定）</x:v>
      </x:c>
      <x:c r="K155" s="102" t="str">
        <x:v>仅手动分解；默认不勾选；二次确认</x:v>
      </x:c>
      <x:c r="L155" s="103" t="str">
        <x:v>一怪一专属；专属来源跟随本行准确地图号</x:v>
      </x:c>
    </x:row>
    <x:row r="156">
      <x:c r="A156" s="101" t="str">
        <x:v>C03</x:v>
      </x:c>
      <x:c r="B156" s="102" t="str">
        <x:v>宁姆格福西域</x:v>
      </x:c>
      <x:c r="C156" s="102" t="str">
        <x:v>风蚀古垒</x:v>
      </x:c>
      <x:c r="D156" s="102" t="n">
        <x:v>2</x:v>
      </x:c>
      <x:c r="E156" s="102" t="str">
        <x:v>普通</x:v>
      </x:c>
      <x:c r="F156" s="102" t="str">
        <x:v>边墙猎犬</x:v>
      </x:c>
      <x:c r="G156" s="102" t="str">
        <x:v>边墙牙戒</x:v>
      </x:c>
      <x:c r="H156" s="102" t="str">
        <x:v>戒指</x:v>
      </x:c>
      <x:c r="I156" s="147" t="n">
        <x:v>30</x:v>
      </x:c>
      <x:c r="J156" s="102" t="str">
        <x:v>否（材料数量固定）</x:v>
      </x:c>
      <x:c r="K156" s="102" t="str">
        <x:v>仅手动分解；默认不勾选；二次确认</x:v>
      </x:c>
      <x:c r="L156" s="103" t="str">
        <x:v>一怪一专属；专属来源跟随本行准确地图号</x:v>
      </x:c>
    </x:row>
    <x:row r="157">
      <x:c r="A157" s="101" t="str">
        <x:v>C03</x:v>
      </x:c>
      <x:c r="B157" s="102" t="str">
        <x:v>宁姆格福西域</x:v>
      </x:c>
      <x:c r="C157" s="102" t="str">
        <x:v>风蚀古垒</x:v>
      </x:c>
      <x:c r="D157" s="102" t="n">
        <x:v>3</x:v>
      </x:c>
      <x:c r="E157" s="102" t="str">
        <x:v>普通</x:v>
      </x:c>
      <x:c r="F157" s="102" t="str">
        <x:v>铜门守卒</x:v>
      </x:c>
      <x:c r="G157" s="102" t="str">
        <x:v>铜门束带</x:v>
      </x:c>
      <x:c r="H157" s="102" t="str">
        <x:v>腰带</x:v>
      </x:c>
      <x:c r="I157" s="147" t="n">
        <x:v>30</x:v>
      </x:c>
      <x:c r="J157" s="102" t="str">
        <x:v>否（材料数量固定）</x:v>
      </x:c>
      <x:c r="K157" s="102" t="str">
        <x:v>仅手动分解；默认不勾选；二次确认</x:v>
      </x:c>
      <x:c r="L157" s="103" t="str">
        <x:v>一怪一专属；专属来源跟随本行准确地图号</x:v>
      </x:c>
    </x:row>
    <x:row r="158">
      <x:c r="A158" s="101" t="str">
        <x:v>C03</x:v>
      </x:c>
      <x:c r="B158" s="102" t="str">
        <x:v>宁姆格福西域</x:v>
      </x:c>
      <x:c r="C158" s="102" t="str">
        <x:v>风蚀古垒</x:v>
      </x:c>
      <x:c r="D158" s="102" t="n">
        <x:v>1</x:v>
      </x:c>
      <x:c r="E158" s="102" t="str">
        <x:v>稀有</x:v>
      </x:c>
      <x:c r="F158" s="102" t="str">
        <x:v>古垒百夫长</x:v>
      </x:c>
      <x:c r="G158" s="102" t="str">
        <x:v>百夫战靴</x:v>
      </x:c>
      <x:c r="H158" s="102" t="str">
        <x:v>鞋子</x:v>
      </x:c>
      <x:c r="I158" s="147" t="n">
        <x:v>60</x:v>
      </x:c>
      <x:c r="J158" s="102" t="str">
        <x:v>否（材料数量固定）</x:v>
      </x:c>
      <x:c r="K158" s="102" t="str">
        <x:v>仅手动分解；默认不勾选；二次确认</x:v>
      </x:c>
      <x:c r="L158" s="103" t="str">
        <x:v>一怪一专属；专属来源跟随本行准确地图号</x:v>
      </x:c>
    </x:row>
    <x:row r="159">
      <x:c r="A159" s="101" t="str">
        <x:v>C03</x:v>
      </x:c>
      <x:c r="B159" s="102" t="str">
        <x:v>宁姆格福西域</x:v>
      </x:c>
      <x:c r="C159" s="102" t="str">
        <x:v>风蚀古垒</x:v>
      </x:c>
      <x:c r="D159" s="102" t="n">
        <x:v>2</x:v>
      </x:c>
      <x:c r="E159" s="102" t="str">
        <x:v>稀有</x:v>
      </x:c>
      <x:c r="F159" s="102" t="str">
        <x:v>风蚀刑官</x:v>
      </x:c>
      <x:c r="G159" s="102" t="str">
        <x:v>刑官断刃</x:v>
      </x:c>
      <x:c r="H159" s="102" t="str">
        <x:v>武器</x:v>
      </x:c>
      <x:c r="I159" s="147" t="n">
        <x:v>60</x:v>
      </x:c>
      <x:c r="J159" s="102" t="str">
        <x:v>否（材料数量固定）</x:v>
      </x:c>
      <x:c r="K159" s="102" t="str">
        <x:v>仅手动分解；默认不勾选；二次确认</x:v>
      </x:c>
      <x:c r="L159" s="103" t="str">
        <x:v>一怪一专属；专属来源跟随本行准确地图号</x:v>
      </x:c>
    </x:row>
    <x:row r="160">
      <x:c r="A160" s="101" t="str">
        <x:v>C03</x:v>
      </x:c>
      <x:c r="B160" s="102" t="str">
        <x:v>宁姆格福西域</x:v>
      </x:c>
      <x:c r="C160" s="102" t="str">
        <x:v>风蚀古垒</x:v>
      </x:c>
      <x:c r="D160" s="102" t="n">
        <x:v>3</x:v>
      </x:c>
      <x:c r="E160" s="102" t="str">
        <x:v>稀有</x:v>
      </x:c>
      <x:c r="F160" s="102" t="str">
        <x:v>地宫镇魂者</x:v>
      </x:c>
      <x:c r="G160" s="102" t="str">
        <x:v>镇魂勋章</x:v>
      </x:c>
      <x:c r="H160" s="102" t="str">
        <x:v>勋章</x:v>
      </x:c>
      <x:c r="I160" s="147" t="n">
        <x:v>60</x:v>
      </x:c>
      <x:c r="J160" s="102" t="str">
        <x:v>否（材料数量固定）</x:v>
      </x:c>
      <x:c r="K160" s="102" t="str">
        <x:v>仅手动分解；默认不勾选；二次确认</x:v>
      </x:c>
      <x:c r="L160" s="103" t="str">
        <x:v>一怪一专属；专属来源跟随本行准确地图号</x:v>
      </x:c>
    </x:row>
    <x:row r="161">
      <x:c r="A161" s="101" t="str">
        <x:v>C03</x:v>
      </x:c>
      <x:c r="B161" s="102" t="str">
        <x:v>宁姆格福西域</x:v>
      </x:c>
      <x:c r="C161" s="102" t="str">
        <x:v>风蚀古垒</x:v>
      </x:c>
      <x:c r="D161" s="102" t="n">
        <x:v>3</x:v>
      </x:c>
      <x:c r="E161" s="102" t="str">
        <x:v>稀有</x:v>
      </x:c>
      <x:c r="F161" s="102" t="str">
        <x:v>边境铜像</x:v>
      </x:c>
      <x:c r="G161" s="102" t="str">
        <x:v>边境塔盾</x:v>
      </x:c>
      <x:c r="H161" s="102" t="str">
        <x:v>盾牌</x:v>
      </x:c>
      <x:c r="I161" s="147" t="n">
        <x:v>60</x:v>
      </x:c>
      <x:c r="J161" s="102" t="str">
        <x:v>否（材料数量固定）</x:v>
      </x:c>
      <x:c r="K161" s="102" t="str">
        <x:v>仅手动分解；默认不勾选；二次确认</x:v>
      </x:c>
      <x:c r="L161" s="103" t="str">
        <x:v>一怪一专属；专属来源跟随本行准确地图号</x:v>
      </x:c>
    </x:row>
    <x:row r="162">
      <x:c r="A162" s="101" t="str">
        <x:v>C03</x:v>
      </x:c>
      <x:c r="B162" s="102" t="str">
        <x:v>宁姆格福西域</x:v>
      </x:c>
      <x:c r="C162" s="102" t="str">
        <x:v>风蚀古垒</x:v>
      </x:c>
      <x:c r="D162" s="102" t="n">
        <x:v>2</x:v>
      </x:c>
      <x:c r="E162" s="102" t="str">
        <x:v>地图BOSS</x:v>
      </x:c>
      <x:c r="F162" s="102" t="str">
        <x:v>无归守将·布兰</x:v>
      </x:c>
      <x:c r="G162" s="102" t="str">
        <x:v>布兰守城枪</x:v>
      </x:c>
      <x:c r="H162" s="102" t="str">
        <x:v>武器</x:v>
      </x:c>
      <x:c r="I162" s="147" t="n">
        <x:v>120</x:v>
      </x:c>
      <x:c r="J162" s="102" t="str">
        <x:v>否（材料数量固定）</x:v>
      </x:c>
      <x:c r="K162" s="102" t="str">
        <x:v>仅手动分解；默认不勾选；二次确认</x:v>
      </x:c>
      <x:c r="L162" s="103" t="str">
        <x:v>一怪一专属；专属来源跟随本行准确地图号</x:v>
      </x:c>
    </x:row>
    <x:row r="163">
      <x:c r="A163" s="101" t="str">
        <x:v>C03</x:v>
      </x:c>
      <x:c r="B163" s="102" t="str">
        <x:v>宁姆格福西域</x:v>
      </x:c>
      <x:c r="C163" s="102" t="str">
        <x:v>风蚀古垒</x:v>
      </x:c>
      <x:c r="D163" s="102" t="n">
        <x:v>3</x:v>
      </x:c>
      <x:c r="E163" s="102" t="str">
        <x:v>地图BOSS</x:v>
      </x:c>
      <x:c r="F163" s="102" t="str">
        <x:v>古垒石王·迦姆</x:v>
      </x:c>
      <x:c r="G163" s="102" t="str">
        <x:v>石王古铠</x:v>
      </x:c>
      <x:c r="H163" s="102" t="str">
        <x:v>衣服</x:v>
      </x:c>
      <x:c r="I163" s="147" t="n">
        <x:v>120</x:v>
      </x:c>
      <x:c r="J163" s="102" t="str">
        <x:v>否（材料数量固定）</x:v>
      </x:c>
      <x:c r="K163" s="102" t="str">
        <x:v>仅手动分解；默认不勾选；二次确认</x:v>
      </x:c>
      <x:c r="L163" s="103" t="str">
        <x:v>一怪一专属；专属来源跟随本行准确地图号</x:v>
      </x:c>
    </x:row>
    <x:row r="164">
      <x:c r="A164" s="101" t="str">
        <x:v>C03</x:v>
      </x:c>
      <x:c r="B164" s="102" t="str">
        <x:v>宁姆格福西域</x:v>
      </x:c>
      <x:c r="C164" s="102" t="str">
        <x:v>黄金树哨垒</x:v>
      </x:c>
      <x:c r="D164" s="102" t="n">
        <x:v>1</x:v>
      </x:c>
      <x:c r="E164" s="102" t="str">
        <x:v>普通</x:v>
      </x:c>
      <x:c r="F164" s="102" t="str">
        <x:v>金叶哨兵</x:v>
      </x:c>
      <x:c r="G164" s="102" t="str">
        <x:v>金叶军刃</x:v>
      </x:c>
      <x:c r="H164" s="102" t="str">
        <x:v>武器</x:v>
      </x:c>
      <x:c r="I164" s="147" t="n">
        <x:v>30</x:v>
      </x:c>
      <x:c r="J164" s="102" t="str">
        <x:v>否（材料数量固定）</x:v>
      </x:c>
      <x:c r="K164" s="102" t="str">
        <x:v>仅手动分解；默认不勾选；二次确认</x:v>
      </x:c>
      <x:c r="L164" s="103" t="str">
        <x:v>一怪一专属；专属来源跟随本行准确地图号</x:v>
      </x:c>
    </x:row>
    <x:row r="165">
      <x:c r="A165" s="101" t="str">
        <x:v>C03</x:v>
      </x:c>
      <x:c r="B165" s="102" t="str">
        <x:v>宁姆格福西域</x:v>
      </x:c>
      <x:c r="C165" s="102" t="str">
        <x:v>黄金树哨垒</x:v>
      </x:c>
      <x:c r="D165" s="102" t="n">
        <x:v>1</x:v>
      </x:c>
      <x:c r="E165" s="102" t="str">
        <x:v>普通</x:v>
      </x:c>
      <x:c r="F165" s="102" t="str">
        <x:v>王树弩卫</x:v>
      </x:c>
      <x:c r="G165" s="102" t="str">
        <x:v>王树弩戒</x:v>
      </x:c>
      <x:c r="H165" s="102" t="str">
        <x:v>戒指</x:v>
      </x:c>
      <x:c r="I165" s="147" t="n">
        <x:v>30</x:v>
      </x:c>
      <x:c r="J165" s="102" t="str">
        <x:v>否（材料数量固定）</x:v>
      </x:c>
      <x:c r="K165" s="102" t="str">
        <x:v>仅手动分解；默认不勾选；二次确认</x:v>
      </x:c>
      <x:c r="L165" s="103" t="str">
        <x:v>一怪一专属；专属来源跟随本行准确地图号</x:v>
      </x:c>
    </x:row>
    <x:row r="166">
      <x:c r="A166" s="101" t="str">
        <x:v>C03</x:v>
      </x:c>
      <x:c r="B166" s="102" t="str">
        <x:v>宁姆格福西域</x:v>
      </x:c>
      <x:c r="C166" s="102" t="str">
        <x:v>黄金树哨垒</x:v>
      </x:c>
      <x:c r="D166" s="102" t="n">
        <x:v>2</x:v>
      </x:c>
      <x:c r="E166" s="102" t="str">
        <x:v>普通</x:v>
      </x:c>
      <x:c r="F166" s="102" t="str">
        <x:v>圣露侍从</x:v>
      </x:c>
      <x:c r="G166" s="102" t="str">
        <x:v>圣露护腕</x:v>
      </x:c>
      <x:c r="H166" s="102" t="str">
        <x:v>手镯</x:v>
      </x:c>
      <x:c r="I166" s="147" t="n">
        <x:v>30</x:v>
      </x:c>
      <x:c r="J166" s="102" t="str">
        <x:v>否（材料数量固定）</x:v>
      </x:c>
      <x:c r="K166" s="102" t="str">
        <x:v>仅手动分解；默认不勾选；二次确认</x:v>
      </x:c>
      <x:c r="L166" s="103" t="str">
        <x:v>一怪一专属；专属来源跟随本行准确地图号</x:v>
      </x:c>
    </x:row>
    <x:row r="167">
      <x:c r="A167" s="101" t="str">
        <x:v>C03</x:v>
      </x:c>
      <x:c r="B167" s="102" t="str">
        <x:v>宁姆格福西域</x:v>
      </x:c>
      <x:c r="C167" s="102" t="str">
        <x:v>黄金树哨垒</x:v>
      </x:c>
      <x:c r="D167" s="102" t="n">
        <x:v>2</x:v>
      </x:c>
      <x:c r="E167" s="102" t="str">
        <x:v>普通</x:v>
      </x:c>
      <x:c r="F167" s="102" t="str">
        <x:v>镀金战鹰</x:v>
      </x:c>
      <x:c r="G167" s="102" t="str">
        <x:v>镀金羽冠</x:v>
      </x:c>
      <x:c r="H167" s="102" t="str">
        <x:v>头盔</x:v>
      </x:c>
      <x:c r="I167" s="147" t="n">
        <x:v>30</x:v>
      </x:c>
      <x:c r="J167" s="102" t="str">
        <x:v>否（材料数量固定）</x:v>
      </x:c>
      <x:c r="K167" s="102" t="str">
        <x:v>仅手动分解；默认不勾选；二次确认</x:v>
      </x:c>
      <x:c r="L167" s="103" t="str">
        <x:v>一怪一专属；专属来源跟随本行准确地图号</x:v>
      </x:c>
    </x:row>
    <x:row r="168">
      <x:c r="A168" s="101" t="str">
        <x:v>C03</x:v>
      </x:c>
      <x:c r="B168" s="102" t="str">
        <x:v>宁姆格福西域</x:v>
      </x:c>
      <x:c r="C168" s="102" t="str">
        <x:v>黄金树哨垒</x:v>
      </x:c>
      <x:c r="D168" s="102" t="n">
        <x:v>3</x:v>
      </x:c>
      <x:c r="E168" s="102" t="str">
        <x:v>普通</x:v>
      </x:c>
      <x:c r="F168" s="102" t="str">
        <x:v>赐福骑兵</x:v>
      </x:c>
      <x:c r="G168" s="102" t="str">
        <x:v>赐福战靴</x:v>
      </x:c>
      <x:c r="H168" s="102" t="str">
        <x:v>鞋子</x:v>
      </x:c>
      <x:c r="I168" s="147" t="n">
        <x:v>30</x:v>
      </x:c>
      <x:c r="J168" s="102" t="str">
        <x:v>否（材料数量固定）</x:v>
      </x:c>
      <x:c r="K168" s="102" t="str">
        <x:v>仅手动分解；默认不勾选；二次确认</x:v>
      </x:c>
      <x:c r="L168" s="103" t="str">
        <x:v>一怪一专属；专属来源跟随本行准确地图号</x:v>
      </x:c>
    </x:row>
    <x:row r="169">
      <x:c r="A169" s="101" t="str">
        <x:v>C03</x:v>
      </x:c>
      <x:c r="B169" s="102" t="str">
        <x:v>宁姆格福西域</x:v>
      </x:c>
      <x:c r="C169" s="102" t="str">
        <x:v>黄金树哨垒</x:v>
      </x:c>
      <x:c r="D169" s="102" t="n">
        <x:v>3</x:v>
      </x:c>
      <x:c r="E169" s="102" t="str">
        <x:v>普通</x:v>
      </x:c>
      <x:c r="F169" s="102" t="str">
        <x:v>哨垒执炬者</x:v>
      </x:c>
      <x:c r="G169" s="102" t="str">
        <x:v>执炬勋章</x:v>
      </x:c>
      <x:c r="H169" s="102" t="str">
        <x:v>勋章</x:v>
      </x:c>
      <x:c r="I169" s="147" t="n">
        <x:v>30</x:v>
      </x:c>
      <x:c r="J169" s="102" t="str">
        <x:v>否（材料数量固定）</x:v>
      </x:c>
      <x:c r="K169" s="102" t="str">
        <x:v>仅手动分解；默认不勾选；二次确认</x:v>
      </x:c>
      <x:c r="L169" s="103" t="str">
        <x:v>一怪一专属；专属来源跟随本行准确地图号</x:v>
      </x:c>
    </x:row>
    <x:row r="170">
      <x:c r="A170" s="101" t="str">
        <x:v>C03</x:v>
      </x:c>
      <x:c r="B170" s="102" t="str">
        <x:v>宁姆格福西域</x:v>
      </x:c>
      <x:c r="C170" s="102" t="str">
        <x:v>黄金树哨垒</x:v>
      </x:c>
      <x:c r="D170" s="102" t="n">
        <x:v>1</x:v>
      </x:c>
      <x:c r="E170" s="102" t="str">
        <x:v>稀有</x:v>
      </x:c>
      <x:c r="F170" s="102" t="str">
        <x:v>黄金树旗卫</x:v>
      </x:c>
      <x:c r="G170" s="102" t="str">
        <x:v>黄金旗甲</x:v>
      </x:c>
      <x:c r="H170" s="102" t="str">
        <x:v>衣服</x:v>
      </x:c>
      <x:c r="I170" s="147" t="n">
        <x:v>60</x:v>
      </x:c>
      <x:c r="J170" s="102" t="str">
        <x:v>否（材料数量固定）</x:v>
      </x:c>
      <x:c r="K170" s="102" t="str">
        <x:v>仅手动分解；默认不勾选；二次确认</x:v>
      </x:c>
      <x:c r="L170" s="103" t="str">
        <x:v>一怪一专属；专属来源跟随本行准确地图号</x:v>
      </x:c>
    </x:row>
    <x:row r="171">
      <x:c r="A171" s="101" t="str">
        <x:v>C03</x:v>
      </x:c>
      <x:c r="B171" s="102" t="str">
        <x:v>宁姆格福西域</x:v>
      </x:c>
      <x:c r="C171" s="102" t="str">
        <x:v>黄金树哨垒</x:v>
      </x:c>
      <x:c r="D171" s="102" t="n">
        <x:v>2</x:v>
      </x:c>
      <x:c r="E171" s="102" t="str">
        <x:v>稀有</x:v>
      </x:c>
      <x:c r="F171" s="102" t="str">
        <x:v>圣律监军</x:v>
      </x:c>
      <x:c r="G171" s="102" t="str">
        <x:v>圣律戒印</x:v>
      </x:c>
      <x:c r="H171" s="102" t="str">
        <x:v>戒指</x:v>
      </x:c>
      <x:c r="I171" s="147" t="n">
        <x:v>60</x:v>
      </x:c>
      <x:c r="J171" s="102" t="str">
        <x:v>否（材料数量固定）</x:v>
      </x:c>
      <x:c r="K171" s="102" t="str">
        <x:v>仅手动分解；默认不勾选；二次确认</x:v>
      </x:c>
      <x:c r="L171" s="103" t="str">
        <x:v>一怪一专属；专属来源跟随本行准确地图号</x:v>
      </x:c>
    </x:row>
    <x:row r="172">
      <x:c r="A172" s="101" t="str">
        <x:v>C03</x:v>
      </x:c>
      <x:c r="B172" s="102" t="str">
        <x:v>宁姆格福西域</x:v>
      </x:c>
      <x:c r="C172" s="102" t="str">
        <x:v>黄金树哨垒</x:v>
      </x:c>
      <x:c r="D172" s="102" t="n">
        <x:v>3</x:v>
      </x:c>
      <x:c r="E172" s="102" t="str">
        <x:v>稀有</x:v>
      </x:c>
      <x:c r="F172" s="102" t="str">
        <x:v>赐福守门人</x:v>
      </x:c>
      <x:c r="G172" s="102" t="str">
        <x:v>守门王盾</x:v>
      </x:c>
      <x:c r="H172" s="102" t="str">
        <x:v>盾牌</x:v>
      </x:c>
      <x:c r="I172" s="147" t="n">
        <x:v>60</x:v>
      </x:c>
      <x:c r="J172" s="102" t="str">
        <x:v>否（材料数量固定）</x:v>
      </x:c>
      <x:c r="K172" s="102" t="str">
        <x:v>仅手动分解；默认不勾选；二次确认</x:v>
      </x:c>
      <x:c r="L172" s="103" t="str">
        <x:v>一怪一专属；专属来源跟随本行准确地图号</x:v>
      </x:c>
    </x:row>
    <x:row r="173">
      <x:c r="A173" s="101" t="str">
        <x:v>C03</x:v>
      </x:c>
      <x:c r="B173" s="102" t="str">
        <x:v>宁姆格福西域</x:v>
      </x:c>
      <x:c r="C173" s="102" t="str">
        <x:v>黄金树哨垒</x:v>
      </x:c>
      <x:c r="D173" s="102" t="n">
        <x:v>3</x:v>
      </x:c>
      <x:c r="E173" s="102" t="str">
        <x:v>稀有</x:v>
      </x:c>
      <x:c r="F173" s="102" t="str">
        <x:v>哨垒祷告师</x:v>
      </x:c>
      <x:c r="G173" s="102" t="str">
        <x:v>赐光祷誓镯</x:v>
      </x:c>
      <x:c r="H173" s="102" t="str">
        <x:v>手镯</x:v>
      </x:c>
      <x:c r="I173" s="147" t="n">
        <x:v>60</x:v>
      </x:c>
      <x:c r="J173" s="102" t="str">
        <x:v>否（材料数量固定）</x:v>
      </x:c>
      <x:c r="K173" s="102" t="str">
        <x:v>仅手动分解；默认不勾选；二次确认</x:v>
      </x:c>
      <x:c r="L173" s="103" t="str">
        <x:v>一怪一专属；专属来源跟随本行准确地图号</x:v>
      </x:c>
    </x:row>
    <x:row r="174">
      <x:c r="A174" s="101" t="str">
        <x:v>C03</x:v>
      </x:c>
      <x:c r="B174" s="102" t="str">
        <x:v>宁姆格福西域</x:v>
      </x:c>
      <x:c r="C174" s="102" t="str">
        <x:v>黄金树哨垒</x:v>
      </x:c>
      <x:c r="D174" s="102" t="n">
        <x:v>2</x:v>
      </x:c>
      <x:c r="E174" s="102" t="str">
        <x:v>地图BOSS</x:v>
      </x:c>
      <x:c r="F174" s="102" t="str">
        <x:v>金叶统帅·艾德</x:v>
      </x:c>
      <x:c r="G174" s="102" t="str">
        <x:v>艾德统帅剑</x:v>
      </x:c>
      <x:c r="H174" s="102" t="str">
        <x:v>武器</x:v>
      </x:c>
      <x:c r="I174" s="147" t="n">
        <x:v>120</x:v>
      </x:c>
      <x:c r="J174" s="102" t="str">
        <x:v>否（材料数量固定）</x:v>
      </x:c>
      <x:c r="K174" s="102" t="str">
        <x:v>仅手动分解；默认不勾选；二次确认</x:v>
      </x:c>
      <x:c r="L174" s="103" t="str">
        <x:v>一怪一专属；专属来源跟随本行准确地图号</x:v>
      </x:c>
    </x:row>
    <x:row r="175">
      <x:c r="A175" s="101" t="str">
        <x:v>C03</x:v>
      </x:c>
      <x:c r="B175" s="102" t="str">
        <x:v>宁姆格福西域</x:v>
      </x:c>
      <x:c r="C175" s="102" t="str">
        <x:v>黄金树哨垒</x:v>
      </x:c>
      <x:c r="D175" s="102" t="n">
        <x:v>3</x:v>
      </x:c>
      <x:c r="E175" s="102" t="str">
        <x:v>地图BOSS</x:v>
      </x:c>
      <x:c r="F175" s="102" t="str">
        <x:v>黄金树化身·洛恩</x:v>
      </x:c>
      <x:c r="G175" s="102" t="str">
        <x:v>洛恩树心甲</x:v>
      </x:c>
      <x:c r="H175" s="102" t="str">
        <x:v>衣服</x:v>
      </x:c>
      <x:c r="I175" s="147" t="n">
        <x:v>120</x:v>
      </x:c>
      <x:c r="J175" s="102" t="str">
        <x:v>否（材料数量固定）</x:v>
      </x:c>
      <x:c r="K175" s="102" t="str">
        <x:v>仅手动分解；默认不勾选；二次确认</x:v>
      </x:c>
      <x:c r="L175" s="103" t="str">
        <x:v>一怪一专属；专属来源跟随本行准确地图号</x:v>
      </x:c>
    </x:row>
    <x:row r="176">
      <x:c r="A176" s="101" t="str">
        <x:v>C03</x:v>
      </x:c>
      <x:c r="B176" s="102" t="str">
        <x:v>宁姆格福西域</x:v>
      </x:c>
      <x:c r="C176" s="102" t="str">
        <x:v>黄金树哨垒</x:v>
      </x:c>
      <x:c r="D176" s="102" t="n">
        <x:v>3</x:v>
      </x:c>
      <x:c r="E176" s="102" t="str">
        <x:v>守关BOSS</x:v>
      </x:c>
      <x:c r="F176" s="102" t="str">
        <x:v>西境征服者·戈德里安</x:v>
      </x:c>
      <x:c r="G176" s="102" t="str">
        <x:v>西境征服冠</x:v>
      </x:c>
      <x:c r="H176" s="102" t="str">
        <x:v>头盔</x:v>
      </x:c>
      <x:c r="I176" s="147" t="n">
        <x:v>120</x:v>
      </x:c>
      <x:c r="J176" s="102" t="str">
        <x:v>否（材料数量固定）</x:v>
      </x:c>
      <x:c r="K176" s="102" t="str">
        <x:v>仅手动分解；默认不勾选；二次确认</x:v>
      </x:c>
      <x:c r="L176" s="103" t="str">
        <x:v>大陆最终守关；本表不填属性、爆率和货币</x:v>
      </x:c>
    </x:row>
    <x:row r="177">
      <x:c r="A177" s="101" t="str">
        <x:v>C04</x:v>
      </x:c>
      <x:c r="B177" s="102" t="str">
        <x:v>利耶尼亚海域</x:v>
      </x:c>
      <x:c r="C177" s="102" t="str">
        <x:v>雾潮湿地</x:v>
      </x:c>
      <x:c r="D177" s="102" t="n">
        <x:v>1</x:v>
      </x:c>
      <x:c r="E177" s="102" t="str">
        <x:v>普通</x:v>
      </x:c>
      <x:c r="F177" s="102" t="str">
        <x:v>雾脚泥蛙</x:v>
      </x:c>
      <x:c r="G177" s="102" t="str">
        <x:v>雾脚蹼靴</x:v>
      </x:c>
      <x:c r="H177" s="102" t="str">
        <x:v>鞋子</x:v>
      </x:c>
      <x:c r="I177" s="147" t="n">
        <x:v>40</x:v>
      </x:c>
      <x:c r="J177" s="102" t="str">
        <x:v>否（材料数量固定）</x:v>
      </x:c>
      <x:c r="K177" s="102" t="str">
        <x:v>仅手动分解；默认不勾选；二次确认</x:v>
      </x:c>
      <x:c r="L177" s="103" t="str">
        <x:v>一怪一专属；专属来源跟随本行准确地图号</x:v>
      </x:c>
    </x:row>
    <x:row r="178">
      <x:c r="A178" s="101" t="str">
        <x:v>C04</x:v>
      </x:c>
      <x:c r="B178" s="102" t="str">
        <x:v>利耶尼亚海域</x:v>
      </x:c>
      <x:c r="C178" s="102" t="str">
        <x:v>雾潮湿地</x:v>
      </x:c>
      <x:c r="D178" s="102" t="n">
        <x:v>1</x:v>
      </x:c>
      <x:c r="E178" s="102" t="str">
        <x:v>普通</x:v>
      </x:c>
      <x:c r="F178" s="102" t="str">
        <x:v>苔冠沼鹿</x:v>
      </x:c>
      <x:c r="G178" s="102" t="str">
        <x:v>沼鹿苔冠</x:v>
      </x:c>
      <x:c r="H178" s="102" t="str">
        <x:v>头盔</x:v>
      </x:c>
      <x:c r="I178" s="147" t="n">
        <x:v>40</x:v>
      </x:c>
      <x:c r="J178" s="102" t="str">
        <x:v>否（材料数量固定）</x:v>
      </x:c>
      <x:c r="K178" s="102" t="str">
        <x:v>仅手动分解；默认不勾选；二次确认</x:v>
      </x:c>
      <x:c r="L178" s="103" t="str">
        <x:v>一怪一专属；专属来源跟随本行准确地图号</x:v>
      </x:c>
    </x:row>
    <x:row r="179">
      <x:c r="A179" s="101" t="str">
        <x:v>C04</x:v>
      </x:c>
      <x:c r="B179" s="102" t="str">
        <x:v>利耶尼亚海域</x:v>
      </x:c>
      <x:c r="C179" s="102" t="str">
        <x:v>雾潮湿地</x:v>
      </x:c>
      <x:c r="D179" s="102" t="n">
        <x:v>1</x:v>
      </x:c>
      <x:c r="E179" s="102" t="str">
        <x:v>普通</x:v>
      </x:c>
      <x:c r="F179" s="102" t="str">
        <x:v>潮沟芦妖</x:v>
      </x:c>
      <x:c r="G179" s="102" t="str">
        <x:v>芦针腕环</x:v>
      </x:c>
      <x:c r="H179" s="102" t="str">
        <x:v>手镯</x:v>
      </x:c>
      <x:c r="I179" s="147" t="n">
        <x:v>40</x:v>
      </x:c>
      <x:c r="J179" s="102" t="str">
        <x:v>否（材料数量固定）</x:v>
      </x:c>
      <x:c r="K179" s="102" t="str">
        <x:v>仅手动分解；默认不勾选；二次确认</x:v>
      </x:c>
      <x:c r="L179" s="103" t="str">
        <x:v>一怪一专属；专属来源跟随本行准确地图号</x:v>
      </x:c>
    </x:row>
    <x:row r="180">
      <x:c r="A180" s="101" t="str">
        <x:v>C04</x:v>
      </x:c>
      <x:c r="B180" s="102" t="str">
        <x:v>利耶尼亚海域</x:v>
      </x:c>
      <x:c r="C180" s="102" t="str">
        <x:v>雾潮湿地</x:v>
      </x:c>
      <x:c r="D180" s="102" t="n">
        <x:v>2</x:v>
      </x:c>
      <x:c r="E180" s="102" t="str">
        <x:v>普通</x:v>
      </x:c>
      <x:c r="F180" s="102" t="str">
        <x:v>腐雾钳虾</x:v>
      </x:c>
      <x:c r="G180" s="102" t="str">
        <x:v>青壳沼盾</x:v>
      </x:c>
      <x:c r="H180" s="102" t="str">
        <x:v>盾牌</x:v>
      </x:c>
      <x:c r="I180" s="147" t="n">
        <x:v>40</x:v>
      </x:c>
      <x:c r="J180" s="102" t="str">
        <x:v>否（材料数量固定）</x:v>
      </x:c>
      <x:c r="K180" s="102" t="str">
        <x:v>仅手动分解；默认不勾选；二次确认</x:v>
      </x:c>
      <x:c r="L180" s="103" t="str">
        <x:v>一怪一专属；专属来源跟随本行准确地图号</x:v>
      </x:c>
    </x:row>
    <x:row r="181">
      <x:c r="A181" s="101" t="str">
        <x:v>C04</x:v>
      </x:c>
      <x:c r="B181" s="102" t="str">
        <x:v>利耶尼亚海域</x:v>
      </x:c>
      <x:c r="C181" s="102" t="str">
        <x:v>雾潮湿地</x:v>
      </x:c>
      <x:c r="D181" s="102" t="n">
        <x:v>2</x:v>
      </x:c>
      <x:c r="E181" s="102" t="str">
        <x:v>普通</x:v>
      </x:c>
      <x:c r="F181" s="102" t="str">
        <x:v>烂泽水蛭</x:v>
      </x:c>
      <x:c r="G181" s="102" t="str">
        <x:v>吸潮血戒</x:v>
      </x:c>
      <x:c r="H181" s="102" t="str">
        <x:v>戒指</x:v>
      </x:c>
      <x:c r="I181" s="147" t="n">
        <x:v>40</x:v>
      </x:c>
      <x:c r="J181" s="102" t="str">
        <x:v>否（材料数量固定）</x:v>
      </x:c>
      <x:c r="K181" s="102" t="str">
        <x:v>仅手动分解；默认不勾选；二次确认</x:v>
      </x:c>
      <x:c r="L181" s="103" t="str">
        <x:v>一怪一专属；专属来源跟随本行准确地图号</x:v>
      </x:c>
    </x:row>
    <x:row r="182">
      <x:c r="A182" s="101" t="str">
        <x:v>C04</x:v>
      </x:c>
      <x:c r="B182" s="102" t="str">
        <x:v>利耶尼亚海域</x:v>
      </x:c>
      <x:c r="C182" s="102" t="str">
        <x:v>雾潮湿地</x:v>
      </x:c>
      <x:c r="D182" s="102" t="n">
        <x:v>2</x:v>
      </x:c>
      <x:c r="E182" s="102" t="str">
        <x:v>普通</x:v>
      </x:c>
      <x:c r="F182" s="102" t="str">
        <x:v>蒙眼采藕人</x:v>
      </x:c>
      <x:c r="G182" s="102" t="str">
        <x:v>盲采藕刀</x:v>
      </x:c>
      <x:c r="H182" s="102" t="str">
        <x:v>武器</x:v>
      </x:c>
      <x:c r="I182" s="147" t="n">
        <x:v>40</x:v>
      </x:c>
      <x:c r="J182" s="102" t="str">
        <x:v>否（材料数量固定）</x:v>
      </x:c>
      <x:c r="K182" s="102" t="str">
        <x:v>仅手动分解；默认不勾选；二次确认</x:v>
      </x:c>
      <x:c r="L182" s="103" t="str">
        <x:v>一怪一专属；专属来源跟随本行准确地图号</x:v>
      </x:c>
    </x:row>
    <x:row r="183">
      <x:c r="A183" s="101" t="str">
        <x:v>C04</x:v>
      </x:c>
      <x:c r="B183" s="102" t="str">
        <x:v>利耶尼亚海域</x:v>
      </x:c>
      <x:c r="C183" s="102" t="str">
        <x:v>雾潮湿地</x:v>
      </x:c>
      <x:c r="D183" s="102" t="n">
        <x:v>1</x:v>
      </x:c>
      <x:c r="E183" s="102" t="str">
        <x:v>稀有</x:v>
      </x:c>
      <x:c r="F183" s="102" t="str">
        <x:v>雾纱水巫</x:v>
      </x:c>
      <x:c r="G183" s="102" t="str">
        <x:v>水巫雾纱笠</x:v>
      </x:c>
      <x:c r="H183" s="102" t="str">
        <x:v>斗笠</x:v>
      </x:c>
      <x:c r="I183" s="147" t="n">
        <x:v>80</x:v>
      </x:c>
      <x:c r="J183" s="102" t="str">
        <x:v>否（材料数量固定）</x:v>
      </x:c>
      <x:c r="K183" s="102" t="str">
        <x:v>仅手动分解；默认不勾选；二次确认</x:v>
      </x:c>
      <x:c r="L183" s="103" t="str">
        <x:v>一怪一专属；专属来源跟随本行准确地图号</x:v>
      </x:c>
    </x:row>
    <x:row r="184">
      <x:c r="A184" s="101" t="str">
        <x:v>C04</x:v>
      </x:c>
      <x:c r="B184" s="102" t="str">
        <x:v>利耶尼亚海域</x:v>
      </x:c>
      <x:c r="C184" s="102" t="str">
        <x:v>雾潮湿地</x:v>
      </x:c>
      <x:c r="D184" s="102" t="n">
        <x:v>1</x:v>
      </x:c>
      <x:c r="E184" s="102" t="str">
        <x:v>稀有</x:v>
      </x:c>
      <x:c r="F184" s="102" t="str">
        <x:v>银腹塘鳄</x:v>
      </x:c>
      <x:c r="G184" s="102" t="str">
        <x:v>银腹鳄甲</x:v>
      </x:c>
      <x:c r="H184" s="102" t="str">
        <x:v>衣服</x:v>
      </x:c>
      <x:c r="I184" s="147" t="n">
        <x:v>80</x:v>
      </x:c>
      <x:c r="J184" s="102" t="str">
        <x:v>否（材料数量固定）</x:v>
      </x:c>
      <x:c r="K184" s="102" t="str">
        <x:v>仅手动分解；默认不勾选；二次确认</x:v>
      </x:c>
      <x:c r="L184" s="103" t="str">
        <x:v>一怪一专属；专属来源跟随本行准确地图号</x:v>
      </x:c>
    </x:row>
    <x:row r="185">
      <x:c r="A185" s="101" t="str">
        <x:v>C04</x:v>
      </x:c>
      <x:c r="B185" s="102" t="str">
        <x:v>利耶尼亚海域</x:v>
      </x:c>
      <x:c r="C185" s="102" t="str">
        <x:v>雾潮湿地</x:v>
      </x:c>
      <x:c r="D185" s="102" t="n">
        <x:v>2</x:v>
      </x:c>
      <x:c r="E185" s="102" t="str">
        <x:v>稀有</x:v>
      </x:c>
      <x:c r="F185" s="102" t="str">
        <x:v>腐泽孢母</x:v>
      </x:c>
      <x:c r="G185" s="102" t="str">
        <x:v>孢母菌带</x:v>
      </x:c>
      <x:c r="H185" s="102" t="str">
        <x:v>腰带</x:v>
      </x:c>
      <x:c r="I185" s="147" t="n">
        <x:v>80</x:v>
      </x:c>
      <x:c r="J185" s="102" t="str">
        <x:v>否（材料数量固定）</x:v>
      </x:c>
      <x:c r="K185" s="102" t="str">
        <x:v>仅手动分解；默认不勾选；二次确认</x:v>
      </x:c>
      <x:c r="L185" s="103" t="str">
        <x:v>一怪一专属；专属来源跟随本行准确地图号</x:v>
      </x:c>
    </x:row>
    <x:row r="186">
      <x:c r="A186" s="101" t="str">
        <x:v>C04</x:v>
      </x:c>
      <x:c r="B186" s="102" t="str">
        <x:v>利耶尼亚海域</x:v>
      </x:c>
      <x:c r="C186" s="102" t="str">
        <x:v>雾潮湿地</x:v>
      </x:c>
      <x:c r="D186" s="102" t="n">
        <x:v>2</x:v>
      </x:c>
      <x:c r="E186" s="102" t="str">
        <x:v>稀有</x:v>
      </x:c>
      <x:c r="F186" s="102" t="str">
        <x:v>提灯溺客</x:v>
      </x:c>
      <x:c r="G186" s="102" t="str">
        <x:v>溺客灯坠</x:v>
      </x:c>
      <x:c r="H186" s="102" t="str">
        <x:v>项链</x:v>
      </x:c>
      <x:c r="I186" s="147" t="n">
        <x:v>80</x:v>
      </x:c>
      <x:c r="J186" s="102" t="str">
        <x:v>否（材料数量固定）</x:v>
      </x:c>
      <x:c r="K186" s="102" t="str">
        <x:v>仅手动分解；默认不勾选；二次确认</x:v>
      </x:c>
      <x:c r="L186" s="103" t="str">
        <x:v>一怪一专属；专属来源跟随本行准确地图号</x:v>
      </x:c>
    </x:row>
    <x:row r="187">
      <x:c r="A187" s="101" t="str">
        <x:v>C04</x:v>
      </x:c>
      <x:c r="B187" s="102" t="str">
        <x:v>利耶尼亚海域</x:v>
      </x:c>
      <x:c r="C187" s="102" t="str">
        <x:v>雾潮湿地</x:v>
      </x:c>
      <x:c r="D187" s="102" t="n">
        <x:v>1</x:v>
      </x:c>
      <x:c r="E187" s="102" t="str">
        <x:v>地图BOSS</x:v>
      </x:c>
      <x:c r="F187" s="102" t="str">
        <x:v>潮痕猎首·葛弥</x:v>
      </x:c>
      <x:c r="G187" s="102" t="str">
        <x:v>葛弥的雾齿叉</x:v>
      </x:c>
      <x:c r="H187" s="102" t="str">
        <x:v>武器</x:v>
      </x:c>
      <x:c r="I187" s="147" t="n">
        <x:v>160</x:v>
      </x:c>
      <x:c r="J187" s="102" t="str">
        <x:v>否（材料数量固定）</x:v>
      </x:c>
      <x:c r="K187" s="102" t="str">
        <x:v>仅手动分解；默认不勾选；二次确认</x:v>
      </x:c>
      <x:c r="L187" s="103" t="str">
        <x:v>一怪一专属；专属来源跟随本行准确地图号</x:v>
      </x:c>
    </x:row>
    <x:row r="188">
      <x:c r="A188" s="101" t="str">
        <x:v>C04</x:v>
      </x:c>
      <x:c r="B188" s="102" t="str">
        <x:v>利耶尼亚海域</x:v>
      </x:c>
      <x:c r="C188" s="102" t="str">
        <x:v>雾潮湿地</x:v>
      </x:c>
      <x:c r="D188" s="102" t="n">
        <x:v>2</x:v>
      </x:c>
      <x:c r="E188" s="102" t="str">
        <x:v>地图BOSS</x:v>
      </x:c>
      <x:c r="F188" s="102" t="str">
        <x:v>沼冠腐龙·弥瑟</x:v>
      </x:c>
      <x:c r="G188" s="102" t="str">
        <x:v>弥瑟腐鳞衣</x:v>
      </x:c>
      <x:c r="H188" s="102" t="str">
        <x:v>衣服</x:v>
      </x:c>
      <x:c r="I188" s="147" t="n">
        <x:v>160</x:v>
      </x:c>
      <x:c r="J188" s="102" t="str">
        <x:v>否（材料数量固定）</x:v>
      </x:c>
      <x:c r="K188" s="102" t="str">
        <x:v>仅手动分解；默认不勾选；二次确认</x:v>
      </x:c>
      <x:c r="L188" s="103" t="str">
        <x:v>一怪一专属；专属来源跟随本行准确地图号</x:v>
      </x:c>
    </x:row>
    <x:row r="189">
      <x:c r="A189" s="101" t="str">
        <x:v>C04</x:v>
      </x:c>
      <x:c r="B189" s="102" t="str">
        <x:v>利耶尼亚海域</x:v>
      </x:c>
      <x:c r="C189" s="102" t="str">
        <x:v>沉湖遗迹</x:v>
      </x:c>
      <x:c r="D189" s="102" t="n">
        <x:v>1</x:v>
      </x:c>
      <x:c r="E189" s="102" t="str">
        <x:v>普通</x:v>
      </x:c>
      <x:c r="F189" s="102" t="str">
        <x:v>潜碑拾荒者</x:v>
      </x:c>
      <x:c r="G189" s="102" t="str">
        <x:v>拾碑短刃</x:v>
      </x:c>
      <x:c r="H189" s="102" t="str">
        <x:v>武器</x:v>
      </x:c>
      <x:c r="I189" s="147" t="n">
        <x:v>40</x:v>
      </x:c>
      <x:c r="J189" s="102" t="str">
        <x:v>否（材料数量固定）</x:v>
      </x:c>
      <x:c r="K189" s="102" t="str">
        <x:v>仅手动分解；默认不勾选；二次确认</x:v>
      </x:c>
      <x:c r="L189" s="103" t="str">
        <x:v>一怪一专属；专属来源跟随本行准确地图号</x:v>
      </x:c>
    </x:row>
    <x:row r="190">
      <x:c r="A190" s="101" t="str">
        <x:v>C04</x:v>
      </x:c>
      <x:c r="B190" s="102" t="str">
        <x:v>利耶尼亚海域</x:v>
      </x:c>
      <x:c r="C190" s="102" t="str">
        <x:v>沉湖遗迹</x:v>
      </x:c>
      <x:c r="D190" s="102" t="n">
        <x:v>1</x:v>
      </x:c>
      <x:c r="E190" s="102" t="str">
        <x:v>普通</x:v>
      </x:c>
      <x:c r="F190" s="102" t="str">
        <x:v>藻甲石仆</x:v>
      </x:c>
      <x:c r="G190" s="102" t="str">
        <x:v>藻纹石盔</x:v>
      </x:c>
      <x:c r="H190" s="102" t="str">
        <x:v>头盔</x:v>
      </x:c>
      <x:c r="I190" s="147" t="n">
        <x:v>40</x:v>
      </x:c>
      <x:c r="J190" s="102" t="str">
        <x:v>否（材料数量固定）</x:v>
      </x:c>
      <x:c r="K190" s="102" t="str">
        <x:v>仅手动分解；默认不勾选；二次确认</x:v>
      </x:c>
      <x:c r="L190" s="103" t="str">
        <x:v>一怪一专属；专属来源跟随本行准确地图号</x:v>
      </x:c>
    </x:row>
    <x:row r="191">
      <x:c r="A191" s="101" t="str">
        <x:v>C04</x:v>
      </x:c>
      <x:c r="B191" s="102" t="str">
        <x:v>利耶尼亚海域</x:v>
      </x:c>
      <x:c r="C191" s="102" t="str">
        <x:v>沉湖遗迹</x:v>
      </x:c>
      <x:c r="D191" s="102" t="n">
        <x:v>2</x:v>
      </x:c>
      <x:c r="E191" s="102" t="str">
        <x:v>普通</x:v>
      </x:c>
      <x:c r="F191" s="102" t="str">
        <x:v>回廊水弩手</x:v>
      </x:c>
      <x:c r="G191" s="102" t="str">
        <x:v>浸廊手弩</x:v>
      </x:c>
      <x:c r="H191" s="102" t="str">
        <x:v>武器</x:v>
      </x:c>
      <x:c r="I191" s="147" t="n">
        <x:v>40</x:v>
      </x:c>
      <x:c r="J191" s="102" t="str">
        <x:v>否（材料数量固定）</x:v>
      </x:c>
      <x:c r="K191" s="102" t="str">
        <x:v>仅手动分解；默认不勾选；二次确认</x:v>
      </x:c>
      <x:c r="L191" s="103" t="str">
        <x:v>一怪一专属；专属来源跟随本行准确地图号</x:v>
      </x:c>
    </x:row>
    <x:row r="192">
      <x:c r="A192" s="101" t="str">
        <x:v>C04</x:v>
      </x:c>
      <x:c r="B192" s="102" t="str">
        <x:v>利耶尼亚海域</x:v>
      </x:c>
      <x:c r="C192" s="102" t="str">
        <x:v>沉湖遗迹</x:v>
      </x:c>
      <x:c r="D192" s="102" t="n">
        <x:v>2</x:v>
      </x:c>
      <x:c r="E192" s="102" t="str">
        <x:v>普通</x:v>
      </x:c>
      <x:c r="F192" s="102" t="str">
        <x:v>沉钟侍祭</x:v>
      </x:c>
      <x:c r="G192" s="102" t="str">
        <x:v>沉钟祭袍</x:v>
      </x:c>
      <x:c r="H192" s="102" t="str">
        <x:v>衣服</x:v>
      </x:c>
      <x:c r="I192" s="147" t="n">
        <x:v>40</x:v>
      </x:c>
      <x:c r="J192" s="102" t="str">
        <x:v>否（材料数量固定）</x:v>
      </x:c>
      <x:c r="K192" s="102" t="str">
        <x:v>仅手动分解；默认不勾选；二次确认</x:v>
      </x:c>
      <x:c r="L192" s="103" t="str">
        <x:v>一怪一专属；专属来源跟随本行准确地图号</x:v>
      </x:c>
    </x:row>
    <x:row r="193">
      <x:c r="A193" s="101" t="str">
        <x:v>C04</x:v>
      </x:c>
      <x:c r="B193" s="102" t="str">
        <x:v>利耶尼亚海域</x:v>
      </x:c>
      <x:c r="C193" s="102" t="str">
        <x:v>沉湖遗迹</x:v>
      </x:c>
      <x:c r="D193" s="102" t="n">
        <x:v>3</x:v>
      </x:c>
      <x:c r="E193" s="102" t="str">
        <x:v>普通</x:v>
      </x:c>
      <x:c r="F193" s="102" t="str">
        <x:v>祭坛盲鱼</x:v>
      </x:c>
      <x:c r="G193" s="102" t="str">
        <x:v>盲鱼鳍靴</x:v>
      </x:c>
      <x:c r="H193" s="102" t="str">
        <x:v>鞋子</x:v>
      </x:c>
      <x:c r="I193" s="147" t="n">
        <x:v>40</x:v>
      </x:c>
      <x:c r="J193" s="102" t="str">
        <x:v>否（材料数量固定）</x:v>
      </x:c>
      <x:c r="K193" s="102" t="str">
        <x:v>仅手动分解；默认不勾选；二次确认</x:v>
      </x:c>
      <x:c r="L193" s="103" t="str">
        <x:v>一怪一专属；专属来源跟随本行准确地图号</x:v>
      </x:c>
    </x:row>
    <x:row r="194">
      <x:c r="A194" s="101" t="str">
        <x:v>C04</x:v>
      </x:c>
      <x:c r="B194" s="102" t="str">
        <x:v>利耶尼亚海域</x:v>
      </x:c>
      <x:c r="C194" s="102" t="str">
        <x:v>沉湖遗迹</x:v>
      </x:c>
      <x:c r="D194" s="102" t="n">
        <x:v>3</x:v>
      </x:c>
      <x:c r="E194" s="102" t="str">
        <x:v>普通</x:v>
      </x:c>
      <x:c r="F194" s="102" t="str">
        <x:v>捧盏泥俑</x:v>
      </x:c>
      <x:c r="G194" s="102" t="str">
        <x:v>供盏腕轮</x:v>
      </x:c>
      <x:c r="H194" s="102" t="str">
        <x:v>手镯</x:v>
      </x:c>
      <x:c r="I194" s="147" t="n">
        <x:v>40</x:v>
      </x:c>
      <x:c r="J194" s="102" t="str">
        <x:v>否（材料数量固定）</x:v>
      </x:c>
      <x:c r="K194" s="102" t="str">
        <x:v>仅手动分解；默认不勾选；二次确认</x:v>
      </x:c>
      <x:c r="L194" s="103" t="str">
        <x:v>一怪一专属；专属来源跟随本行准确地图号</x:v>
      </x:c>
    </x:row>
    <x:row r="195">
      <x:c r="A195" s="101" t="str">
        <x:v>C04</x:v>
      </x:c>
      <x:c r="B195" s="102" t="str">
        <x:v>利耶尼亚海域</x:v>
      </x:c>
      <x:c r="C195" s="102" t="str">
        <x:v>沉湖遗迹</x:v>
      </x:c>
      <x:c r="D195" s="102" t="n">
        <x:v>1</x:v>
      </x:c>
      <x:c r="E195" s="102" t="str">
        <x:v>稀有</x:v>
      </x:c>
      <x:c r="F195" s="102" t="str">
        <x:v>碑林巡潮官</x:v>
      </x:c>
      <x:c r="G195" s="102" t="str">
        <x:v>巡潮重盾</x:v>
      </x:c>
      <x:c r="H195" s="102" t="str">
        <x:v>盾牌</x:v>
      </x:c>
      <x:c r="I195" s="147" t="n">
        <x:v>80</x:v>
      </x:c>
      <x:c r="J195" s="102" t="str">
        <x:v>否（材料数量固定）</x:v>
      </x:c>
      <x:c r="K195" s="102" t="str">
        <x:v>仅手动分解；默认不勾选；二次确认</x:v>
      </x:c>
      <x:c r="L195" s="103" t="str">
        <x:v>一怪一专属；专属来源跟随本行准确地图号</x:v>
      </x:c>
    </x:row>
    <x:row r="196">
      <x:c r="A196" s="101" t="str">
        <x:v>C04</x:v>
      </x:c>
      <x:c r="B196" s="102" t="str">
        <x:v>利耶尼亚海域</x:v>
      </x:c>
      <x:c r="C196" s="102" t="str">
        <x:v>沉湖遗迹</x:v>
      </x:c>
      <x:c r="D196" s="102" t="n">
        <x:v>2</x:v>
      </x:c>
      <x:c r="E196" s="102" t="str">
        <x:v>稀有</x:v>
      </x:c>
      <x:c r="F196" s="102" t="str">
        <x:v>断链湖狮</x:v>
      </x:c>
      <x:c r="G196" s="102" t="str">
        <x:v>湖狮断链坠</x:v>
      </x:c>
      <x:c r="H196" s="102" t="str">
        <x:v>项链</x:v>
      </x:c>
      <x:c r="I196" s="147" t="n">
        <x:v>80</x:v>
      </x:c>
      <x:c r="J196" s="102" t="str">
        <x:v>否（材料数量固定）</x:v>
      </x:c>
      <x:c r="K196" s="102" t="str">
        <x:v>仅手动分解；默认不勾选；二次确认</x:v>
      </x:c>
      <x:c r="L196" s="103" t="str">
        <x:v>一怪一专属；专属来源跟随本行准确地图号</x:v>
      </x:c>
    </x:row>
    <x:row r="197">
      <x:c r="A197" s="101" t="str">
        <x:v>C04</x:v>
      </x:c>
      <x:c r="B197" s="102" t="str">
        <x:v>利耶尼亚海域</x:v>
      </x:c>
      <x:c r="C197" s="102" t="str">
        <x:v>沉湖遗迹</x:v>
      </x:c>
      <x:c r="D197" s="102" t="n">
        <x:v>3</x:v>
      </x:c>
      <x:c r="E197" s="102" t="str">
        <x:v>稀有</x:v>
      </x:c>
      <x:c r="F197" s="102" t="str">
        <x:v>蓝焰祷亡者</x:v>
      </x:c>
      <x:c r="G197" s="102" t="str">
        <x:v>蓝焰祷戒</x:v>
      </x:c>
      <x:c r="H197" s="102" t="str">
        <x:v>戒指</x:v>
      </x:c>
      <x:c r="I197" s="147" t="n">
        <x:v>80</x:v>
      </x:c>
      <x:c r="J197" s="102" t="str">
        <x:v>否（材料数量固定）</x:v>
      </x:c>
      <x:c r="K197" s="102" t="str">
        <x:v>仅手动分解；默认不勾选；二次确认</x:v>
      </x:c>
      <x:c r="L197" s="103" t="str">
        <x:v>一怪一专属；专属来源跟随本行准确地图号</x:v>
      </x:c>
    </x:row>
    <x:row r="198">
      <x:c r="A198" s="101" t="str">
        <x:v>C04</x:v>
      </x:c>
      <x:c r="B198" s="102" t="str">
        <x:v>利耶尼亚海域</x:v>
      </x:c>
      <x:c r="C198" s="102" t="str">
        <x:v>沉湖遗迹</x:v>
      </x:c>
      <x:c r="D198" s="102" t="n">
        <x:v>3</x:v>
      </x:c>
      <x:c r="E198" s="102" t="str">
        <x:v>稀有</x:v>
      </x:c>
      <x:c r="F198" s="102" t="str">
        <x:v>祭池双生螯</x:v>
      </x:c>
      <x:c r="G198" s="102" t="str">
        <x:v>双螯束带</x:v>
      </x:c>
      <x:c r="H198" s="102" t="str">
        <x:v>腰带</x:v>
      </x:c>
      <x:c r="I198" s="147" t="n">
        <x:v>80</x:v>
      </x:c>
      <x:c r="J198" s="102" t="str">
        <x:v>否（材料数量固定）</x:v>
      </x:c>
      <x:c r="K198" s="102" t="str">
        <x:v>仅手动分解；默认不勾选；二次确认</x:v>
      </x:c>
      <x:c r="L198" s="103" t="str">
        <x:v>一怪一专属；专属来源跟随本行准确地图号</x:v>
      </x:c>
    </x:row>
    <x:row r="199">
      <x:c r="A199" s="101" t="str">
        <x:v>C04</x:v>
      </x:c>
      <x:c r="B199" s="102" t="str">
        <x:v>利耶尼亚海域</x:v>
      </x:c>
      <x:c r="C199" s="102" t="str">
        <x:v>沉湖遗迹</x:v>
      </x:c>
      <x:c r="D199" s="102" t="n">
        <x:v>2</x:v>
      </x:c>
      <x:c r="E199" s="102" t="str">
        <x:v>地图BOSS</x:v>
      </x:c>
      <x:c r="F199" s="102" t="str">
        <x:v>淹廊判官·摩汶</x:v>
      </x:c>
      <x:c r="G199" s="102" t="str">
        <x:v>摩汶的沉水铡</x:v>
      </x:c>
      <x:c r="H199" s="102" t="str">
        <x:v>武器</x:v>
      </x:c>
      <x:c r="I199" s="147" t="n">
        <x:v>160</x:v>
      </x:c>
      <x:c r="J199" s="102" t="str">
        <x:v>否（材料数量固定）</x:v>
      </x:c>
      <x:c r="K199" s="102" t="str">
        <x:v>仅手动分解；默认不勾选；二次确认</x:v>
      </x:c>
      <x:c r="L199" s="103" t="str">
        <x:v>一怪一专属；专属来源跟随本行准确地图号</x:v>
      </x:c>
    </x:row>
    <x:row r="200">
      <x:c r="A200" s="101" t="str">
        <x:v>C04</x:v>
      </x:c>
      <x:c r="B200" s="102" t="str">
        <x:v>利耶尼亚海域</x:v>
      </x:c>
      <x:c r="C200" s="102" t="str">
        <x:v>沉湖遗迹</x:v>
      </x:c>
      <x:c r="D200" s="102" t="n">
        <x:v>3</x:v>
      </x:c>
      <x:c r="E200" s="102" t="str">
        <x:v>地图BOSS</x:v>
      </x:c>
      <x:c r="F200" s="102" t="str">
        <x:v>无声湖后·塞芙拉</x:v>
      </x:c>
      <x:c r="G200" s="102" t="str">
        <x:v>塞芙拉无声衣</x:v>
      </x:c>
      <x:c r="H200" s="102" t="str">
        <x:v>衣服</x:v>
      </x:c>
      <x:c r="I200" s="147" t="n">
        <x:v>160</x:v>
      </x:c>
      <x:c r="J200" s="102" t="str">
        <x:v>否（材料数量固定）</x:v>
      </x:c>
      <x:c r="K200" s="102" t="str">
        <x:v>仅手动分解；默认不勾选；二次确认</x:v>
      </x:c>
      <x:c r="L200" s="103" t="str">
        <x:v>一怪一专属；专属来源跟随本行准确地图号</x:v>
      </x:c>
    </x:row>
    <x:row r="201">
      <x:c r="A201" s="101" t="str">
        <x:v>C04</x:v>
      </x:c>
      <x:c r="B201" s="102" t="str">
        <x:v>利耶尼亚海域</x:v>
      </x:c>
      <x:c r="C201" s="102" t="str">
        <x:v>湖心沉船</x:v>
      </x:c>
      <x:c r="D201" s="102" t="n">
        <x:v>1</x:v>
      </x:c>
      <x:c r="E201" s="102" t="str">
        <x:v>普通</x:v>
      </x:c>
      <x:c r="F201" s="102" t="str">
        <x:v>破帆水手</x:v>
      </x:c>
      <x:c r="G201" s="102" t="str">
        <x:v>破帆腰带</x:v>
      </x:c>
      <x:c r="H201" s="102" t="str">
        <x:v>腰带</x:v>
      </x:c>
      <x:c r="I201" s="147" t="n">
        <x:v>40</x:v>
      </x:c>
      <x:c r="J201" s="102" t="str">
        <x:v>否（材料数量固定）</x:v>
      </x:c>
      <x:c r="K201" s="102" t="str">
        <x:v>仅手动分解；默认不勾选；二次确认</x:v>
      </x:c>
      <x:c r="L201" s="103" t="str">
        <x:v>一怪一专属；专属来源跟随本行准确地图号</x:v>
      </x:c>
    </x:row>
    <x:row r="202">
      <x:c r="A202" s="101" t="str">
        <x:v>C04</x:v>
      </x:c>
      <x:c r="B202" s="102" t="str">
        <x:v>利耶尼亚海域</x:v>
      </x:c>
      <x:c r="C202" s="102" t="str">
        <x:v>湖心沉船</x:v>
      </x:c>
      <x:c r="D202" s="102" t="n">
        <x:v>1</x:v>
      </x:c>
      <x:c r="E202" s="102" t="str">
        <x:v>普通</x:v>
      </x:c>
      <x:c r="F202" s="102" t="str">
        <x:v>缠藻桅猴</x:v>
      </x:c>
      <x:c r="G202" s="102" t="str">
        <x:v>桅猴跳靴</x:v>
      </x:c>
      <x:c r="H202" s="102" t="str">
        <x:v>鞋子</x:v>
      </x:c>
      <x:c r="I202" s="147" t="n">
        <x:v>40</x:v>
      </x:c>
      <x:c r="J202" s="102" t="str">
        <x:v>否（材料数量固定）</x:v>
      </x:c>
      <x:c r="K202" s="102" t="str">
        <x:v>仅手动分解；默认不勾选；二次确认</x:v>
      </x:c>
      <x:c r="L202" s="103" t="str">
        <x:v>一怪一专属；专属来源跟随本行准确地图号</x:v>
      </x:c>
    </x:row>
    <x:row r="203">
      <x:c r="A203" s="101" t="str">
        <x:v>C04</x:v>
      </x:c>
      <x:c r="B203" s="102" t="str">
        <x:v>利耶尼亚海域</x:v>
      </x:c>
      <x:c r="C203" s="102" t="str">
        <x:v>湖心沉船</x:v>
      </x:c>
      <x:c r="D203" s="102" t="n">
        <x:v>2</x:v>
      </x:c>
      <x:c r="E203" s="102" t="str">
        <x:v>普通</x:v>
      </x:c>
      <x:c r="F203" s="102" t="str">
        <x:v>舱门凿击者</x:v>
      </x:c>
      <x:c r="G203" s="102" t="str">
        <x:v>凿舱铁锤</x:v>
      </x:c>
      <x:c r="H203" s="102" t="str">
        <x:v>武器</x:v>
      </x:c>
      <x:c r="I203" s="147" t="n">
        <x:v>40</x:v>
      </x:c>
      <x:c r="J203" s="102" t="str">
        <x:v>否（材料数量固定）</x:v>
      </x:c>
      <x:c r="K203" s="102" t="str">
        <x:v>仅手动分解；默认不勾选；二次确认</x:v>
      </x:c>
      <x:c r="L203" s="103" t="str">
        <x:v>一怪一专属；专属来源跟随本行准确地图号</x:v>
      </x:c>
    </x:row>
    <x:row r="204">
      <x:c r="A204" s="101" t="str">
        <x:v>C04</x:v>
      </x:c>
      <x:c r="B204" s="102" t="str">
        <x:v>利耶尼亚海域</x:v>
      </x:c>
      <x:c r="C204" s="102" t="str">
        <x:v>湖心沉船</x:v>
      </x:c>
      <x:c r="D204" s="102" t="n">
        <x:v>2</x:v>
      </x:c>
      <x:c r="E204" s="102" t="str">
        <x:v>普通</x:v>
      </x:c>
      <x:c r="F204" s="102" t="str">
        <x:v>油灯怨影</x:v>
      </x:c>
      <x:c r="G204" s="102" t="str">
        <x:v>怨灯项链</x:v>
      </x:c>
      <x:c r="H204" s="102" t="str">
        <x:v>项链</x:v>
      </x:c>
      <x:c r="I204" s="147" t="n">
        <x:v>40</x:v>
      </x:c>
      <x:c r="J204" s="102" t="str">
        <x:v>否（材料数量固定）</x:v>
      </x:c>
      <x:c r="K204" s="102" t="str">
        <x:v>仅手动分解；默认不勾选；二次确认</x:v>
      </x:c>
      <x:c r="L204" s="103" t="str">
        <x:v>一怪一专属；专属来源跟随本行准确地图号</x:v>
      </x:c>
    </x:row>
    <x:row r="205">
      <x:c r="A205" s="101" t="str">
        <x:v>C04</x:v>
      </x:c>
      <x:c r="B205" s="102" t="str">
        <x:v>利耶尼亚海域</x:v>
      </x:c>
      <x:c r="C205" s="102" t="str">
        <x:v>湖心沉船</x:v>
      </x:c>
      <x:c r="D205" s="102" t="n">
        <x:v>3</x:v>
      </x:c>
      <x:c r="E205" s="102" t="str">
        <x:v>普通</x:v>
      </x:c>
      <x:c r="F205" s="102" t="str">
        <x:v>墓舱寄居蟹</x:v>
      </x:c>
      <x:c r="G205" s="102" t="str">
        <x:v>墓舱壳盾</x:v>
      </x:c>
      <x:c r="H205" s="102" t="str">
        <x:v>盾牌</x:v>
      </x:c>
      <x:c r="I205" s="147" t="n">
        <x:v>40</x:v>
      </x:c>
      <x:c r="J205" s="102" t="str">
        <x:v>否（材料数量固定）</x:v>
      </x:c>
      <x:c r="K205" s="102" t="str">
        <x:v>仅手动分解；默认不勾选；二次确认</x:v>
      </x:c>
      <x:c r="L205" s="103" t="str">
        <x:v>一怪一专属；专属来源跟随本行准确地图号</x:v>
      </x:c>
    </x:row>
    <x:row r="206">
      <x:c r="A206" s="101" t="str">
        <x:v>C04</x:v>
      </x:c>
      <x:c r="B206" s="102" t="str">
        <x:v>利耶尼亚海域</x:v>
      </x:c>
      <x:c r="C206" s="102" t="str">
        <x:v>湖心沉船</x:v>
      </x:c>
      <x:c r="D206" s="102" t="n">
        <x:v>3</x:v>
      </x:c>
      <x:c r="E206" s="102" t="str">
        <x:v>普通</x:v>
      </x:c>
      <x:c r="F206" s="102" t="str">
        <x:v>裹布船尸</x:v>
      </x:c>
      <x:c r="G206" s="102" t="str">
        <x:v>盐裹尸衣</x:v>
      </x:c>
      <x:c r="H206" s="102" t="str">
        <x:v>衣服</x:v>
      </x:c>
      <x:c r="I206" s="147" t="n">
        <x:v>40</x:v>
      </x:c>
      <x:c r="J206" s="102" t="str">
        <x:v>否（材料数量固定）</x:v>
      </x:c>
      <x:c r="K206" s="102" t="str">
        <x:v>仅手动分解；默认不勾选；二次确认</x:v>
      </x:c>
      <x:c r="L206" s="103" t="str">
        <x:v>一怪一专属；专属来源跟随本行准确地图号</x:v>
      </x:c>
    </x:row>
    <x:row r="207">
      <x:c r="A207" s="101" t="str">
        <x:v>C04</x:v>
      </x:c>
      <x:c r="B207" s="102" t="str">
        <x:v>利耶尼亚海域</x:v>
      </x:c>
      <x:c r="C207" s="102" t="str">
        <x:v>湖心沉船</x:v>
      </x:c>
      <x:c r="D207" s="102" t="n">
        <x:v>1</x:v>
      </x:c>
      <x:c r="E207" s="102" t="str">
        <x:v>稀有</x:v>
      </x:c>
      <x:c r="F207" s="102" t="str">
        <x:v>白鳍劫舟客</x:v>
      </x:c>
      <x:c r="G207" s="102" t="str">
        <x:v>白鳍浪客笠</x:v>
      </x:c>
      <x:c r="H207" s="102" t="str">
        <x:v>斗笠</x:v>
      </x:c>
      <x:c r="I207" s="147" t="n">
        <x:v>80</x:v>
      </x:c>
      <x:c r="J207" s="102" t="str">
        <x:v>否（材料数量固定）</x:v>
      </x:c>
      <x:c r="K207" s="102" t="str">
        <x:v>仅手动分解；默认不勾选；二次确认</x:v>
      </x:c>
      <x:c r="L207" s="103" t="str">
        <x:v>一怪一专属；专属来源跟随本行准确地图号</x:v>
      </x:c>
    </x:row>
    <x:row r="208">
      <x:c r="A208" s="101" t="str">
        <x:v>C04</x:v>
      </x:c>
      <x:c r="B208" s="102" t="str">
        <x:v>利耶尼亚海域</x:v>
      </x:c>
      <x:c r="C208" s="102" t="str">
        <x:v>湖心沉船</x:v>
      </x:c>
      <x:c r="D208" s="102" t="n">
        <x:v>2</x:v>
      </x:c>
      <x:c r="E208" s="102" t="str">
        <x:v>稀有</x:v>
      </x:c>
      <x:c r="F208" s="102" t="str">
        <x:v>抱舵老幽魂</x:v>
      </x:c>
      <x:c r="G208" s="102" t="str">
        <x:v>老舵手镯</x:v>
      </x:c>
      <x:c r="H208" s="102" t="str">
        <x:v>手镯</x:v>
      </x:c>
      <x:c r="I208" s="147" t="n">
        <x:v>80</x:v>
      </x:c>
      <x:c r="J208" s="102" t="str">
        <x:v>否（材料数量固定）</x:v>
      </x:c>
      <x:c r="K208" s="102" t="str">
        <x:v>仅手动分解；默认不勾选；二次确认</x:v>
      </x:c>
      <x:c r="L208" s="103" t="str">
        <x:v>一怪一专属；专属来源跟随本行准确地图号</x:v>
      </x:c>
    </x:row>
    <x:row r="209">
      <x:c r="A209" s="101" t="str">
        <x:v>C04</x:v>
      </x:c>
      <x:c r="B209" s="102" t="str">
        <x:v>利耶尼亚海域</x:v>
      </x:c>
      <x:c r="C209" s="102" t="str">
        <x:v>湖心沉船</x:v>
      </x:c>
      <x:c r="D209" s="102" t="n">
        <x:v>3</x:v>
      </x:c>
      <x:c r="E209" s="102" t="str">
        <x:v>稀有</x:v>
      </x:c>
      <x:c r="F209" s="102" t="str">
        <x:v>棺板伏行者</x:v>
      </x:c>
      <x:c r="G209" s="102" t="str">
        <x:v>棺钉指环</x:v>
      </x:c>
      <x:c r="H209" s="102" t="str">
        <x:v>戒指</x:v>
      </x:c>
      <x:c r="I209" s="147" t="n">
        <x:v>80</x:v>
      </x:c>
      <x:c r="J209" s="102" t="str">
        <x:v>否（材料数量固定）</x:v>
      </x:c>
      <x:c r="K209" s="102" t="str">
        <x:v>仅手动分解；默认不勾选；二次确认</x:v>
      </x:c>
      <x:c r="L209" s="103" t="str">
        <x:v>一怪一专属；专属来源跟随本行准确地图号</x:v>
      </x:c>
    </x:row>
    <x:row r="210">
      <x:c r="A210" s="101" t="str">
        <x:v>C04</x:v>
      </x:c>
      <x:c r="B210" s="102" t="str">
        <x:v>利耶尼亚海域</x:v>
      </x:c>
      <x:c r="C210" s="102" t="str">
        <x:v>湖心沉船</x:v>
      </x:c>
      <x:c r="D210" s="102" t="n">
        <x:v>3</x:v>
      </x:c>
      <x:c r="E210" s="102" t="str">
        <x:v>稀有</x:v>
      </x:c>
      <x:c r="F210" s="102" t="str">
        <x:v>啃锚深渊鱼</x:v>
      </x:c>
      <x:c r="G210" s="102" t="str">
        <x:v>锚齿鱼盔</x:v>
      </x:c>
      <x:c r="H210" s="102" t="str">
        <x:v>头盔</x:v>
      </x:c>
      <x:c r="I210" s="147" t="n">
        <x:v>80</x:v>
      </x:c>
      <x:c r="J210" s="102" t="str">
        <x:v>否（材料数量固定）</x:v>
      </x:c>
      <x:c r="K210" s="102" t="str">
        <x:v>仅手动分解；默认不勾选；二次确认</x:v>
      </x:c>
      <x:c r="L210" s="103" t="str">
        <x:v>一怪一专属；专属来源跟随本行准确地图号</x:v>
      </x:c>
    </x:row>
    <x:row r="211">
      <x:c r="A211" s="101" t="str">
        <x:v>C04</x:v>
      </x:c>
      <x:c r="B211" s="102" t="str">
        <x:v>利耶尼亚海域</x:v>
      </x:c>
      <x:c r="C211" s="102" t="str">
        <x:v>湖心沉船</x:v>
      </x:c>
      <x:c r="D211" s="102" t="n">
        <x:v>2</x:v>
      </x:c>
      <x:c r="E211" s="102" t="str">
        <x:v>地图BOSS</x:v>
      </x:c>
      <x:c r="F211" s="102" t="str">
        <x:v>锁舱船长·奥杜</x:v>
      </x:c>
      <x:c r="G211" s="102" t="str">
        <x:v>奥杜的锁舱刀</x:v>
      </x:c>
      <x:c r="H211" s="102" t="str">
        <x:v>武器</x:v>
      </x:c>
      <x:c r="I211" s="147" t="n">
        <x:v>160</x:v>
      </x:c>
      <x:c r="J211" s="102" t="str">
        <x:v>否（材料数量固定）</x:v>
      </x:c>
      <x:c r="K211" s="102" t="str">
        <x:v>仅手动分解；默认不勾选；二次确认</x:v>
      </x:c>
      <x:c r="L211" s="103" t="str">
        <x:v>一怪一专属；专属来源跟随本行准确地图号</x:v>
      </x:c>
    </x:row>
    <x:row r="212">
      <x:c r="A212" s="101" t="str">
        <x:v>C04</x:v>
      </x:c>
      <x:c r="B212" s="102" t="str">
        <x:v>利耶尼亚海域</x:v>
      </x:c>
      <x:c r="C212" s="102" t="str">
        <x:v>湖心沉船</x:v>
      </x:c>
      <x:c r="D212" s="102" t="n">
        <x:v>3</x:v>
      </x:c>
      <x:c r="E212" s="102" t="str">
        <x:v>地图BOSS</x:v>
      </x:c>
      <x:c r="F212" s="102" t="str">
        <x:v>亡舟新娘·伊蕾莎</x:v>
      </x:c>
      <x:c r="G212" s="102" t="str">
        <x:v>伊蕾莎潮婚衣</x:v>
      </x:c>
      <x:c r="H212" s="102" t="str">
        <x:v>衣服</x:v>
      </x:c>
      <x:c r="I212" s="147" t="n">
        <x:v>160</x:v>
      </x:c>
      <x:c r="J212" s="102" t="str">
        <x:v>否（材料数量固定）</x:v>
      </x:c>
      <x:c r="K212" s="102" t="str">
        <x:v>仅手动分解；默认不勾选；二次确认</x:v>
      </x:c>
      <x:c r="L212" s="103" t="str">
        <x:v>一怪一专属；专属来源跟随本行准确地图号</x:v>
      </x:c>
    </x:row>
    <x:row r="213">
      <x:c r="A213" s="101" t="str">
        <x:v>C04</x:v>
      </x:c>
      <x:c r="B213" s="102" t="str">
        <x:v>利耶尼亚海域</x:v>
      </x:c>
      <x:c r="C213" s="102" t="str">
        <x:v>幽灵船骸</x:v>
      </x:c>
      <x:c r="D213" s="102" t="n">
        <x:v>1</x:v>
      </x:c>
      <x:c r="E213" s="102" t="str">
        <x:v>普通</x:v>
      </x:c>
      <x:c r="F213" s="102" t="str">
        <x:v>磷火甲板兵</x:v>
      </x:c>
      <x:c r="G213" s="102" t="str">
        <x:v>磷火腕铠</x:v>
      </x:c>
      <x:c r="H213" s="102" t="str">
        <x:v>手镯</x:v>
      </x:c>
      <x:c r="I213" s="147" t="n">
        <x:v>40</x:v>
      </x:c>
      <x:c r="J213" s="102" t="str">
        <x:v>否（材料数量固定）</x:v>
      </x:c>
      <x:c r="K213" s="102" t="str">
        <x:v>仅手动分解；默认不勾选；二次确认</x:v>
      </x:c>
      <x:c r="L213" s="103" t="str">
        <x:v>一怪一专属；专属来源跟随本行准确地图号</x:v>
      </x:c>
    </x:row>
    <x:row r="214">
      <x:c r="A214" s="101" t="str">
        <x:v>C04</x:v>
      </x:c>
      <x:c r="B214" s="102" t="str">
        <x:v>利耶尼亚海域</x:v>
      </x:c>
      <x:c r="C214" s="102" t="str">
        <x:v>幽灵船骸</x:v>
      </x:c>
      <x:c r="D214" s="102" t="n">
        <x:v>1</x:v>
      </x:c>
      <x:c r="E214" s="102" t="str">
        <x:v>普通</x:v>
      </x:c>
      <x:c r="F214" s="102" t="str">
        <x:v>船骸骨鸥</x:v>
      </x:c>
      <x:c r="G214" s="102" t="str">
        <x:v>骨鸥喙盔</x:v>
      </x:c>
      <x:c r="H214" s="102" t="str">
        <x:v>头盔</x:v>
      </x:c>
      <x:c r="I214" s="147" t="n">
        <x:v>40</x:v>
      </x:c>
      <x:c r="J214" s="102" t="str">
        <x:v>否（材料数量固定）</x:v>
      </x:c>
      <x:c r="K214" s="102" t="str">
        <x:v>仅手动分解；默认不勾选；二次确认</x:v>
      </x:c>
      <x:c r="L214" s="103" t="str">
        <x:v>一怪一专属；专属来源跟随本行准确地图号</x:v>
      </x:c>
    </x:row>
    <x:row r="215">
      <x:c r="A215" s="101" t="str">
        <x:v>C04</x:v>
      </x:c>
      <x:c r="B215" s="102" t="str">
        <x:v>利耶尼亚海域</x:v>
      </x:c>
      <x:c r="C215" s="102" t="str">
        <x:v>幽灵船骸</x:v>
      </x:c>
      <x:c r="D215" s="102" t="n">
        <x:v>2</x:v>
      </x:c>
      <x:c r="E215" s="102" t="str">
        <x:v>普通</x:v>
      </x:c>
      <x:c r="F215" s="102" t="str">
        <x:v>漏舱舀水鬼</x:v>
      </x:c>
      <x:c r="G215" s="102" t="str">
        <x:v>舀魂铜瓢</x:v>
      </x:c>
      <x:c r="H215" s="102" t="str">
        <x:v>武器</x:v>
      </x:c>
      <x:c r="I215" s="147" t="n">
        <x:v>40</x:v>
      </x:c>
      <x:c r="J215" s="102" t="str">
        <x:v>否（材料数量固定）</x:v>
      </x:c>
      <x:c r="K215" s="102" t="str">
        <x:v>仅手动分解；默认不勾选；二次确认</x:v>
      </x:c>
      <x:c r="L215" s="103" t="str">
        <x:v>一怪一专属；专属来源跟随本行准确地图号</x:v>
      </x:c>
    </x:row>
    <x:row r="216">
      <x:c r="A216" s="101" t="str">
        <x:v>C04</x:v>
      </x:c>
      <x:c r="B216" s="102" t="str">
        <x:v>利耶尼亚海域</x:v>
      </x:c>
      <x:c r="C216" s="102" t="str">
        <x:v>幽灵船骸</x:v>
      </x:c>
      <x:c r="D216" s="102" t="n">
        <x:v>2</x:v>
      </x:c>
      <x:c r="E216" s="102" t="str">
        <x:v>普通</x:v>
      </x:c>
      <x:c r="F216" s="102" t="str">
        <x:v>铜铃引魂童</x:v>
      </x:c>
      <x:c r="G216" s="102" t="str">
        <x:v>引魂铜铃链</x:v>
      </x:c>
      <x:c r="H216" s="102" t="str">
        <x:v>项链</x:v>
      </x:c>
      <x:c r="I216" s="147" t="n">
        <x:v>40</x:v>
      </x:c>
      <x:c r="J216" s="102" t="str">
        <x:v>否（材料数量固定）</x:v>
      </x:c>
      <x:c r="K216" s="102" t="str">
        <x:v>仅手动分解；默认不勾选；二次确认</x:v>
      </x:c>
      <x:c r="L216" s="103" t="str">
        <x:v>一怪一专属；专属来源跟随本行准确地图号</x:v>
      </x:c>
    </x:row>
    <x:row r="217">
      <x:c r="A217" s="101" t="str">
        <x:v>C04</x:v>
      </x:c>
      <x:c r="B217" s="102" t="str">
        <x:v>利耶尼亚海域</x:v>
      </x:c>
      <x:c r="C217" s="102" t="str">
        <x:v>幽灵船骸</x:v>
      </x:c>
      <x:c r="D217" s="102" t="n">
        <x:v>3</x:v>
      </x:c>
      <x:c r="E217" s="102" t="str">
        <x:v>普通</x:v>
      </x:c>
      <x:c r="F217" s="102" t="str">
        <x:v>密舱蜡尸</x:v>
      </x:c>
      <x:c r="G217" s="102" t="str">
        <x:v>蜡封尸衣</x:v>
      </x:c>
      <x:c r="H217" s="102" t="str">
        <x:v>衣服</x:v>
      </x:c>
      <x:c r="I217" s="147" t="n">
        <x:v>40</x:v>
      </x:c>
      <x:c r="J217" s="102" t="str">
        <x:v>否（材料数量固定）</x:v>
      </x:c>
      <x:c r="K217" s="102" t="str">
        <x:v>仅手动分解；默认不勾选；二次确认</x:v>
      </x:c>
      <x:c r="L217" s="103" t="str">
        <x:v>一怪一专属；专属来源跟随本行准确地图号</x:v>
      </x:c>
    </x:row>
    <x:row r="218">
      <x:c r="A218" s="101" t="str">
        <x:v>C04</x:v>
      </x:c>
      <x:c r="B218" s="102" t="str">
        <x:v>利耶尼亚海域</x:v>
      </x:c>
      <x:c r="C218" s="102" t="str">
        <x:v>幽灵船骸</x:v>
      </x:c>
      <x:c r="D218" s="102" t="n">
        <x:v>3</x:v>
      </x:c>
      <x:c r="E218" s="102" t="str">
        <x:v>普通</x:v>
      </x:c>
      <x:c r="F218" s="102" t="str">
        <x:v>食梦船蛾</x:v>
      </x:c>
      <x:c r="G218" s="102" t="str">
        <x:v>梦蛾踏水靴</x:v>
      </x:c>
      <x:c r="H218" s="102" t="str">
        <x:v>鞋子</x:v>
      </x:c>
      <x:c r="I218" s="147" t="n">
        <x:v>40</x:v>
      </x:c>
      <x:c r="J218" s="102" t="str">
        <x:v>否（材料数量固定）</x:v>
      </x:c>
      <x:c r="K218" s="102" t="str">
        <x:v>仅手动分解；默认不勾选；二次确认</x:v>
      </x:c>
      <x:c r="L218" s="103" t="str">
        <x:v>一怪一专属；专属来源跟随本行准确地图号</x:v>
      </x:c>
    </x:row>
    <x:row r="219">
      <x:c r="A219" s="101" t="str">
        <x:v>C04</x:v>
      </x:c>
      <x:c r="B219" s="102" t="str">
        <x:v>利耶尼亚海域</x:v>
      </x:c>
      <x:c r="C219" s="102" t="str">
        <x:v>幽灵船骸</x:v>
      </x:c>
      <x:c r="D219" s="102" t="n">
        <x:v>1</x:v>
      </x:c>
      <x:c r="E219" s="102" t="str">
        <x:v>稀有</x:v>
      </x:c>
      <x:c r="F219" s="102" t="str">
        <x:v>倒吊瞭望手</x:v>
      </x:c>
      <x:c r="G219" s="102" t="str">
        <x:v>倒桅瞭望笠</x:v>
      </x:c>
      <x:c r="H219" s="102" t="str">
        <x:v>斗笠</x:v>
      </x:c>
      <x:c r="I219" s="147" t="n">
        <x:v>80</x:v>
      </x:c>
      <x:c r="J219" s="102" t="str">
        <x:v>否（材料数量固定）</x:v>
      </x:c>
      <x:c r="K219" s="102" t="str">
        <x:v>仅手动分解；默认不勾选；二次确认</x:v>
      </x:c>
      <x:c r="L219" s="103" t="str">
        <x:v>一怪一专属；专属来源跟随本行准确地图号</x:v>
      </x:c>
    </x:row>
    <x:row r="220">
      <x:c r="A220" s="101" t="str">
        <x:v>C04</x:v>
      </x:c>
      <x:c r="B220" s="102" t="str">
        <x:v>利耶尼亚海域</x:v>
      </x:c>
      <x:c r="C220" s="102" t="str">
        <x:v>幽灵船骸</x:v>
      </x:c>
      <x:c r="D220" s="102" t="n">
        <x:v>2</x:v>
      </x:c>
      <x:c r="E220" s="102" t="str">
        <x:v>稀有</x:v>
      </x:c>
      <x:c r="F220" s="102" t="str">
        <x:v>无面桨官</x:v>
      </x:c>
      <x:c r="G220" s="102" t="str">
        <x:v>桨官铁盾</x:v>
      </x:c>
      <x:c r="H220" s="102" t="str">
        <x:v>盾牌</x:v>
      </x:c>
      <x:c r="I220" s="147" t="n">
        <x:v>80</x:v>
      </x:c>
      <x:c r="J220" s="102" t="str">
        <x:v>否（材料数量固定）</x:v>
      </x:c>
      <x:c r="K220" s="102" t="str">
        <x:v>仅手动分解；默认不勾选；二次确认</x:v>
      </x:c>
      <x:c r="L220" s="103" t="str">
        <x:v>一怪一专属；专属来源跟随本行准确地图号</x:v>
      </x:c>
    </x:row>
    <x:row r="221">
      <x:c r="A221" s="101" t="str">
        <x:v>C04</x:v>
      </x:c>
      <x:c r="B221" s="102" t="str">
        <x:v>利耶尼亚海域</x:v>
      </x:c>
      <x:c r="C221" s="102" t="str">
        <x:v>幽灵船骸</x:v>
      </x:c>
      <x:c r="D221" s="102" t="n">
        <x:v>3</x:v>
      </x:c>
      <x:c r="E221" s="102" t="str">
        <x:v>稀有</x:v>
      </x:c>
      <x:c r="F221" s="102" t="str">
        <x:v>舱壁缝合怪</x:v>
      </x:c>
      <x:c r="G221" s="102" t="str">
        <x:v>缝舱腰箍</x:v>
      </x:c>
      <x:c r="H221" s="102" t="str">
        <x:v>腰带</x:v>
      </x:c>
      <x:c r="I221" s="147" t="n">
        <x:v>80</x:v>
      </x:c>
      <x:c r="J221" s="102" t="str">
        <x:v>否（材料数量固定）</x:v>
      </x:c>
      <x:c r="K221" s="102" t="str">
        <x:v>仅手动分解；默认不勾选；二次确认</x:v>
      </x:c>
      <x:c r="L221" s="103" t="str">
        <x:v>一怪一专属；专属来源跟随本行准确地图号</x:v>
      </x:c>
    </x:row>
    <x:row r="222">
      <x:c r="A222" s="101" t="str">
        <x:v>C04</x:v>
      </x:c>
      <x:c r="B222" s="102" t="str">
        <x:v>利耶尼亚海域</x:v>
      </x:c>
      <x:c r="C222" s="102" t="str">
        <x:v>幽灵船骸</x:v>
      </x:c>
      <x:c r="D222" s="102" t="n">
        <x:v>3</x:v>
      </x:c>
      <x:c r="E222" s="102" t="str">
        <x:v>稀有</x:v>
      </x:c>
      <x:c r="F222" s="102" t="str">
        <x:v>黑帆招魂师</x:v>
      </x:c>
      <x:c r="G222" s="102" t="str">
        <x:v>黑帆魂戒</x:v>
      </x:c>
      <x:c r="H222" s="102" t="str">
        <x:v>戒指</x:v>
      </x:c>
      <x:c r="I222" s="147" t="n">
        <x:v>80</x:v>
      </x:c>
      <x:c r="J222" s="102" t="str">
        <x:v>否（材料数量固定）</x:v>
      </x:c>
      <x:c r="K222" s="102" t="str">
        <x:v>仅手动分解；默认不勾选；二次确认</x:v>
      </x:c>
      <x:c r="L222" s="103" t="str">
        <x:v>一怪一专属；专属来源跟随本行准确地图号</x:v>
      </x:c>
    </x:row>
    <x:row r="223">
      <x:c r="A223" s="101" t="str">
        <x:v>C04</x:v>
      </x:c>
      <x:c r="B223" s="102" t="str">
        <x:v>利耶尼亚海域</x:v>
      </x:c>
      <x:c r="C223" s="102" t="str">
        <x:v>幽灵船骸</x:v>
      </x:c>
      <x:c r="D223" s="102" t="n">
        <x:v>2</x:v>
      </x:c>
      <x:c r="E223" s="102" t="str">
        <x:v>地图BOSS</x:v>
      </x:c>
      <x:c r="F223" s="102" t="str">
        <x:v>幽舵大副·赫岚</x:v>
      </x:c>
      <x:c r="G223" s="102" t="str">
        <x:v>赫岚的幽舵刃</x:v>
      </x:c>
      <x:c r="H223" s="102" t="str">
        <x:v>武器</x:v>
      </x:c>
      <x:c r="I223" s="147" t="n">
        <x:v>160</x:v>
      </x:c>
      <x:c r="J223" s="102" t="str">
        <x:v>否（材料数量固定）</x:v>
      </x:c>
      <x:c r="K223" s="102" t="str">
        <x:v>仅手动分解；默认不勾选；二次确认</x:v>
      </x:c>
      <x:c r="L223" s="103" t="str">
        <x:v>一怪一专属；专属来源跟随本行准确地图号</x:v>
      </x:c>
    </x:row>
    <x:row r="224">
      <x:c r="A224" s="101" t="str">
        <x:v>C04</x:v>
      </x:c>
      <x:c r="B224" s="102" t="str">
        <x:v>利耶尼亚海域</x:v>
      </x:c>
      <x:c r="C224" s="102" t="str">
        <x:v>幽灵船骸</x:v>
      </x:c>
      <x:c r="D224" s="102" t="n">
        <x:v>3</x:v>
      </x:c>
      <x:c r="E224" s="102" t="str">
        <x:v>地图BOSS</x:v>
      </x:c>
      <x:c r="F224" s="102" t="str">
        <x:v>百舱吞魂者·沃姆</x:v>
      </x:c>
      <x:c r="G224" s="102" t="str">
        <x:v>沃姆吞魂舱甲</x:v>
      </x:c>
      <x:c r="H224" s="102" t="str">
        <x:v>衣服</x:v>
      </x:c>
      <x:c r="I224" s="147" t="n">
        <x:v>160</x:v>
      </x:c>
      <x:c r="J224" s="102" t="str">
        <x:v>否（材料数量固定）</x:v>
      </x:c>
      <x:c r="K224" s="102" t="str">
        <x:v>仅手动分解；默认不勾选；二次确认</x:v>
      </x:c>
      <x:c r="L224" s="103" t="str">
        <x:v>一怪一专属；专属来源跟随本行准确地图号</x:v>
      </x:c>
    </x:row>
    <x:row r="225">
      <x:c r="A225" s="101" t="str">
        <x:v>C04</x:v>
      </x:c>
      <x:c r="B225" s="102" t="str">
        <x:v>利耶尼亚海域</x:v>
      </x:c>
      <x:c r="C225" s="102" t="str">
        <x:v>深湖水道</x:v>
      </x:c>
      <x:c r="D225" s="102" t="n">
        <x:v>1</x:v>
      </x:c>
      <x:c r="E225" s="102" t="str">
        <x:v>普通</x:v>
      </x:c>
      <x:c r="F225" s="102" t="str">
        <x:v>水闸巡守</x:v>
      </x:c>
      <x:c r="G225" s="102" t="str">
        <x:v>巡闸圆盾</x:v>
      </x:c>
      <x:c r="H225" s="102" t="str">
        <x:v>盾牌</x:v>
      </x:c>
      <x:c r="I225" s="147" t="n">
        <x:v>40</x:v>
      </x:c>
      <x:c r="J225" s="102" t="str">
        <x:v>否（材料数量固定）</x:v>
      </x:c>
      <x:c r="K225" s="102" t="str">
        <x:v>仅手动分解；默认不勾选；二次确认</x:v>
      </x:c>
      <x:c r="L225" s="103" t="str">
        <x:v>一怪一专属；专属来源跟随本行准确地图号</x:v>
      </x:c>
    </x:row>
    <x:row r="226">
      <x:c r="A226" s="101" t="str">
        <x:v>C04</x:v>
      </x:c>
      <x:c r="B226" s="102" t="str">
        <x:v>利耶尼亚海域</x:v>
      </x:c>
      <x:c r="C226" s="102" t="str">
        <x:v>深湖水道</x:v>
      </x:c>
      <x:c r="D226" s="102" t="n">
        <x:v>1</x:v>
      </x:c>
      <x:c r="E226" s="102" t="str">
        <x:v>普通</x:v>
      </x:c>
      <x:c r="F226" s="102" t="str">
        <x:v>涡背鳗犬</x:v>
      </x:c>
      <x:c r="G226" s="102" t="str">
        <x:v>鳗皮束腰</x:v>
      </x:c>
      <x:c r="H226" s="102" t="str">
        <x:v>腰带</x:v>
      </x:c>
      <x:c r="I226" s="147" t="n">
        <x:v>40</x:v>
      </x:c>
      <x:c r="J226" s="102" t="str">
        <x:v>否（材料数量固定）</x:v>
      </x:c>
      <x:c r="K226" s="102" t="str">
        <x:v>仅手动分解；默认不勾选；二次确认</x:v>
      </x:c>
      <x:c r="L226" s="103" t="str">
        <x:v>一怪一专属；专属来源跟随本行准确地图号</x:v>
      </x:c>
    </x:row>
    <x:row r="227">
      <x:c r="A227" s="101" t="str">
        <x:v>C04</x:v>
      </x:c>
      <x:c r="B227" s="102" t="str">
        <x:v>利耶尼亚海域</x:v>
      </x:c>
      <x:c r="C227" s="102" t="str">
        <x:v>深湖水道</x:v>
      </x:c>
      <x:c r="D227" s="102" t="n">
        <x:v>2</x:v>
      </x:c>
      <x:c r="E227" s="102" t="str">
        <x:v>普通</x:v>
      </x:c>
      <x:c r="F227" s="102" t="str">
        <x:v>月河箭蛙</x:v>
      </x:c>
      <x:c r="G227" s="102" t="str">
        <x:v>月蛙刺弩</x:v>
      </x:c>
      <x:c r="H227" s="102" t="str">
        <x:v>武器</x:v>
      </x:c>
      <x:c r="I227" s="147" t="n">
        <x:v>40</x:v>
      </x:c>
      <x:c r="J227" s="102" t="str">
        <x:v>否（材料数量固定）</x:v>
      </x:c>
      <x:c r="K227" s="102" t="str">
        <x:v>仅手动分解；默认不勾选；二次确认</x:v>
      </x:c>
      <x:c r="L227" s="103" t="str">
        <x:v>一怪一专属；专属来源跟随本行准确地图号</x:v>
      </x:c>
    </x:row>
    <x:row r="228">
      <x:c r="A228" s="101" t="str">
        <x:v>C04</x:v>
      </x:c>
      <x:c r="B228" s="102" t="str">
        <x:v>利耶尼亚海域</x:v>
      </x:c>
      <x:c r="C228" s="102" t="str">
        <x:v>深湖水道</x:v>
      </x:c>
      <x:c r="D228" s="102" t="n">
        <x:v>2</x:v>
      </x:c>
      <x:c r="E228" s="102" t="str">
        <x:v>普通</x:v>
      </x:c>
      <x:c r="F228" s="102" t="str">
        <x:v>暗径拾珠客</x:v>
      </x:c>
      <x:c r="G228" s="102" t="str">
        <x:v>拾珠客斗笠</x:v>
      </x:c>
      <x:c r="H228" s="102" t="str">
        <x:v>斗笠</x:v>
      </x:c>
      <x:c r="I228" s="147" t="n">
        <x:v>40</x:v>
      </x:c>
      <x:c r="J228" s="102" t="str">
        <x:v>否（材料数量固定）</x:v>
      </x:c>
      <x:c r="K228" s="102" t="str">
        <x:v>仅手动分解；默认不勾选；二次确认</x:v>
      </x:c>
      <x:c r="L228" s="103" t="str">
        <x:v>一怪一专属；专属来源跟随本行准确地图号</x:v>
      </x:c>
    </x:row>
    <x:row r="229">
      <x:c r="A229" s="101" t="str">
        <x:v>C04</x:v>
      </x:c>
      <x:c r="B229" s="102" t="str">
        <x:v>利耶尼亚海域</x:v>
      </x:c>
      <x:c r="C229" s="102" t="str">
        <x:v>深湖水道</x:v>
      </x:c>
      <x:c r="D229" s="102" t="n">
        <x:v>3</x:v>
      </x:c>
      <x:c r="E229" s="102" t="str">
        <x:v>普通</x:v>
      </x:c>
      <x:c r="F229" s="102" t="str">
        <x:v>渊口盔虾</x:v>
      </x:c>
      <x:c r="G229" s="102" t="str">
        <x:v>盔虾壳帽</x:v>
      </x:c>
      <x:c r="H229" s="102" t="str">
        <x:v>头盔</x:v>
      </x:c>
      <x:c r="I229" s="147" t="n">
        <x:v>40</x:v>
      </x:c>
      <x:c r="J229" s="102" t="str">
        <x:v>否（材料数量固定）</x:v>
      </x:c>
      <x:c r="K229" s="102" t="str">
        <x:v>仅手动分解；默认不勾选；二次确认</x:v>
      </x:c>
      <x:c r="L229" s="103" t="str">
        <x:v>一怪一专属；专属来源跟随本行准确地图号</x:v>
      </x:c>
    </x:row>
    <x:row r="230">
      <x:c r="A230" s="101" t="str">
        <x:v>C04</x:v>
      </x:c>
      <x:c r="B230" s="102" t="str">
        <x:v>利耶尼亚海域</x:v>
      </x:c>
      <x:c r="C230" s="102" t="str">
        <x:v>深湖水道</x:v>
      </x:c>
      <x:c r="D230" s="102" t="n">
        <x:v>3</x:v>
      </x:c>
      <x:c r="E230" s="102" t="str">
        <x:v>普通</x:v>
      </x:c>
      <x:c r="F230" s="102" t="str">
        <x:v>伏流石鳗</x:v>
      </x:c>
      <x:c r="G230" s="102" t="str">
        <x:v>伏流鳞靴</x:v>
      </x:c>
      <x:c r="H230" s="102" t="str">
        <x:v>鞋子</x:v>
      </x:c>
      <x:c r="I230" s="147" t="n">
        <x:v>40</x:v>
      </x:c>
      <x:c r="J230" s="102" t="str">
        <x:v>否（材料数量固定）</x:v>
      </x:c>
      <x:c r="K230" s="102" t="str">
        <x:v>仅手动分解；默认不勾选；二次确认</x:v>
      </x:c>
      <x:c r="L230" s="103" t="str">
        <x:v>一怪一专属；专属来源跟随本行准确地图号</x:v>
      </x:c>
    </x:row>
    <x:row r="231">
      <x:c r="A231" s="101" t="str">
        <x:v>C04</x:v>
      </x:c>
      <x:c r="B231" s="102" t="str">
        <x:v>利耶尼亚海域</x:v>
      </x:c>
      <x:c r="C231" s="102" t="str">
        <x:v>深湖水道</x:v>
      </x:c>
      <x:c r="D231" s="102" t="n">
        <x:v>1</x:v>
      </x:c>
      <x:c r="E231" s="102" t="str">
        <x:v>稀有</x:v>
      </x:c>
      <x:c r="F231" s="102" t="str">
        <x:v>断闸铁卫</x:v>
      </x:c>
      <x:c r="G231" s="102" t="str">
        <x:v>断闸铁衣</x:v>
      </x:c>
      <x:c r="H231" s="102" t="str">
        <x:v>衣服</x:v>
      </x:c>
      <x:c r="I231" s="147" t="n">
        <x:v>80</x:v>
      </x:c>
      <x:c r="J231" s="102" t="str">
        <x:v>否（材料数量固定）</x:v>
      </x:c>
      <x:c r="K231" s="102" t="str">
        <x:v>仅手动分解；默认不勾选；二次确认</x:v>
      </x:c>
      <x:c r="L231" s="103" t="str">
        <x:v>一怪一专属；专属来源跟随本行准确地图号</x:v>
      </x:c>
    </x:row>
    <x:row r="232">
      <x:c r="A232" s="101" t="str">
        <x:v>C04</x:v>
      </x:c>
      <x:c r="B232" s="102" t="str">
        <x:v>利耶尼亚海域</x:v>
      </x:c>
      <x:c r="C232" s="102" t="str">
        <x:v>深湖水道</x:v>
      </x:c>
      <x:c r="D232" s="102" t="n">
        <x:v>2</x:v>
      </x:c>
      <x:c r="E232" s="102" t="str">
        <x:v>稀有</x:v>
      </x:c>
      <x:c r="F232" s="102" t="str">
        <x:v>月痕水咒师</x:v>
      </x:c>
      <x:c r="G232" s="102" t="str">
        <x:v>月痕咒镯</x:v>
      </x:c>
      <x:c r="H232" s="102" t="str">
        <x:v>手镯</x:v>
      </x:c>
      <x:c r="I232" s="147" t="n">
        <x:v>80</x:v>
      </x:c>
      <x:c r="J232" s="102" t="str">
        <x:v>否（材料数量固定）</x:v>
      </x:c>
      <x:c r="K232" s="102" t="str">
        <x:v>仅手动分解；默认不勾选；二次确认</x:v>
      </x:c>
      <x:c r="L232" s="103" t="str">
        <x:v>一怪一专属；专属来源跟随本行准确地图号</x:v>
      </x:c>
    </x:row>
    <x:row r="233">
      <x:c r="A233" s="101" t="str">
        <x:v>C04</x:v>
      </x:c>
      <x:c r="B233" s="102" t="str">
        <x:v>利耶尼亚海域</x:v>
      </x:c>
      <x:c r="C233" s="102" t="str">
        <x:v>深湖水道</x:v>
      </x:c>
      <x:c r="D233" s="102" t="n">
        <x:v>3</x:v>
      </x:c>
      <x:c r="E233" s="102" t="str">
        <x:v>稀有</x:v>
      </x:c>
      <x:c r="F233" s="102" t="str">
        <x:v>渊声诱猎者</x:v>
      </x:c>
      <x:c r="G233" s="102" t="str">
        <x:v>诱猎声坠</x:v>
      </x:c>
      <x:c r="H233" s="102" t="str">
        <x:v>项链</x:v>
      </x:c>
      <x:c r="I233" s="147" t="n">
        <x:v>80</x:v>
      </x:c>
      <x:c r="J233" s="102" t="str">
        <x:v>否（材料数量固定）</x:v>
      </x:c>
      <x:c r="K233" s="102" t="str">
        <x:v>仅手动分解；默认不勾选；二次确认</x:v>
      </x:c>
      <x:c r="L233" s="103" t="str">
        <x:v>一怪一专属；专属来源跟随本行准确地图号</x:v>
      </x:c>
    </x:row>
    <x:row r="234">
      <x:c r="A234" s="101" t="str">
        <x:v>C04</x:v>
      </x:c>
      <x:c r="B234" s="102" t="str">
        <x:v>利耶尼亚海域</x:v>
      </x:c>
      <x:c r="C234" s="102" t="str">
        <x:v>深湖水道</x:v>
      </x:c>
      <x:c r="D234" s="102" t="n">
        <x:v>3</x:v>
      </x:c>
      <x:c r="E234" s="102" t="str">
        <x:v>稀有</x:v>
      </x:c>
      <x:c r="F234" s="102" t="str">
        <x:v>吞灯巨鲶</x:v>
      </x:c>
      <x:c r="G234" s="102" t="str">
        <x:v>吞灯牙戒</x:v>
      </x:c>
      <x:c r="H234" s="102" t="str">
        <x:v>戒指</x:v>
      </x:c>
      <x:c r="I234" s="147" t="n">
        <x:v>80</x:v>
      </x:c>
      <x:c r="J234" s="102" t="str">
        <x:v>否（材料数量固定）</x:v>
      </x:c>
      <x:c r="K234" s="102" t="str">
        <x:v>仅手动分解；默认不勾选；二次确认</x:v>
      </x:c>
      <x:c r="L234" s="103" t="str">
        <x:v>一怪一专属；专属来源跟随本行准确地图号</x:v>
      </x:c>
    </x:row>
    <x:row r="235">
      <x:c r="A235" s="101" t="str">
        <x:v>C04</x:v>
      </x:c>
      <x:c r="B235" s="102" t="str">
        <x:v>利耶尼亚海域</x:v>
      </x:c>
      <x:c r="C235" s="102" t="str">
        <x:v>深湖水道</x:v>
      </x:c>
      <x:c r="D235" s="102" t="n">
        <x:v>2</x:v>
      </x:c>
      <x:c r="E235" s="102" t="str">
        <x:v>地图BOSS</x:v>
      </x:c>
      <x:c r="F235" s="102" t="str">
        <x:v>暗河剑师·罗缇</x:v>
      </x:c>
      <x:c r="G235" s="102" t="str">
        <x:v>罗缇的回流剑</x:v>
      </x:c>
      <x:c r="H235" s="102" t="str">
        <x:v>武器</x:v>
      </x:c>
      <x:c r="I235" s="147" t="n">
        <x:v>160</x:v>
      </x:c>
      <x:c r="J235" s="102" t="str">
        <x:v>否（材料数量固定）</x:v>
      </x:c>
      <x:c r="K235" s="102" t="str">
        <x:v>仅手动分解；默认不勾选；二次确认</x:v>
      </x:c>
      <x:c r="L235" s="103" t="str">
        <x:v>一怪一专属；专属来源跟随本行准确地图号</x:v>
      </x:c>
    </x:row>
    <x:row r="236">
      <x:c r="A236" s="101" t="str">
        <x:v>C04</x:v>
      </x:c>
      <x:c r="B236" s="102" t="str">
        <x:v>利耶尼亚海域</x:v>
      </x:c>
      <x:c r="C236" s="102" t="str">
        <x:v>深湖水道</x:v>
      </x:c>
      <x:c r="D236" s="102" t="n">
        <x:v>3</x:v>
      </x:c>
      <x:c r="E236" s="102" t="str">
        <x:v>地图BOSS</x:v>
      </x:c>
      <x:c r="F236" s="102" t="str">
        <x:v>渊口老蛟·涅珈</x:v>
      </x:c>
      <x:c r="G236" s="102" t="str">
        <x:v>涅珈镇渊衣</x:v>
      </x:c>
      <x:c r="H236" s="102" t="str">
        <x:v>衣服</x:v>
      </x:c>
      <x:c r="I236" s="147" t="n">
        <x:v>160</x:v>
      </x:c>
      <x:c r="J236" s="102" t="str">
        <x:v>否（材料数量固定）</x:v>
      </x:c>
      <x:c r="K236" s="102" t="str">
        <x:v>仅手动分解；默认不勾选；二次确认</x:v>
      </x:c>
      <x:c r="L236" s="103" t="str">
        <x:v>一怪一专属；专属来源跟随本行准确地图号</x:v>
      </x:c>
    </x:row>
    <x:row r="237">
      <x:c r="A237" s="101" t="str">
        <x:v>C04</x:v>
      </x:c>
      <x:c r="B237" s="102" t="str">
        <x:v>利耶尼亚海域</x:v>
      </x:c>
      <x:c r="C237" s="102" t="str">
        <x:v>湖底密道</x:v>
      </x:c>
      <x:c r="D237" s="102" t="n">
        <x:v>1</x:v>
      </x:c>
      <x:c r="E237" s="102" t="str">
        <x:v>普通</x:v>
      </x:c>
      <x:c r="F237" s="102" t="str">
        <x:v>摸壁潜行者</x:v>
      </x:c>
      <x:c r="G237" s="102" t="str">
        <x:v>潜壁短钩</x:v>
      </x:c>
      <x:c r="H237" s="102" t="str">
        <x:v>武器</x:v>
      </x:c>
      <x:c r="I237" s="147" t="n">
        <x:v>40</x:v>
      </x:c>
      <x:c r="J237" s="102" t="str">
        <x:v>否（材料数量固定）</x:v>
      </x:c>
      <x:c r="K237" s="102" t="str">
        <x:v>仅手动分解；默认不勾选；二次确认</x:v>
      </x:c>
      <x:c r="L237" s="103" t="str">
        <x:v>一怪一专属；专属来源跟随本行准确地图号</x:v>
      </x:c>
    </x:row>
    <x:row r="238">
      <x:c r="A238" s="101" t="str">
        <x:v>C04</x:v>
      </x:c>
      <x:c r="B238" s="102" t="str">
        <x:v>利耶尼亚海域</x:v>
      </x:c>
      <x:c r="C238" s="102" t="str">
        <x:v>湖底密道</x:v>
      </x:c>
      <x:c r="D238" s="102" t="n">
        <x:v>1</x:v>
      </x:c>
      <x:c r="E238" s="102" t="str">
        <x:v>普通</x:v>
      </x:c>
      <x:c r="F238" s="102" t="str">
        <x:v>砾壳穴龟</x:v>
      </x:c>
      <x:c r="G238" s="102" t="str">
        <x:v>穴龟石盾</x:v>
      </x:c>
      <x:c r="H238" s="102" t="str">
        <x:v>盾牌</x:v>
      </x:c>
      <x:c r="I238" s="147" t="n">
        <x:v>40</x:v>
      </x:c>
      <x:c r="J238" s="102" t="str">
        <x:v>否（材料数量固定）</x:v>
      </x:c>
      <x:c r="K238" s="102" t="str">
        <x:v>仅手动分解；默认不勾选；二次确认</x:v>
      </x:c>
      <x:c r="L238" s="103" t="str">
        <x:v>一怪一专属；专属来源跟随本行准确地图号</x:v>
      </x:c>
    </x:row>
    <x:row r="239">
      <x:c r="A239" s="101" t="str">
        <x:v>C04</x:v>
      </x:c>
      <x:c r="B239" s="102" t="str">
        <x:v>利耶尼亚海域</x:v>
      </x:c>
      <x:c r="C239" s="102" t="str">
        <x:v>湖底密道</x:v>
      </x:c>
      <x:c r="D239" s="102" t="n">
        <x:v>2</x:v>
      </x:c>
      <x:c r="E239" s="102" t="str">
        <x:v>普通</x:v>
      </x:c>
      <x:c r="F239" s="102" t="str">
        <x:v>暗渠滤水蚌</x:v>
      </x:c>
      <x:c r="G239" s="102" t="str">
        <x:v>滤水蚌盔</x:v>
      </x:c>
      <x:c r="H239" s="102" t="str">
        <x:v>头盔</x:v>
      </x:c>
      <x:c r="I239" s="147" t="n">
        <x:v>40</x:v>
      </x:c>
      <x:c r="J239" s="102" t="str">
        <x:v>否（材料数量固定）</x:v>
      </x:c>
      <x:c r="K239" s="102" t="str">
        <x:v>仅手动分解；默认不勾选；二次确认</x:v>
      </x:c>
      <x:c r="L239" s="103" t="str">
        <x:v>一怪一专属；专属来源跟随本行准确地图号</x:v>
      </x:c>
    </x:row>
    <x:row r="240">
      <x:c r="A240" s="101" t="str">
        <x:v>C04</x:v>
      </x:c>
      <x:c r="B240" s="102" t="str">
        <x:v>利耶尼亚海域</x:v>
      </x:c>
      <x:c r="C240" s="102" t="str">
        <x:v>湖底密道</x:v>
      </x:c>
      <x:c r="D240" s="102" t="n">
        <x:v>2</x:v>
      </x:c>
      <x:c r="E240" s="102" t="str">
        <x:v>普通</x:v>
      </x:c>
      <x:c r="F240" s="102" t="str">
        <x:v>锈闸守渠人</x:v>
      </x:c>
      <x:c r="G240" s="102" t="str">
        <x:v>守渠锈衣</x:v>
      </x:c>
      <x:c r="H240" s="102" t="str">
        <x:v>衣服</x:v>
      </x:c>
      <x:c r="I240" s="147" t="n">
        <x:v>40</x:v>
      </x:c>
      <x:c r="J240" s="102" t="str">
        <x:v>否（材料数量固定）</x:v>
      </x:c>
      <x:c r="K240" s="102" t="str">
        <x:v>仅手动分解；默认不勾选；二次确认</x:v>
      </x:c>
      <x:c r="L240" s="103" t="str">
        <x:v>一怪一专属；专属来源跟随本行准确地图号</x:v>
      </x:c>
    </x:row>
    <x:row r="241">
      <x:c r="A241" s="101" t="str">
        <x:v>C04</x:v>
      </x:c>
      <x:c r="B241" s="102" t="str">
        <x:v>利耶尼亚海域</x:v>
      </x:c>
      <x:c r="C241" s="102" t="str">
        <x:v>湖底密道</x:v>
      </x:c>
      <x:c r="D241" s="102" t="n">
        <x:v>3</x:v>
      </x:c>
      <x:c r="E241" s="102" t="str">
        <x:v>普通</x:v>
      </x:c>
      <x:c r="F241" s="102" t="str">
        <x:v>秘室灯笼鱼</x:v>
      </x:c>
      <x:c r="G241" s="102" t="str">
        <x:v>幽灯鱼坠</x:v>
      </x:c>
      <x:c r="H241" s="102" t="str">
        <x:v>项链</x:v>
      </x:c>
      <x:c r="I241" s="147" t="n">
        <x:v>40</x:v>
      </x:c>
      <x:c r="J241" s="102" t="str">
        <x:v>否（材料数量固定）</x:v>
      </x:c>
      <x:c r="K241" s="102" t="str">
        <x:v>仅手动分解；默认不勾选；二次确认</x:v>
      </x:c>
      <x:c r="L241" s="103" t="str">
        <x:v>一怪一专属；专属来源跟随本行准确地图号</x:v>
      </x:c>
    </x:row>
    <x:row r="242">
      <x:c r="A242" s="101" t="str">
        <x:v>C04</x:v>
      </x:c>
      <x:c r="B242" s="102" t="str">
        <x:v>利耶尼亚海域</x:v>
      </x:c>
      <x:c r="C242" s="102" t="str">
        <x:v>湖底密道</x:v>
      </x:c>
      <x:c r="D242" s="102" t="n">
        <x:v>3</x:v>
      </x:c>
      <x:c r="E242" s="102" t="str">
        <x:v>普通</x:v>
      </x:c>
      <x:c r="F242" s="102" t="str">
        <x:v>封门泥塑</x:v>
      </x:c>
      <x:c r="G242" s="102" t="str">
        <x:v>封门泥履</x:v>
      </x:c>
      <x:c r="H242" s="102" t="str">
        <x:v>鞋子</x:v>
      </x:c>
      <x:c r="I242" s="147" t="n">
        <x:v>40</x:v>
      </x:c>
      <x:c r="J242" s="102" t="str">
        <x:v>否（材料数量固定）</x:v>
      </x:c>
      <x:c r="K242" s="102" t="str">
        <x:v>仅手动分解；默认不勾选；二次确认</x:v>
      </x:c>
      <x:c r="L242" s="103" t="str">
        <x:v>一怪一专属；专属来源跟随本行准确地图号</x:v>
      </x:c>
    </x:row>
    <x:row r="243">
      <x:c r="A243" s="101" t="str">
        <x:v>C04</x:v>
      </x:c>
      <x:c r="B243" s="102" t="str">
        <x:v>利耶尼亚海域</x:v>
      </x:c>
      <x:c r="C243" s="102" t="str">
        <x:v>湖底密道</x:v>
      </x:c>
      <x:c r="D243" s="102" t="n">
        <x:v>1</x:v>
      </x:c>
      <x:c r="E243" s="102" t="str">
        <x:v>稀有</x:v>
      </x:c>
      <x:c r="F243" s="102" t="str">
        <x:v>回声盗墓客</x:v>
      </x:c>
      <x:c r="G243" s="102" t="str">
        <x:v>回声盗墓笠</x:v>
      </x:c>
      <x:c r="H243" s="102" t="str">
        <x:v>斗笠</x:v>
      </x:c>
      <x:c r="I243" s="147" t="n">
        <x:v>80</x:v>
      </x:c>
      <x:c r="J243" s="102" t="str">
        <x:v>否（材料数量固定）</x:v>
      </x:c>
      <x:c r="K243" s="102" t="str">
        <x:v>仅手动分解；默认不勾选；二次确认</x:v>
      </x:c>
      <x:c r="L243" s="103" t="str">
        <x:v>一怪一专属；专属来源跟随本行准确地图号</x:v>
      </x:c>
    </x:row>
    <x:row r="244">
      <x:c r="A244" s="101" t="str">
        <x:v>C04</x:v>
      </x:c>
      <x:c r="B244" s="102" t="str">
        <x:v>利耶尼亚海域</x:v>
      </x:c>
      <x:c r="C244" s="102" t="str">
        <x:v>湖底密道</x:v>
      </x:c>
      <x:c r="D244" s="102" t="n">
        <x:v>2</x:v>
      </x:c>
      <x:c r="E244" s="102" t="str">
        <x:v>稀有</x:v>
      </x:c>
      <x:c r="F244" s="102" t="str">
        <x:v>暗渠缚链僧</x:v>
      </x:c>
      <x:c r="G244" s="102" t="str">
        <x:v>缚链僧镯</x:v>
      </x:c>
      <x:c r="H244" s="102" t="str">
        <x:v>手镯</x:v>
      </x:c>
      <x:c r="I244" s="147" t="n">
        <x:v>80</x:v>
      </x:c>
      <x:c r="J244" s="102" t="str">
        <x:v>否（材料数量固定）</x:v>
      </x:c>
      <x:c r="K244" s="102" t="str">
        <x:v>仅手动分解；默认不勾选；二次确认</x:v>
      </x:c>
      <x:c r="L244" s="103" t="str">
        <x:v>一怪一专属；专属来源跟随本行准确地图号</x:v>
      </x:c>
    </x:row>
    <x:row r="245">
      <x:c r="A245" s="101" t="str">
        <x:v>C04</x:v>
      </x:c>
      <x:c r="B245" s="102" t="str">
        <x:v>利耶尼亚海域</x:v>
      </x:c>
      <x:c r="C245" s="102" t="str">
        <x:v>湖底密道</x:v>
      </x:c>
      <x:c r="D245" s="102" t="n">
        <x:v>3</x:v>
      </x:c>
      <x:c r="E245" s="102" t="str">
        <x:v>稀有</x:v>
      </x:c>
      <x:c r="F245" s="102" t="str">
        <x:v>抱钥湖尸</x:v>
      </x:c>
      <x:c r="G245" s="102" t="str">
        <x:v>湖尸钥戒</x:v>
      </x:c>
      <x:c r="H245" s="102" t="str">
        <x:v>戒指</x:v>
      </x:c>
      <x:c r="I245" s="147" t="n">
        <x:v>80</x:v>
      </x:c>
      <x:c r="J245" s="102" t="str">
        <x:v>否（材料数量固定）</x:v>
      </x:c>
      <x:c r="K245" s="102" t="str">
        <x:v>仅手动分解；默认不勾选；二次确认</x:v>
      </x:c>
      <x:c r="L245" s="103" t="str">
        <x:v>一怪一专属；专属来源跟随本行准确地图号</x:v>
      </x:c>
    </x:row>
    <x:row r="246">
      <x:c r="A246" s="101" t="str">
        <x:v>C04</x:v>
      </x:c>
      <x:c r="B246" s="102" t="str">
        <x:v>利耶尼亚海域</x:v>
      </x:c>
      <x:c r="C246" s="102" t="str">
        <x:v>湖底密道</x:v>
      </x:c>
      <x:c r="D246" s="102" t="n">
        <x:v>3</x:v>
      </x:c>
      <x:c r="E246" s="102" t="str">
        <x:v>稀有</x:v>
      </x:c>
      <x:c r="F246" s="102" t="str">
        <x:v>噬门泥怪</x:v>
      </x:c>
      <x:c r="G246" s="102" t="str">
        <x:v>泥膜束带</x:v>
      </x:c>
      <x:c r="H246" s="102" t="str">
        <x:v>腰带</x:v>
      </x:c>
      <x:c r="I246" s="147" t="n">
        <x:v>80</x:v>
      </x:c>
      <x:c r="J246" s="102" t="str">
        <x:v>否（材料数量固定）</x:v>
      </x:c>
      <x:c r="K246" s="102" t="str">
        <x:v>仅手动分解；默认不勾选；二次确认</x:v>
      </x:c>
      <x:c r="L246" s="103" t="str">
        <x:v>一怪一专属；专属来源跟随本行准确地图号</x:v>
      </x:c>
    </x:row>
    <x:row r="247">
      <x:c r="A247" s="101" t="str">
        <x:v>C04</x:v>
      </x:c>
      <x:c r="B247" s="102" t="str">
        <x:v>利耶尼亚海域</x:v>
      </x:c>
      <x:c r="C247" s="102" t="str">
        <x:v>湖底密道</x:v>
      </x:c>
      <x:c r="D247" s="102" t="n">
        <x:v>2</x:v>
      </x:c>
      <x:c r="E247" s="102" t="str">
        <x:v>地图BOSS</x:v>
      </x:c>
      <x:c r="F247" s="102" t="str">
        <x:v>沉渠守誓者·阿涅</x:v>
      </x:c>
      <x:c r="G247" s="102" t="str">
        <x:v>阿涅的誓渠枪</x:v>
      </x:c>
      <x:c r="H247" s="102" t="str">
        <x:v>武器</x:v>
      </x:c>
      <x:c r="I247" s="147" t="n">
        <x:v>160</x:v>
      </x:c>
      <x:c r="J247" s="102" t="str">
        <x:v>否（材料数量固定）</x:v>
      </x:c>
      <x:c r="K247" s="102" t="str">
        <x:v>仅手动分解；默认不勾选；二次确认</x:v>
      </x:c>
      <x:c r="L247" s="103" t="str">
        <x:v>一怪一专属；专属来源跟随本行准确地图号</x:v>
      </x:c>
    </x:row>
    <x:row r="248">
      <x:c r="A248" s="101" t="str">
        <x:v>C04</x:v>
      </x:c>
      <x:c r="B248" s="102" t="str">
        <x:v>利耶尼亚海域</x:v>
      </x:c>
      <x:c r="C248" s="102" t="str">
        <x:v>湖底密道</x:v>
      </x:c>
      <x:c r="D248" s="102" t="n">
        <x:v>3</x:v>
      </x:c>
      <x:c r="E248" s="102" t="str">
        <x:v>地图BOSS</x:v>
      </x:c>
      <x:c r="F248" s="102" t="str">
        <x:v>封室水镜姬·弥洛</x:v>
      </x:c>
      <x:c r="G248" s="102" t="str">
        <x:v>弥洛镜水衣</x:v>
      </x:c>
      <x:c r="H248" s="102" t="str">
        <x:v>衣服</x:v>
      </x:c>
      <x:c r="I248" s="147" t="n">
        <x:v>160</x:v>
      </x:c>
      <x:c r="J248" s="102" t="str">
        <x:v>否（材料数量固定）</x:v>
      </x:c>
      <x:c r="K248" s="102" t="str">
        <x:v>仅手动分解；默认不勾选；二次确认</x:v>
      </x:c>
      <x:c r="L248" s="103" t="str">
        <x:v>一怪一专属；专属来源跟随本行准确地图号</x:v>
      </x:c>
    </x:row>
    <x:row r="249">
      <x:c r="A249" s="101" t="str">
        <x:v>C04</x:v>
      </x:c>
      <x:c r="B249" s="102" t="str">
        <x:v>利耶尼亚海域</x:v>
      </x:c>
      <x:c r="C249" s="102" t="str">
        <x:v>湖底密道</x:v>
      </x:c>
      <x:c r="D249" s="102" t="n">
        <x:v>3</x:v>
      </x:c>
      <x:c r="E249" s="102" t="str">
        <x:v>守关BOSS</x:v>
      </x:c>
      <x:c r="F249" s="102" t="str">
        <x:v>闭潮王·莱弥恩</x:v>
      </x:c>
      <x:c r="G249" s="102" t="str">
        <x:v>莱弥恩的封湖巨剑</x:v>
      </x:c>
      <x:c r="H249" s="102" t="str">
        <x:v>武器</x:v>
      </x:c>
      <x:c r="I249" s="147" t="n">
        <x:v>160</x:v>
      </x:c>
      <x:c r="J249" s="102" t="str">
        <x:v>否（材料数量固定）</x:v>
      </x:c>
      <x:c r="K249" s="102" t="str">
        <x:v>仅手动分解；默认不勾选；二次确认</x:v>
      </x:c>
      <x:c r="L249" s="103" t="str">
        <x:v>大陆最终守关；本表不填属性、爆率和货币</x:v>
      </x:c>
    </x:row>
    <x:row r="250">
      <x:c r="A250" s="101" t="str">
        <x:v>C05</x:v>
      </x:c>
      <x:c r="B250" s="102" t="str">
        <x:v>湖之利耶尼亚</x:v>
      </x:c>
      <x:c r="C250" s="102" t="str">
        <x:v>雾月水庭</x:v>
      </x:c>
      <x:c r="D250" s="102" t="n">
        <x:v>1</x:v>
      </x:c>
      <x:c r="E250" s="102" t="str">
        <x:v>普通</x:v>
      </x:c>
      <x:c r="F250" s="102" t="str">
        <x:v>雾汐游魂</x:v>
      </x:c>
      <x:c r="G250" s="102" t="str">
        <x:v>雾汐踏波履</x:v>
      </x:c>
      <x:c r="H250" s="102" t="str">
        <x:v>鞋子</x:v>
      </x:c>
      <x:c r="I250" s="147" t="n">
        <x:v>50</x:v>
      </x:c>
      <x:c r="J250" s="102" t="str">
        <x:v>否（材料数量固定）</x:v>
      </x:c>
      <x:c r="K250" s="102" t="str">
        <x:v>仅手动分解；默认不勾选；二次确认</x:v>
      </x:c>
      <x:c r="L250" s="103" t="str">
        <x:v>一怪一专属；专属来源跟随本行准确地图号</x:v>
      </x:c>
    </x:row>
    <x:row r="251">
      <x:c r="A251" s="101" t="str">
        <x:v>C05</x:v>
      </x:c>
      <x:c r="B251" s="102" t="str">
        <x:v>湖之利耶尼亚</x:v>
      </x:c>
      <x:c r="C251" s="102" t="str">
        <x:v>雾月水庭</x:v>
      </x:c>
      <x:c r="D251" s="102" t="n">
        <x:v>1</x:v>
      </x:c>
      <x:c r="E251" s="102" t="str">
        <x:v>普通</x:v>
      </x:c>
      <x:c r="F251" s="102" t="str">
        <x:v>水庭苔甲蟹</x:v>
      </x:c>
      <x:c r="G251" s="102" t="str">
        <x:v>苔纹潮壳盾</x:v>
      </x:c>
      <x:c r="H251" s="102" t="str">
        <x:v>盾牌</x:v>
      </x:c>
      <x:c r="I251" s="147" t="n">
        <x:v>50</x:v>
      </x:c>
      <x:c r="J251" s="102" t="str">
        <x:v>否（材料数量固定）</x:v>
      </x:c>
      <x:c r="K251" s="102" t="str">
        <x:v>仅手动分解；默认不勾选；二次确认</x:v>
      </x:c>
      <x:c r="L251" s="103" t="str">
        <x:v>一怪一专属；专属来源跟随本行准确地图号</x:v>
      </x:c>
    </x:row>
    <x:row r="252">
      <x:c r="A252" s="101" t="str">
        <x:v>C05</x:v>
      </x:c>
      <x:c r="B252" s="102" t="str">
        <x:v>湖之利耶尼亚</x:v>
      </x:c>
      <x:c r="C252" s="102" t="str">
        <x:v>雾月水庭</x:v>
      </x:c>
      <x:c r="D252" s="102" t="n">
        <x:v>2</x:v>
      </x:c>
      <x:c r="E252" s="102" t="str">
        <x:v>普通</x:v>
      </x:c>
      <x:c r="F252" s="102" t="str">
        <x:v>月雾提灯侍</x:v>
      </x:c>
      <x:c r="G252" s="102" t="str">
        <x:v>月翳提灯笠</x:v>
      </x:c>
      <x:c r="H252" s="102" t="str">
        <x:v>斗笠</x:v>
      </x:c>
      <x:c r="I252" s="147" t="n">
        <x:v>50</x:v>
      </x:c>
      <x:c r="J252" s="102" t="str">
        <x:v>否（材料数量固定）</x:v>
      </x:c>
      <x:c r="K252" s="102" t="str">
        <x:v>仅手动分解；默认不勾选；二次确认</x:v>
      </x:c>
      <x:c r="L252" s="103" t="str">
        <x:v>一怪一专属；专属来源跟随本行准确地图号</x:v>
      </x:c>
    </x:row>
    <x:row r="253">
      <x:c r="A253" s="101" t="str">
        <x:v>C05</x:v>
      </x:c>
      <x:c r="B253" s="102" t="str">
        <x:v>湖之利耶尼亚</x:v>
      </x:c>
      <x:c r="C253" s="102" t="str">
        <x:v>雾月水庭</x:v>
      </x:c>
      <x:c r="D253" s="102" t="n">
        <x:v>2</x:v>
      </x:c>
      <x:c r="E253" s="102" t="str">
        <x:v>普通</x:v>
      </x:c>
      <x:c r="F253" s="102" t="str">
        <x:v>回廊凝露蛾</x:v>
      </x:c>
      <x:c r="G253" s="102" t="str">
        <x:v>凝露蛾月坠</x:v>
      </x:c>
      <x:c r="H253" s="102" t="str">
        <x:v>项链</x:v>
      </x:c>
      <x:c r="I253" s="147" t="n">
        <x:v>50</x:v>
      </x:c>
      <x:c r="J253" s="102" t="str">
        <x:v>否（材料数量固定）</x:v>
      </x:c>
      <x:c r="K253" s="102" t="str">
        <x:v>仅手动分解；默认不勾选；二次确认</x:v>
      </x:c>
      <x:c r="L253" s="103" t="str">
        <x:v>一怪一专属；专属来源跟随本行准确地图号</x:v>
      </x:c>
    </x:row>
    <x:row r="254">
      <x:c r="A254" s="101" t="str">
        <x:v>C05</x:v>
      </x:c>
      <x:c r="B254" s="102" t="str">
        <x:v>湖之利耶尼亚</x:v>
      </x:c>
      <x:c r="C254" s="102" t="str">
        <x:v>雾月水庭</x:v>
      </x:c>
      <x:c r="D254" s="102" t="n">
        <x:v>3</x:v>
      </x:c>
      <x:c r="E254" s="102" t="str">
        <x:v>普通</x:v>
      </x:c>
      <x:c r="F254" s="102" t="str">
        <x:v>静月执盏者</x:v>
      </x:c>
      <x:c r="G254" s="102" t="str">
        <x:v>静盏银纹镯</x:v>
      </x:c>
      <x:c r="H254" s="102" t="str">
        <x:v>手镯</x:v>
      </x:c>
      <x:c r="I254" s="147" t="n">
        <x:v>50</x:v>
      </x:c>
      <x:c r="J254" s="102" t="str">
        <x:v>否（材料数量固定）</x:v>
      </x:c>
      <x:c r="K254" s="102" t="str">
        <x:v>仅手动分解；默认不勾选；二次确认</x:v>
      </x:c>
      <x:c r="L254" s="103" t="str">
        <x:v>一怪一专属；专属来源跟随本行准确地图号</x:v>
      </x:c>
    </x:row>
    <x:row r="255">
      <x:c r="A255" s="101" t="str">
        <x:v>C05</x:v>
      </x:c>
      <x:c r="B255" s="102" t="str">
        <x:v>湖之利耶尼亚</x:v>
      </x:c>
      <x:c r="C255" s="102" t="str">
        <x:v>雾月水庭</x:v>
      </x:c>
      <x:c r="D255" s="102" t="n">
        <x:v>3</x:v>
      </x:c>
      <x:c r="E255" s="102" t="str">
        <x:v>普通</x:v>
      </x:c>
      <x:c r="F255" s="102" t="str">
        <x:v>祭庭涟影</x:v>
      </x:c>
      <x:c r="G255" s="102" t="str">
        <x:v>涟影回波戒</x:v>
      </x:c>
      <x:c r="H255" s="102" t="str">
        <x:v>戒指</x:v>
      </x:c>
      <x:c r="I255" s="147" t="n">
        <x:v>50</x:v>
      </x:c>
      <x:c r="J255" s="102" t="str">
        <x:v>否（材料数量固定）</x:v>
      </x:c>
      <x:c r="K255" s="102" t="str">
        <x:v>仅手动分解；默认不勾选；二次确认</x:v>
      </x:c>
      <x:c r="L255" s="103" t="str">
        <x:v>一怪一专属；专属来源跟随本行准确地图号</x:v>
      </x:c>
    </x:row>
    <x:row r="256">
      <x:c r="A256" s="101" t="str">
        <x:v>C05</x:v>
      </x:c>
      <x:c r="B256" s="102" t="str">
        <x:v>湖之利耶尼亚</x:v>
      </x:c>
      <x:c r="C256" s="102" t="str">
        <x:v>雾月水庭</x:v>
      </x:c>
      <x:c r="D256" s="102" t="n">
        <x:v>1</x:v>
      </x:c>
      <x:c r="E256" s="102" t="str">
        <x:v>稀有</x:v>
      </x:c>
      <x:c r="F256" s="102" t="str">
        <x:v>银雾汲月兽</x:v>
      </x:c>
      <x:c r="G256" s="102" t="str">
        <x:v>汲月雾绦</x:v>
      </x:c>
      <x:c r="H256" s="102" t="str">
        <x:v>腰带</x:v>
      </x:c>
      <x:c r="I256" s="147" t="n">
        <x:v>100</x:v>
      </x:c>
      <x:c r="J256" s="102" t="str">
        <x:v>否（材料数量固定）</x:v>
      </x:c>
      <x:c r="K256" s="102" t="str">
        <x:v>仅手动分解；默认不勾选；二次确认</x:v>
      </x:c>
      <x:c r="L256" s="103" t="str">
        <x:v>一怪一专属；专属来源跟随本行准确地图号</x:v>
      </x:c>
    </x:row>
    <x:row r="257">
      <x:c r="A257" s="101" t="str">
        <x:v>C05</x:v>
      </x:c>
      <x:c r="B257" s="102" t="str">
        <x:v>湖之利耶尼亚</x:v>
      </x:c>
      <x:c r="C257" s="102" t="str">
        <x:v>雾月水庭</x:v>
      </x:c>
      <x:c r="D257" s="102" t="n">
        <x:v>1</x:v>
      </x:c>
      <x:c r="E257" s="102" t="str">
        <x:v>稀有</x:v>
      </x:c>
      <x:c r="F257" s="102" t="str">
        <x:v>镜荷守梦灵</x:v>
      </x:c>
      <x:c r="G257" s="102" t="str">
        <x:v>镜荷眠梦冠</x:v>
      </x:c>
      <x:c r="H257" s="102" t="str">
        <x:v>头盔</x:v>
      </x:c>
      <x:c r="I257" s="147" t="n">
        <x:v>100</x:v>
      </x:c>
      <x:c r="J257" s="102" t="str">
        <x:v>否（材料数量固定）</x:v>
      </x:c>
      <x:c r="K257" s="102" t="str">
        <x:v>仅手动分解；默认不勾选；二次确认</x:v>
      </x:c>
      <x:c r="L257" s="103" t="str">
        <x:v>一怪一专属；专属来源跟随本行准确地图号</x:v>
      </x:c>
    </x:row>
    <x:row r="258">
      <x:c r="A258" s="101" t="str">
        <x:v>C05</x:v>
      </x:c>
      <x:c r="B258" s="102" t="str">
        <x:v>湖之利耶尼亚</x:v>
      </x:c>
      <x:c r="C258" s="102" t="str">
        <x:v>雾月水庭</x:v>
      </x:c>
      <x:c r="D258" s="102" t="n">
        <x:v>2</x:v>
      </x:c>
      <x:c r="E258" s="102" t="str">
        <x:v>稀有</x:v>
      </x:c>
      <x:c r="F258" s="102" t="str">
        <x:v>月纱回声女官</x:v>
      </x:c>
      <x:c r="G258" s="102" t="str">
        <x:v>月纱回音章</x:v>
      </x:c>
      <x:c r="H258" s="102" t="str">
        <x:v>勋章</x:v>
      </x:c>
      <x:c r="I258" s="147" t="n">
        <x:v>100</x:v>
      </x:c>
      <x:c r="J258" s="102" t="str">
        <x:v>否（材料数量固定）</x:v>
      </x:c>
      <x:c r="K258" s="102" t="str">
        <x:v>仅手动分解；默认不勾选；二次确认</x:v>
      </x:c>
      <x:c r="L258" s="103" t="str">
        <x:v>一怪一专属；专属来源跟随本行准确地图号</x:v>
      </x:c>
    </x:row>
    <x:row r="259">
      <x:c r="A259" s="101" t="str">
        <x:v>C05</x:v>
      </x:c>
      <x:c r="B259" s="102" t="str">
        <x:v>湖之利耶尼亚</x:v>
      </x:c>
      <x:c r="C259" s="102" t="str">
        <x:v>雾月水庭</x:v>
      </x:c>
      <x:c r="D259" s="102" t="n">
        <x:v>3</x:v>
      </x:c>
      <x:c r="E259" s="102" t="str">
        <x:v>稀有</x:v>
      </x:c>
      <x:c r="F259" s="102" t="str">
        <x:v>静潮祷月祭司</x:v>
      </x:c>
      <x:c r="G259" s="102" t="str">
        <x:v>静潮祷仪袍</x:v>
      </x:c>
      <x:c r="H259" s="102" t="str">
        <x:v>衣服</x:v>
      </x:c>
      <x:c r="I259" s="147" t="n">
        <x:v>100</x:v>
      </x:c>
      <x:c r="J259" s="102" t="str">
        <x:v>否（材料数量固定）</x:v>
      </x:c>
      <x:c r="K259" s="102" t="str">
        <x:v>仅手动分解；默认不勾选；二次确认</x:v>
      </x:c>
      <x:c r="L259" s="103" t="str">
        <x:v>一怪一专属；专属来源跟随本行准确地图号</x:v>
      </x:c>
    </x:row>
    <x:row r="260">
      <x:c r="A260" s="101" t="str">
        <x:v>C05</x:v>
      </x:c>
      <x:c r="B260" s="102" t="str">
        <x:v>湖之利耶尼亚</x:v>
      </x:c>
      <x:c r="C260" s="102" t="str">
        <x:v>雾月水庭</x:v>
      </x:c>
      <x:c r="D260" s="102" t="n">
        <x:v>2</x:v>
      </x:c>
      <x:c r="E260" s="102" t="str">
        <x:v>地图BOSS</x:v>
      </x:c>
      <x:c r="F260" s="102" t="str">
        <x:v>雾冠巡庭侯</x:v>
      </x:c>
      <x:c r="G260" s="102" t="str">
        <x:v>雾冠巡庭刃</x:v>
      </x:c>
      <x:c r="H260" s="102" t="str">
        <x:v>武器</x:v>
      </x:c>
      <x:c r="I260" s="147" t="n">
        <x:v>200</x:v>
      </x:c>
      <x:c r="J260" s="102" t="str">
        <x:v>否（材料数量固定）</x:v>
      </x:c>
      <x:c r="K260" s="102" t="str">
        <x:v>仅手动分解；默认不勾选；二次确认</x:v>
      </x:c>
      <x:c r="L260" s="103" t="str">
        <x:v>一怪一专属；专属来源跟随本行准确地图号</x:v>
      </x:c>
    </x:row>
    <x:row r="261">
      <x:c r="A261" s="101" t="str">
        <x:v>C05</x:v>
      </x:c>
      <x:c r="B261" s="102" t="str">
        <x:v>湖之利耶尼亚</x:v>
      </x:c>
      <x:c r="C261" s="102" t="str">
        <x:v>雾月水庭</x:v>
      </x:c>
      <x:c r="D261" s="102" t="n">
        <x:v>3</x:v>
      </x:c>
      <x:c r="E261" s="102" t="str">
        <x:v>地图BOSS</x:v>
      </x:c>
      <x:c r="F261" s="102" t="str">
        <x:v>沉月镜池圣母</x:v>
      </x:c>
      <x:c r="G261" s="102" t="str">
        <x:v>沉月镜池华服</x:v>
      </x:c>
      <x:c r="H261" s="102" t="str">
        <x:v>衣服</x:v>
      </x:c>
      <x:c r="I261" s="147" t="n">
        <x:v>200</x:v>
      </x:c>
      <x:c r="J261" s="102" t="str">
        <x:v>否（材料数量固定）</x:v>
      </x:c>
      <x:c r="K261" s="102" t="str">
        <x:v>仅手动分解；默认不勾选；二次确认</x:v>
      </x:c>
      <x:c r="L261" s="103" t="str">
        <x:v>一怪一专属；专属来源跟随本行准确地图号</x:v>
      </x:c>
    </x:row>
    <x:row r="262">
      <x:c r="A262" s="101" t="str">
        <x:v>C05</x:v>
      </x:c>
      <x:c r="B262" s="102" t="str">
        <x:v>湖之利耶尼亚</x:v>
      </x:c>
      <x:c r="C262" s="102" t="str">
        <x:v>辉石遗迹</x:v>
      </x:c>
      <x:c r="D262" s="102" t="n">
        <x:v>1</x:v>
      </x:c>
      <x:c r="E262" s="102" t="str">
        <x:v>普通</x:v>
      </x:c>
      <x:c r="F262" s="102" t="str">
        <x:v>碎辉穴蜥</x:v>
      </x:c>
      <x:c r="G262" s="102" t="str">
        <x:v>碎辉鳞踏靴</x:v>
      </x:c>
      <x:c r="H262" s="102" t="str">
        <x:v>鞋子</x:v>
      </x:c>
      <x:c r="I262" s="147" t="n">
        <x:v>50</x:v>
      </x:c>
      <x:c r="J262" s="102" t="str">
        <x:v>否（材料数量固定）</x:v>
      </x:c>
      <x:c r="K262" s="102" t="str">
        <x:v>仅手动分解；默认不勾选；二次确认</x:v>
      </x:c>
      <x:c r="L262" s="103" t="str">
        <x:v>一怪一专属；专属来源跟随本行准确地图号</x:v>
      </x:c>
    </x:row>
    <x:row r="263">
      <x:c r="A263" s="101" t="str">
        <x:v>C05</x:v>
      </x:c>
      <x:c r="B263" s="102" t="str">
        <x:v>湖之利耶尼亚</x:v>
      </x:c>
      <x:c r="C263" s="102" t="str">
        <x:v>辉石遗迹</x:v>
      </x:c>
      <x:c r="D263" s="102" t="n">
        <x:v>1</x:v>
      </x:c>
      <x:c r="E263" s="102" t="str">
        <x:v>普通</x:v>
      </x:c>
      <x:c r="F263" s="102" t="str">
        <x:v>遗迹刻晶奴</x:v>
      </x:c>
      <x:c r="G263" s="102" t="str">
        <x:v>遗刻晶纹镯</x:v>
      </x:c>
      <x:c r="H263" s="102" t="str">
        <x:v>手镯</x:v>
      </x:c>
      <x:c r="I263" s="147" t="n">
        <x:v>50</x:v>
      </x:c>
      <x:c r="J263" s="102" t="str">
        <x:v>否（材料数量固定）</x:v>
      </x:c>
      <x:c r="K263" s="102" t="str">
        <x:v>仅手动分解；默认不勾选；二次确认</x:v>
      </x:c>
      <x:c r="L263" s="103" t="str">
        <x:v>一怪一专属；专属来源跟随本行准确地图号</x:v>
      </x:c>
    </x:row>
    <x:row r="264">
      <x:c r="A264" s="101" t="str">
        <x:v>C05</x:v>
      </x:c>
      <x:c r="B264" s="102" t="str">
        <x:v>湖之利耶尼亚</x:v>
      </x:c>
      <x:c r="C264" s="102" t="str">
        <x:v>辉石遗迹</x:v>
      </x:c>
      <x:c r="D264" s="102" t="n">
        <x:v>2</x:v>
      </x:c>
      <x:c r="E264" s="102" t="str">
        <x:v>普通</x:v>
      </x:c>
      <x:c r="F264" s="102" t="str">
        <x:v>晶廊折光蝶</x:v>
      </x:c>
      <x:c r="G264" s="102" t="str">
        <x:v>折光翅晶链</x:v>
      </x:c>
      <x:c r="H264" s="102" t="str">
        <x:v>项链</x:v>
      </x:c>
      <x:c r="I264" s="147" t="n">
        <x:v>50</x:v>
      </x:c>
      <x:c r="J264" s="102" t="str">
        <x:v>否（材料数量固定）</x:v>
      </x:c>
      <x:c r="K264" s="102" t="str">
        <x:v>仅手动分解；默认不勾选；二次确认</x:v>
      </x:c>
      <x:c r="L264" s="103" t="str">
        <x:v>一怪一专属；专属来源跟随本行准确地图号</x:v>
      </x:c>
    </x:row>
    <x:row r="265">
      <x:c r="A265" s="101" t="str">
        <x:v>C05</x:v>
      </x:c>
      <x:c r="B265" s="102" t="str">
        <x:v>湖之利耶尼亚</x:v>
      </x:c>
      <x:c r="C265" s="102" t="str">
        <x:v>辉石遗迹</x:v>
      </x:c>
      <x:c r="D265" s="102" t="n">
        <x:v>3</x:v>
      </x:c>
      <x:c r="E265" s="102" t="str">
        <x:v>普通</x:v>
      </x:c>
      <x:c r="F265" s="102" t="str">
        <x:v>前庭砾晶守卒</x:v>
      </x:c>
      <x:c r="G265" s="102" t="str">
        <x:v>砾晶护庭盾</x:v>
      </x:c>
      <x:c r="H265" s="102" t="str">
        <x:v>盾牌</x:v>
      </x:c>
      <x:c r="I265" s="147" t="n">
        <x:v>50</x:v>
      </x:c>
      <x:c r="J265" s="102" t="str">
        <x:v>否（材料数量固定）</x:v>
      </x:c>
      <x:c r="K265" s="102" t="str">
        <x:v>仅手动分解；默认不勾选；二次确认</x:v>
      </x:c>
      <x:c r="L265" s="103" t="str">
        <x:v>一怪一专属；专属来源跟随本行准确地图号</x:v>
      </x:c>
    </x:row>
    <x:row r="266">
      <x:c r="A266" s="101" t="str">
        <x:v>C05</x:v>
      </x:c>
      <x:c r="B266" s="102" t="str">
        <x:v>湖之利耶尼亚</x:v>
      </x:c>
      <x:c r="C266" s="102" t="str">
        <x:v>辉石遗迹</x:v>
      </x:c>
      <x:c r="D266" s="102" t="n">
        <x:v>4</x:v>
      </x:c>
      <x:c r="E266" s="102" t="str">
        <x:v>普通</x:v>
      </x:c>
      <x:c r="F266" s="102" t="str">
        <x:v>内院辉壳犬</x:v>
      </x:c>
      <x:c r="G266" s="102" t="str">
        <x:v>辉壳束腰</x:v>
      </x:c>
      <x:c r="H266" s="102" t="str">
        <x:v>腰带</x:v>
      </x:c>
      <x:c r="I266" s="147" t="n">
        <x:v>50</x:v>
      </x:c>
      <x:c r="J266" s="102" t="str">
        <x:v>否（材料数量固定）</x:v>
      </x:c>
      <x:c r="K266" s="102" t="str">
        <x:v>仅手动分解；默认不勾选；二次确认</x:v>
      </x:c>
      <x:c r="L266" s="103" t="str">
        <x:v>一怪一专属；专属来源跟随本行准确地图号</x:v>
      </x:c>
    </x:row>
    <x:row r="267">
      <x:c r="A267" s="101" t="str">
        <x:v>C05</x:v>
      </x:c>
      <x:c r="B267" s="102" t="str">
        <x:v>湖之利耶尼亚</x:v>
      </x:c>
      <x:c r="C267" s="102" t="str">
        <x:v>辉石遗迹</x:v>
      </x:c>
      <x:c r="D267" s="102" t="n">
        <x:v>5</x:v>
      </x:c>
      <x:c r="E267" s="102" t="str">
        <x:v>普通</x:v>
      </x:c>
      <x:c r="F267" s="102" t="str">
        <x:v>圣坛悬晶灵</x:v>
      </x:c>
      <x:c r="G267" s="102" t="str">
        <x:v>悬晶祭辉笠</x:v>
      </x:c>
      <x:c r="H267" s="102" t="str">
        <x:v>斗笠</x:v>
      </x:c>
      <x:c r="I267" s="147" t="n">
        <x:v>50</x:v>
      </x:c>
      <x:c r="J267" s="102" t="str">
        <x:v>否（材料数量固定）</x:v>
      </x:c>
      <x:c r="K267" s="102" t="str">
        <x:v>仅手动分解；默认不勾选；二次确认</x:v>
      </x:c>
      <x:c r="L267" s="103" t="str">
        <x:v>一怪一专属；专属来源跟随本行准确地图号</x:v>
      </x:c>
    </x:row>
    <x:row r="268">
      <x:c r="A268" s="101" t="str">
        <x:v>C05</x:v>
      </x:c>
      <x:c r="B268" s="102" t="str">
        <x:v>湖之利耶尼亚</x:v>
      </x:c>
      <x:c r="C268" s="102" t="str">
        <x:v>辉石遗迹</x:v>
      </x:c>
      <x:c r="D268" s="102" t="n">
        <x:v>1</x:v>
      </x:c>
      <x:c r="E268" s="102" t="str">
        <x:v>稀有</x:v>
      </x:c>
      <x:c r="F268" s="102" t="str">
        <x:v>青曜啮辉兽</x:v>
      </x:c>
      <x:c r="G268" s="102" t="str">
        <x:v>青曜噬光戒</x:v>
      </x:c>
      <x:c r="H268" s="102" t="str">
        <x:v>戒指</x:v>
      </x:c>
      <x:c r="I268" s="147" t="n">
        <x:v>100</x:v>
      </x:c>
      <x:c r="J268" s="102" t="str">
        <x:v>否（材料数量固定）</x:v>
      </x:c>
      <x:c r="K268" s="102" t="str">
        <x:v>仅手动分解；默认不勾选；二次确认</x:v>
      </x:c>
      <x:c r="L268" s="103" t="str">
        <x:v>一怪一专属；专属来源跟随本行准确地图号</x:v>
      </x:c>
    </x:row>
    <x:row r="269">
      <x:c r="A269" s="101" t="str">
        <x:v>C05</x:v>
      </x:c>
      <x:c r="B269" s="102" t="str">
        <x:v>湖之利耶尼亚</x:v>
      </x:c>
      <x:c r="C269" s="102" t="str">
        <x:v>辉石遗迹</x:v>
      </x:c>
      <x:c r="D269" s="102" t="n">
        <x:v>2</x:v>
      </x:c>
      <x:c r="E269" s="102" t="str">
        <x:v>稀有</x:v>
      </x:c>
      <x:c r="F269" s="102" t="str">
        <x:v>棱光长廊术士</x:v>
      </x:c>
      <x:c r="G269" s="102" t="str">
        <x:v>棱光术冠</x:v>
      </x:c>
      <x:c r="H269" s="102" t="str">
        <x:v>头盔</x:v>
      </x:c>
      <x:c r="I269" s="147" t="n">
        <x:v>100</x:v>
      </x:c>
      <x:c r="J269" s="102" t="str">
        <x:v>否（材料数量固定）</x:v>
      </x:c>
      <x:c r="K269" s="102" t="str">
        <x:v>仅手动分解；默认不勾选；二次确认</x:v>
      </x:c>
      <x:c r="L269" s="103" t="str">
        <x:v>一怪一专属；专属来源跟随本行准确地图号</x:v>
      </x:c>
    </x:row>
    <x:row r="270">
      <x:c r="A270" s="101" t="str">
        <x:v>C05</x:v>
      </x:c>
      <x:c r="B270" s="102" t="str">
        <x:v>湖之利耶尼亚</x:v>
      </x:c>
      <x:c r="C270" s="102" t="str">
        <x:v>辉石遗迹</x:v>
      </x:c>
      <x:c r="D270" s="102" t="n">
        <x:v>3</x:v>
      </x:c>
      <x:c r="E270" s="102" t="str">
        <x:v>稀有</x:v>
      </x:c>
      <x:c r="F270" s="102" t="str">
        <x:v>学院前庭晶戟卫</x:v>
      </x:c>
      <x:c r="G270" s="102" t="str">
        <x:v>前庭晶戟勋</x:v>
      </x:c>
      <x:c r="H270" s="102" t="str">
        <x:v>勋章</x:v>
      </x:c>
      <x:c r="I270" s="147" t="n">
        <x:v>100</x:v>
      </x:c>
      <x:c r="J270" s="102" t="str">
        <x:v>否（材料数量固定）</x:v>
      </x:c>
      <x:c r="K270" s="102" t="str">
        <x:v>仅手动分解；默认不勾选；二次确认</x:v>
      </x:c>
      <x:c r="L270" s="103" t="str">
        <x:v>一怪一专属；专属来源跟随本行准确地图号</x:v>
      </x:c>
    </x:row>
    <x:row r="271">
      <x:c r="A271" s="101" t="str">
        <x:v>C05</x:v>
      </x:c>
      <x:c r="B271" s="102" t="str">
        <x:v>湖之利耶尼亚</x:v>
      </x:c>
      <x:c r="C271" s="102" t="str">
        <x:v>辉石遗迹</x:v>
      </x:c>
      <x:c r="D271" s="102" t="n">
        <x:v>4</x:v>
      </x:c>
      <x:c r="E271" s="102" t="str">
        <x:v>稀有</x:v>
      </x:c>
      <x:c r="F271" s="102" t="str">
        <x:v>内院辉核铸像</x:v>
      </x:c>
      <x:c r="G271" s="102" t="str">
        <x:v>辉核铸像衣</x:v>
      </x:c>
      <x:c r="H271" s="102" t="str">
        <x:v>衣服</x:v>
      </x:c>
      <x:c r="I271" s="147" t="n">
        <x:v>100</x:v>
      </x:c>
      <x:c r="J271" s="102" t="str">
        <x:v>否（材料数量固定）</x:v>
      </x:c>
      <x:c r="K271" s="102" t="str">
        <x:v>仅手动分解；默认不勾选；二次确认</x:v>
      </x:c>
      <x:c r="L271" s="103" t="str">
        <x:v>一怪一专属；专属来源跟随本行准确地图号</x:v>
      </x:c>
    </x:row>
    <x:row r="272">
      <x:c r="A272" s="101" t="str">
        <x:v>C05</x:v>
      </x:c>
      <x:c r="B272" s="102" t="str">
        <x:v>湖之利耶尼亚</x:v>
      </x:c>
      <x:c r="C272" s="102" t="str">
        <x:v>辉石遗迹</x:v>
      </x:c>
      <x:c r="D272" s="102" t="n">
        <x:v>4</x:v>
      </x:c>
      <x:c r="E272" s="102" t="str">
        <x:v>地图BOSS</x:v>
      </x:c>
      <x:c r="F272" s="102" t="str">
        <x:v>裂辉古院监</x:v>
      </x:c>
      <x:c r="G272" s="102" t="str">
        <x:v>裂辉监院长戟</x:v>
      </x:c>
      <x:c r="H272" s="102" t="str">
        <x:v>武器</x:v>
      </x:c>
      <x:c r="I272" s="147" t="n">
        <x:v>200</x:v>
      </x:c>
      <x:c r="J272" s="102" t="str">
        <x:v>否（材料数量固定）</x:v>
      </x:c>
      <x:c r="K272" s="102" t="str">
        <x:v>仅手动分解；默认不勾选；二次确认</x:v>
      </x:c>
      <x:c r="L272" s="103" t="str">
        <x:v>一怪一专属；专属来源跟随本行准确地图号</x:v>
      </x:c>
    </x:row>
    <x:row r="273">
      <x:c r="A273" s="101" t="str">
        <x:v>C05</x:v>
      </x:c>
      <x:c r="B273" s="102" t="str">
        <x:v>湖之利耶尼亚</x:v>
      </x:c>
      <x:c r="C273" s="102" t="str">
        <x:v>辉石遗迹</x:v>
      </x:c>
      <x:c r="D273" s="102" t="n">
        <x:v>5</x:v>
      </x:c>
      <x:c r="E273" s="102" t="str">
        <x:v>地图BOSS</x:v>
      </x:c>
      <x:c r="F273" s="102" t="str">
        <x:v>万棱圣坛龙蜥</x:v>
      </x:c>
      <x:c r="G273" s="102" t="str">
        <x:v>万棱圣坛鳞衣</x:v>
      </x:c>
      <x:c r="H273" s="102" t="str">
        <x:v>衣服</x:v>
      </x:c>
      <x:c r="I273" s="147" t="n">
        <x:v>200</x:v>
      </x:c>
      <x:c r="J273" s="102" t="str">
        <x:v>否（材料数量固定）</x:v>
      </x:c>
      <x:c r="K273" s="102" t="str">
        <x:v>仅手动分解；默认不勾选；二次确认</x:v>
      </x:c>
      <x:c r="L273" s="103" t="str">
        <x:v>一怪一专属；专属来源跟随本行准确地图号</x:v>
      </x:c>
    </x:row>
    <x:row r="274">
      <x:c r="A274" s="101" t="str">
        <x:v>C05</x:v>
      </x:c>
      <x:c r="B274" s="102" t="str">
        <x:v>湖之利耶尼亚</x:v>
      </x:c>
      <x:c r="C274" s="102" t="str">
        <x:v>学院回廊</x:v>
      </x:c>
      <x:c r="D274" s="102" t="n">
        <x:v>1</x:v>
      </x:c>
      <x:c r="E274" s="102" t="str">
        <x:v>普通</x:v>
      </x:c>
      <x:c r="F274" s="102" t="str">
        <x:v>墨羽抄录仆</x:v>
      </x:c>
      <x:c r="G274" s="102" t="str">
        <x:v>墨羽校录笠</x:v>
      </x:c>
      <x:c r="H274" s="102" t="str">
        <x:v>斗笠</x:v>
      </x:c>
      <x:c r="I274" s="147" t="n">
        <x:v>50</x:v>
      </x:c>
      <x:c r="J274" s="102" t="str">
        <x:v>否（材料数量固定）</x:v>
      </x:c>
      <x:c r="K274" s="102" t="str">
        <x:v>仅手动分解；默认不勾选；二次确认</x:v>
      </x:c>
      <x:c r="L274" s="103" t="str">
        <x:v>一怪一专属；专属来源跟随本行准确地图号</x:v>
      </x:c>
    </x:row>
    <x:row r="275">
      <x:c r="A275" s="101" t="str">
        <x:v>C05</x:v>
      </x:c>
      <x:c r="B275" s="102" t="str">
        <x:v>湖之利耶尼亚</x:v>
      </x:c>
      <x:c r="C275" s="102" t="str">
        <x:v>学院回廊</x:v>
      </x:c>
      <x:c r="D275" s="102" t="n">
        <x:v>1</x:v>
      </x:c>
      <x:c r="E275" s="102" t="str">
        <x:v>普通</x:v>
      </x:c>
      <x:c r="F275" s="102" t="str">
        <x:v>回廊试术生</x:v>
      </x:c>
      <x:c r="G275" s="102" t="str">
        <x:v>试术银规镯</x:v>
      </x:c>
      <x:c r="H275" s="102" t="str">
        <x:v>手镯</x:v>
      </x:c>
      <x:c r="I275" s="147" t="n">
        <x:v>50</x:v>
      </x:c>
      <x:c r="J275" s="102" t="str">
        <x:v>否（材料数量固定）</x:v>
      </x:c>
      <x:c r="K275" s="102" t="str">
        <x:v>仅手动分解；默认不勾选；二次确认</x:v>
      </x:c>
      <x:c r="L275" s="103" t="str">
        <x:v>一怪一专属；专属来源跟随本行准确地图号</x:v>
      </x:c>
    </x:row>
    <x:row r="276">
      <x:c r="A276" s="101" t="str">
        <x:v>C05</x:v>
      </x:c>
      <x:c r="B276" s="102" t="str">
        <x:v>湖之利耶尼亚</x:v>
      </x:c>
      <x:c r="C276" s="102" t="str">
        <x:v>学院回廊</x:v>
      </x:c>
      <x:c r="D276" s="102" t="n">
        <x:v>2</x:v>
      </x:c>
      <x:c r="E276" s="102" t="str">
        <x:v>普通</x:v>
      </x:c>
      <x:c r="F276" s="102" t="str">
        <x:v>封印粉笔灵</x:v>
      </x:c>
      <x:c r="G276" s="102" t="str">
        <x:v>缄印粉屑戒</x:v>
      </x:c>
      <x:c r="H276" s="102" t="str">
        <x:v>戒指</x:v>
      </x:c>
      <x:c r="I276" s="147" t="n">
        <x:v>50</x:v>
      </x:c>
      <x:c r="J276" s="102" t="str">
        <x:v>否（材料数量固定）</x:v>
      </x:c>
      <x:c r="K276" s="102" t="str">
        <x:v>仅手动分解；默认不勾选；二次确认</x:v>
      </x:c>
      <x:c r="L276" s="103" t="str">
        <x:v>一怪一专属；专属来源跟随本行准确地图号</x:v>
      </x:c>
    </x:row>
    <x:row r="277">
      <x:c r="A277" s="101" t="str">
        <x:v>C05</x:v>
      </x:c>
      <x:c r="B277" s="102" t="str">
        <x:v>湖之利耶尼亚</x:v>
      </x:c>
      <x:c r="C277" s="102" t="str">
        <x:v>学院回廊</x:v>
      </x:c>
      <x:c r="D277" s="102" t="n">
        <x:v>2</x:v>
      </x:c>
      <x:c r="E277" s="102" t="str">
        <x:v>普通</x:v>
      </x:c>
      <x:c r="F277" s="102" t="str">
        <x:v>讲堂缄咒像</x:v>
      </x:c>
      <x:c r="G277" s="102" t="str">
        <x:v>缄咒讲台盾</x:v>
      </x:c>
      <x:c r="H277" s="102" t="str">
        <x:v>盾牌</x:v>
      </x:c>
      <x:c r="I277" s="147" t="n">
        <x:v>50</x:v>
      </x:c>
      <x:c r="J277" s="102" t="str">
        <x:v>否（材料数量固定）</x:v>
      </x:c>
      <x:c r="K277" s="102" t="str">
        <x:v>仅手动分解；默认不勾选；二次确认</x:v>
      </x:c>
      <x:c r="L277" s="103" t="str">
        <x:v>一怪一专属；专属来源跟随本行准确地图号</x:v>
      </x:c>
    </x:row>
    <x:row r="278">
      <x:c r="A278" s="101" t="str">
        <x:v>C05</x:v>
      </x:c>
      <x:c r="B278" s="102" t="str">
        <x:v>湖之利耶尼亚</x:v>
      </x:c>
      <x:c r="C278" s="102" t="str">
        <x:v>学院回廊</x:v>
      </x:c>
      <x:c r="D278" s="102" t="n">
        <x:v>3</x:v>
      </x:c>
      <x:c r="E278" s="102" t="str">
        <x:v>普通</x:v>
      </x:c>
      <x:c r="F278" s="102" t="str">
        <x:v>密室卷轴蠹</x:v>
      </x:c>
      <x:c r="G278" s="102" t="str">
        <x:v>卷蠹轻步履</x:v>
      </x:c>
      <x:c r="H278" s="102" t="str">
        <x:v>鞋子</x:v>
      </x:c>
      <x:c r="I278" s="147" t="n">
        <x:v>50</x:v>
      </x:c>
      <x:c r="J278" s="102" t="str">
        <x:v>否（材料数量固定）</x:v>
      </x:c>
      <x:c r="K278" s="102" t="str">
        <x:v>仅手动分解；默认不勾选；二次确认</x:v>
      </x:c>
      <x:c r="L278" s="103" t="str">
        <x:v>一怪一专属；专属来源跟随本行准确地图号</x:v>
      </x:c>
    </x:row>
    <x:row r="279">
      <x:c r="A279" s="101" t="str">
        <x:v>C05</x:v>
      </x:c>
      <x:c r="B279" s="102" t="str">
        <x:v>湖之利耶尼亚</x:v>
      </x:c>
      <x:c r="C279" s="102" t="str">
        <x:v>学院回廊</x:v>
      </x:c>
      <x:c r="D279" s="102" t="n">
        <x:v>3</x:v>
      </x:c>
      <x:c r="E279" s="102" t="str">
        <x:v>普通</x:v>
      </x:c>
      <x:c r="F279" s="102" t="str">
        <x:v>学院锁页卫</x:v>
      </x:c>
      <x:c r="G279" s="102" t="str">
        <x:v>锁页秘文链</x:v>
      </x:c>
      <x:c r="H279" s="102" t="str">
        <x:v>项链</x:v>
      </x:c>
      <x:c r="I279" s="147" t="n">
        <x:v>50</x:v>
      </x:c>
      <x:c r="J279" s="102" t="str">
        <x:v>否（材料数量固定）</x:v>
      </x:c>
      <x:c r="K279" s="102" t="str">
        <x:v>仅手动分解；默认不勾选；二次确认</x:v>
      </x:c>
      <x:c r="L279" s="103" t="str">
        <x:v>一怪一专属；专属来源跟随本行准确地图号</x:v>
      </x:c>
    </x:row>
    <x:row r="280">
      <x:c r="A280" s="101" t="str">
        <x:v>C05</x:v>
      </x:c>
      <x:c r="B280" s="102" t="str">
        <x:v>湖之利耶尼亚</x:v>
      </x:c>
      <x:c r="C280" s="102" t="str">
        <x:v>学院回廊</x:v>
      </x:c>
      <x:c r="D280" s="102" t="n">
        <x:v>1</x:v>
      </x:c>
      <x:c r="E280" s="102" t="str">
        <x:v>稀有</x:v>
      </x:c>
      <x:c r="F280" s="102" t="str">
        <x:v>银规巡课官</x:v>
      </x:c>
      <x:c r="G280" s="102" t="str">
        <x:v>银规巡课束带</x:v>
      </x:c>
      <x:c r="H280" s="102" t="str">
        <x:v>腰带</x:v>
      </x:c>
      <x:c r="I280" s="147" t="n">
        <x:v>100</x:v>
      </x:c>
      <x:c r="J280" s="102" t="str">
        <x:v>否（材料数量固定）</x:v>
      </x:c>
      <x:c r="K280" s="102" t="str">
        <x:v>仅手动分解；默认不勾选；二次确认</x:v>
      </x:c>
      <x:c r="L280" s="103" t="str">
        <x:v>一怪一专属；专属来源跟随本行准确地图号</x:v>
      </x:c>
    </x:row>
    <x:row r="281">
      <x:c r="A281" s="101" t="str">
        <x:v>C05</x:v>
      </x:c>
      <x:c r="B281" s="102" t="str">
        <x:v>湖之利耶尼亚</x:v>
      </x:c>
      <x:c r="C281" s="102" t="str">
        <x:v>学院回廊</x:v>
      </x:c>
      <x:c r="D281" s="102" t="n">
        <x:v>2</x:v>
      </x:c>
      <x:c r="E281" s="102" t="str">
        <x:v>稀有</x:v>
      </x:c>
      <x:c r="F281" s="102" t="str">
        <x:v>封讲禁声师</x:v>
      </x:c>
      <x:c r="G281" s="102" t="str">
        <x:v>禁声讲师冠</x:v>
      </x:c>
      <x:c r="H281" s="102" t="str">
        <x:v>头盔</x:v>
      </x:c>
      <x:c r="I281" s="147" t="n">
        <x:v>100</x:v>
      </x:c>
      <x:c r="J281" s="102" t="str">
        <x:v>否（材料数量固定）</x:v>
      </x:c>
      <x:c r="K281" s="102" t="str">
        <x:v>仅手动分解；默认不勾选；二次确认</x:v>
      </x:c>
      <x:c r="L281" s="103" t="str">
        <x:v>一怪一专属；专属来源跟随本行准确地图号</x:v>
      </x:c>
    </x:row>
    <x:row r="282">
      <x:c r="A282" s="101" t="str">
        <x:v>C05</x:v>
      </x:c>
      <x:c r="B282" s="102" t="str">
        <x:v>湖之利耶尼亚</x:v>
      </x:c>
      <x:c r="C282" s="102" t="str">
        <x:v>学院回廊</x:v>
      </x:c>
      <x:c r="D282" s="102" t="n">
        <x:v>3</x:v>
      </x:c>
      <x:c r="E282" s="102" t="str">
        <x:v>稀有</x:v>
      </x:c>
      <x:c r="F282" s="102" t="str">
        <x:v>密室倒书客</x:v>
      </x:c>
      <x:c r="G282" s="102" t="str">
        <x:v>倒书客勋章</x:v>
      </x:c>
      <x:c r="H282" s="102" t="str">
        <x:v>勋章</x:v>
      </x:c>
      <x:c r="I282" s="147" t="n">
        <x:v>100</x:v>
      </x:c>
      <x:c r="J282" s="102" t="str">
        <x:v>否（材料数量固定）</x:v>
      </x:c>
      <x:c r="K282" s="102" t="str">
        <x:v>仅手动分解；默认不勾选；二次确认</x:v>
      </x:c>
      <x:c r="L282" s="103" t="str">
        <x:v>一怪一专属；专属来源跟随本行准确地图号</x:v>
      </x:c>
    </x:row>
    <x:row r="283">
      <x:c r="A283" s="101" t="str">
        <x:v>C05</x:v>
      </x:c>
      <x:c r="B283" s="102" t="str">
        <x:v>湖之利耶尼亚</x:v>
      </x:c>
      <x:c r="C283" s="102" t="str">
        <x:v>学院回廊</x:v>
      </x:c>
      <x:c r="D283" s="102" t="n">
        <x:v>3</x:v>
      </x:c>
      <x:c r="E283" s="102" t="str">
        <x:v>稀有</x:v>
      </x:c>
      <x:c r="F283" s="102" t="str">
        <x:v>星墨活页兽</x:v>
      </x:c>
      <x:c r="G283" s="102" t="str">
        <x:v>星墨活页袍</x:v>
      </x:c>
      <x:c r="H283" s="102" t="str">
        <x:v>衣服</x:v>
      </x:c>
      <x:c r="I283" s="147" t="n">
        <x:v>100</x:v>
      </x:c>
      <x:c r="J283" s="102" t="str">
        <x:v>否（材料数量固定）</x:v>
      </x:c>
      <x:c r="K283" s="102" t="str">
        <x:v>仅手动分解；默认不勾选；二次确认</x:v>
      </x:c>
      <x:c r="L283" s="103" t="str">
        <x:v>一怪一专属；专属来源跟随本行准确地图号</x:v>
      </x:c>
    </x:row>
    <x:row r="284">
      <x:c r="A284" s="101" t="str">
        <x:v>C05</x:v>
      </x:c>
      <x:c r="B284" s="102" t="str">
        <x:v>湖之利耶尼亚</x:v>
      </x:c>
      <x:c r="C284" s="102" t="str">
        <x:v>学院回廊</x:v>
      </x:c>
      <x:c r="D284" s="102" t="n">
        <x:v>2</x:v>
      </x:c>
      <x:c r="E284" s="102" t="str">
        <x:v>地图BOSS</x:v>
      </x:c>
      <x:c r="F284" s="102" t="str">
        <x:v>七印讲堂监</x:v>
      </x:c>
      <x:c r="G284" s="102" t="str">
        <x:v>七印讲堂法杖</x:v>
      </x:c>
      <x:c r="H284" s="102" t="str">
        <x:v>武器</x:v>
      </x:c>
      <x:c r="I284" s="147" t="n">
        <x:v>200</x:v>
      </x:c>
      <x:c r="J284" s="102" t="str">
        <x:v>否（材料数量固定）</x:v>
      </x:c>
      <x:c r="K284" s="102" t="str">
        <x:v>仅手动分解；默认不勾选；二次确认</x:v>
      </x:c>
      <x:c r="L284" s="103" t="str">
        <x:v>一怪一专属；专属来源跟随本行准确地图号</x:v>
      </x:c>
    </x:row>
    <x:row r="285">
      <x:c r="A285" s="101" t="str">
        <x:v>C05</x:v>
      </x:c>
      <x:c r="B285" s="102" t="str">
        <x:v>湖之利耶尼亚</x:v>
      </x:c>
      <x:c r="C285" s="102" t="str">
        <x:v>学院回廊</x:v>
      </x:c>
      <x:c r="D285" s="102" t="n">
        <x:v>3</x:v>
      </x:c>
      <x:c r="E285" s="102" t="str">
        <x:v>地图BOSS</x:v>
      </x:c>
      <x:c r="F285" s="102" t="str">
        <x:v>逆页密室导师</x:v>
      </x:c>
      <x:c r="G285" s="102" t="str">
        <x:v>逆页导师长衣</x:v>
      </x:c>
      <x:c r="H285" s="102" t="str">
        <x:v>衣服</x:v>
      </x:c>
      <x:c r="I285" s="147" t="n">
        <x:v>200</x:v>
      </x:c>
      <x:c r="J285" s="102" t="str">
        <x:v>否（材料数量固定）</x:v>
      </x:c>
      <x:c r="K285" s="102" t="str">
        <x:v>仅手动分解；默认不勾选；二次确认</x:v>
      </x:c>
      <x:c r="L285" s="103" t="str">
        <x:v>一怪一专属；专属来源跟随本行准确地图号</x:v>
      </x:c>
    </x:row>
    <x:row r="286">
      <x:c r="A286" s="101" t="str">
        <x:v>C05</x:v>
      </x:c>
      <x:c r="B286" s="102" t="str">
        <x:v>湖之利耶尼亚</x:v>
      </x:c>
      <x:c r="C286" s="102" t="str">
        <x:v>满月书库</x:v>
      </x:c>
      <x:c r="D286" s="102" t="n">
        <x:v>1</x:v>
      </x:c>
      <x:c r="E286" s="102" t="str">
        <x:v>普通</x:v>
      </x:c>
      <x:c r="F286" s="102" t="str">
        <x:v>月尘理卷童</x:v>
      </x:c>
      <x:c r="G286" s="102" t="str">
        <x:v>月尘理卷履</x:v>
      </x:c>
      <x:c r="H286" s="102" t="str">
        <x:v>鞋子</x:v>
      </x:c>
      <x:c r="I286" s="147" t="n">
        <x:v>50</x:v>
      </x:c>
      <x:c r="J286" s="102" t="str">
        <x:v>否（材料数量固定）</x:v>
      </x:c>
      <x:c r="K286" s="102" t="str">
        <x:v>仅手动分解；默认不勾选；二次确认</x:v>
      </x:c>
      <x:c r="L286" s="103" t="str">
        <x:v>一怪一专属；专属来源跟随本行准确地图号</x:v>
      </x:c>
    </x:row>
    <x:row r="287">
      <x:c r="A287" s="101" t="str">
        <x:v>C05</x:v>
      </x:c>
      <x:c r="B287" s="102" t="str">
        <x:v>湖之利耶尼亚</x:v>
      </x:c>
      <x:c r="C287" s="102" t="str">
        <x:v>满月书库</x:v>
      </x:c>
      <x:c r="D287" s="102" t="n">
        <x:v>1</x:v>
      </x:c>
      <x:c r="E287" s="102" t="str">
        <x:v>普通</x:v>
      </x:c>
      <x:c r="F287" s="102" t="str">
        <x:v>银页栖书鸦</x:v>
      </x:c>
      <x:c r="G287" s="102" t="str">
        <x:v>银页书鸦笠</x:v>
      </x:c>
      <x:c r="H287" s="102" t="str">
        <x:v>斗笠</x:v>
      </x:c>
      <x:c r="I287" s="147" t="n">
        <x:v>50</x:v>
      </x:c>
      <x:c r="J287" s="102" t="str">
        <x:v>否（材料数量固定）</x:v>
      </x:c>
      <x:c r="K287" s="102" t="str">
        <x:v>仅手动分解；默认不勾选；二次确认</x:v>
      </x:c>
      <x:c r="L287" s="103" t="str">
        <x:v>一怪一专属；专属来源跟随本行准确地图号</x:v>
      </x:c>
    </x:row>
    <x:row r="288">
      <x:c r="A288" s="101" t="str">
        <x:v>C05</x:v>
      </x:c>
      <x:c r="B288" s="102" t="str">
        <x:v>湖之利耶尼亚</x:v>
      </x:c>
      <x:c r="C288" s="102" t="str">
        <x:v>满月书库</x:v>
      </x:c>
      <x:c r="D288" s="102" t="n">
        <x:v>2</x:v>
      </x:c>
      <x:c r="E288" s="102" t="str">
        <x:v>普通</x:v>
      </x:c>
      <x:c r="F288" s="102" t="str">
        <x:v>禁书噤语灯</x:v>
      </x:c>
      <x:c r="G288" s="102" t="str">
        <x:v>噤语灯芯坠</x:v>
      </x:c>
      <x:c r="H288" s="102" t="str">
        <x:v>项链</x:v>
      </x:c>
      <x:c r="I288" s="147" t="n">
        <x:v>50</x:v>
      </x:c>
      <x:c r="J288" s="102" t="str">
        <x:v>否（材料数量固定）</x:v>
      </x:c>
      <x:c r="K288" s="102" t="str">
        <x:v>仅手动分解；默认不勾选；二次确认</x:v>
      </x:c>
      <x:c r="L288" s="103" t="str">
        <x:v>一怪一专属；专属来源跟随本行准确地图号</x:v>
      </x:c>
    </x:row>
    <x:row r="289">
      <x:c r="A289" s="101" t="str">
        <x:v>C05</x:v>
      </x:c>
      <x:c r="B289" s="102" t="str">
        <x:v>湖之利耶尼亚</x:v>
      </x:c>
      <x:c r="C289" s="102" t="str">
        <x:v>满月书库</x:v>
      </x:c>
      <x:c r="D289" s="102" t="n">
        <x:v>2</x:v>
      </x:c>
      <x:c r="E289" s="102" t="str">
        <x:v>普通</x:v>
      </x:c>
      <x:c r="F289" s="102" t="str">
        <x:v>回廊巡卷傀</x:v>
      </x:c>
      <x:c r="G289" s="102" t="str">
        <x:v>巡卷傀书盾</x:v>
      </x:c>
      <x:c r="H289" s="102" t="str">
        <x:v>盾牌</x:v>
      </x:c>
      <x:c r="I289" s="147" t="n">
        <x:v>50</x:v>
      </x:c>
      <x:c r="J289" s="102" t="str">
        <x:v>否（材料数量固定）</x:v>
      </x:c>
      <x:c r="K289" s="102" t="str">
        <x:v>仅手动分解；默认不勾选；二次确认</x:v>
      </x:c>
      <x:c r="L289" s="103" t="str">
        <x:v>一怪一专属；专属来源跟随本行准确地图号</x:v>
      </x:c>
    </x:row>
    <x:row r="290">
      <x:c r="A290" s="101" t="str">
        <x:v>C05</x:v>
      </x:c>
      <x:c r="B290" s="102" t="str">
        <x:v>湖之利耶尼亚</x:v>
      </x:c>
      <x:c r="C290" s="102" t="str">
        <x:v>满月书库</x:v>
      </x:c>
      <x:c r="D290" s="102" t="n">
        <x:v>3</x:v>
      </x:c>
      <x:c r="E290" s="102" t="str">
        <x:v>普通</x:v>
      </x:c>
      <x:c r="F290" s="102" t="str">
        <x:v>藏书室墨潮蛭</x:v>
      </x:c>
      <x:c r="G290" s="102" t="str">
        <x:v>墨潮藏页镯</x:v>
      </x:c>
      <x:c r="H290" s="102" t="str">
        <x:v>手镯</x:v>
      </x:c>
      <x:c r="I290" s="147" t="n">
        <x:v>50</x:v>
      </x:c>
      <x:c r="J290" s="102" t="str">
        <x:v>否（材料数量固定）</x:v>
      </x:c>
      <x:c r="K290" s="102" t="str">
        <x:v>仅手动分解；默认不勾选；二次确认</x:v>
      </x:c>
      <x:c r="L290" s="103" t="str">
        <x:v>一怪一专属；专属来源跟随本行准确地图号</x:v>
      </x:c>
    </x:row>
    <x:row r="291">
      <x:c r="A291" s="101" t="str">
        <x:v>C05</x:v>
      </x:c>
      <x:c r="B291" s="102" t="str">
        <x:v>湖之利耶尼亚</x:v>
      </x:c>
      <x:c r="C291" s="102" t="str">
        <x:v>满月书库</x:v>
      </x:c>
      <x:c r="D291" s="102" t="n">
        <x:v>3</x:v>
      </x:c>
      <x:c r="E291" s="102" t="str">
        <x:v>普通</x:v>
      </x:c>
      <x:c r="F291" s="102" t="str">
        <x:v>满月夹页灵</x:v>
      </x:c>
      <x:c r="G291" s="102" t="str">
        <x:v>夹页月痕戒</x:v>
      </x:c>
      <x:c r="H291" s="102" t="str">
        <x:v>戒指</x:v>
      </x:c>
      <x:c r="I291" s="147" t="n">
        <x:v>50</x:v>
      </x:c>
      <x:c r="J291" s="102" t="str">
        <x:v>否（材料数量固定）</x:v>
      </x:c>
      <x:c r="K291" s="102" t="str">
        <x:v>仅手动分解；默认不勾选；二次确认</x:v>
      </x:c>
      <x:c r="L291" s="103" t="str">
        <x:v>一怪一专属；专属来源跟随本行准确地图号</x:v>
      </x:c>
    </x:row>
    <x:row r="292">
      <x:c r="A292" s="101" t="str">
        <x:v>C05</x:v>
      </x:c>
      <x:c r="B292" s="102" t="str">
        <x:v>湖之利耶尼亚</x:v>
      </x:c>
      <x:c r="C292" s="102" t="str">
        <x:v>满月书库</x:v>
      </x:c>
      <x:c r="D292" s="102" t="n">
        <x:v>1</x:v>
      </x:c>
      <x:c r="E292" s="102" t="str">
        <x:v>稀有</x:v>
      </x:c>
      <x:c r="F292" s="102" t="str">
        <x:v>月相编目师</x:v>
      </x:c>
      <x:c r="G292" s="102" t="str">
        <x:v>月相编目束带</x:v>
      </x:c>
      <x:c r="H292" s="102" t="str">
        <x:v>腰带</x:v>
      </x:c>
      <x:c r="I292" s="147" t="n">
        <x:v>100</x:v>
      </x:c>
      <x:c r="J292" s="102" t="str">
        <x:v>否（材料数量固定）</x:v>
      </x:c>
      <x:c r="K292" s="102" t="str">
        <x:v>仅手动分解；默认不勾选；二次确认</x:v>
      </x:c>
      <x:c r="L292" s="103" t="str">
        <x:v>一怪一专属；专属来源跟随本行准确地图号</x:v>
      </x:c>
    </x:row>
    <x:row r="293">
      <x:c r="A293" s="101" t="str">
        <x:v>C05</x:v>
      </x:c>
      <x:c r="B293" s="102" t="str">
        <x:v>湖之利耶尼亚</x:v>
      </x:c>
      <x:c r="C293" s="102" t="str">
        <x:v>满月书库</x:v>
      </x:c>
      <x:c r="D293" s="102" t="n">
        <x:v>2</x:v>
      </x:c>
      <x:c r="E293" s="102" t="str">
        <x:v>稀有</x:v>
      </x:c>
      <x:c r="F293" s="102" t="str">
        <x:v>禁页蚀字兽</x:v>
      </x:c>
      <x:c r="G293" s="102" t="str">
        <x:v>禁页蚀字冠</x:v>
      </x:c>
      <x:c r="H293" s="102" t="str">
        <x:v>头盔</x:v>
      </x:c>
      <x:c r="I293" s="147" t="n">
        <x:v>100</x:v>
      </x:c>
      <x:c r="J293" s="102" t="str">
        <x:v>否（材料数量固定）</x:v>
      </x:c>
      <x:c r="K293" s="102" t="str">
        <x:v>仅手动分解；默认不勾选；二次确认</x:v>
      </x:c>
      <x:c r="L293" s="103" t="str">
        <x:v>一怪一专属；专属来源跟随本行准确地图号</x:v>
      </x:c>
    </x:row>
    <x:row r="294">
      <x:c r="A294" s="101" t="str">
        <x:v>C05</x:v>
      </x:c>
      <x:c r="B294" s="102" t="str">
        <x:v>湖之利耶尼亚</x:v>
      </x:c>
      <x:c r="C294" s="102" t="str">
        <x:v>满月书库</x:v>
      </x:c>
      <x:c r="D294" s="102" t="n">
        <x:v>3</x:v>
      </x:c>
      <x:c r="E294" s="102" t="str">
        <x:v>稀有</x:v>
      </x:c>
      <x:c r="F294" s="102" t="str">
        <x:v>藏卷沉思者</x:v>
      </x:c>
      <x:c r="G294" s="102" t="str">
        <x:v>藏卷沉思章</x:v>
      </x:c>
      <x:c r="H294" s="102" t="str">
        <x:v>勋章</x:v>
      </x:c>
      <x:c r="I294" s="147" t="n">
        <x:v>100</x:v>
      </x:c>
      <x:c r="J294" s="102" t="str">
        <x:v>否（材料数量固定）</x:v>
      </x:c>
      <x:c r="K294" s="102" t="str">
        <x:v>仅手动分解；默认不勾选；二次确认</x:v>
      </x:c>
      <x:c r="L294" s="103" t="str">
        <x:v>一怪一专属；专属来源跟随本行准确地图号</x:v>
      </x:c>
    </x:row>
    <x:row r="295">
      <x:c r="A295" s="101" t="str">
        <x:v>C05</x:v>
      </x:c>
      <x:c r="B295" s="102" t="str">
        <x:v>湖之利耶尼亚</x:v>
      </x:c>
      <x:c r="C295" s="102" t="str">
        <x:v>满月书库</x:v>
      </x:c>
      <x:c r="D295" s="102" t="n">
        <x:v>1</x:v>
      </x:c>
      <x:c r="E295" s="102" t="str">
        <x:v>稀有</x:v>
      </x:c>
      <x:c r="F295" s="102" t="str">
        <x:v>银书长尾猫</x:v>
      </x:c>
      <x:c r="G295" s="102" t="str">
        <x:v>银书尾翎袍</x:v>
      </x:c>
      <x:c r="H295" s="102" t="str">
        <x:v>衣服</x:v>
      </x:c>
      <x:c r="I295" s="147" t="n">
        <x:v>100</x:v>
      </x:c>
      <x:c r="J295" s="102" t="str">
        <x:v>否（材料数量固定）</x:v>
      </x:c>
      <x:c r="K295" s="102" t="str">
        <x:v>仅手动分解；默认不勾选；二次确认</x:v>
      </x:c>
      <x:c r="L295" s="103" t="str">
        <x:v>一怪一专属；专属来源跟随本行准确地图号</x:v>
      </x:c>
    </x:row>
    <x:row r="296">
      <x:c r="A296" s="101" t="str">
        <x:v>C05</x:v>
      </x:c>
      <x:c r="B296" s="102" t="str">
        <x:v>湖之利耶尼亚</x:v>
      </x:c>
      <x:c r="C296" s="102" t="str">
        <x:v>满月书库</x:v>
      </x:c>
      <x:c r="D296" s="102" t="n">
        <x:v>2</x:v>
      </x:c>
      <x:c r="E296" s="102" t="str">
        <x:v>地图BOSS</x:v>
      </x:c>
      <x:c r="F296" s="102" t="str">
        <x:v>无声禁典司</x:v>
      </x:c>
      <x:c r="G296" s="102" t="str">
        <x:v>无声禁典刃</x:v>
      </x:c>
      <x:c r="H296" s="102" t="str">
        <x:v>武器</x:v>
      </x:c>
      <x:c r="I296" s="147" t="n">
        <x:v>200</x:v>
      </x:c>
      <x:c r="J296" s="102" t="str">
        <x:v>否（材料数量固定）</x:v>
      </x:c>
      <x:c r="K296" s="102" t="str">
        <x:v>仅手动分解；默认不勾选；二次确认</x:v>
      </x:c>
      <x:c r="L296" s="103" t="str">
        <x:v>一怪一专属；专属来源跟随本行准确地图号</x:v>
      </x:c>
    </x:row>
    <x:row r="297">
      <x:c r="A297" s="101" t="str">
        <x:v>C05</x:v>
      </x:c>
      <x:c r="B297" s="102" t="str">
        <x:v>湖之利耶尼亚</x:v>
      </x:c>
      <x:c r="C297" s="102" t="str">
        <x:v>满月书库</x:v>
      </x:c>
      <x:c r="D297" s="102" t="n">
        <x:v>3</x:v>
      </x:c>
      <x:c r="E297" s="102" t="str">
        <x:v>地图BOSS</x:v>
      </x:c>
      <x:c r="F297" s="102" t="str">
        <x:v>满月万卷君</x:v>
      </x:c>
      <x:c r="G297" s="102" t="str">
        <x:v>满月万卷法衣</x:v>
      </x:c>
      <x:c r="H297" s="102" t="str">
        <x:v>衣服</x:v>
      </x:c>
      <x:c r="I297" s="147" t="n">
        <x:v>200</x:v>
      </x:c>
      <x:c r="J297" s="102" t="str">
        <x:v>否（材料数量固定）</x:v>
      </x:c>
      <x:c r="K297" s="102" t="str">
        <x:v>仅手动分解；默认不勾选；二次确认</x:v>
      </x:c>
      <x:c r="L297" s="103" t="str">
        <x:v>一怪一专属；专属来源跟随本行准确地图号</x:v>
      </x:c>
    </x:row>
    <x:row r="298">
      <x:c r="A298" s="101" t="str">
        <x:v>C05</x:v>
      </x:c>
      <x:c r="B298" s="102" t="str">
        <x:v>湖之利耶尼亚</x:v>
      </x:c>
      <x:c r="C298" s="102" t="str">
        <x:v>月影水宫</x:v>
      </x:c>
      <x:c r="D298" s="102" t="n">
        <x:v>1</x:v>
      </x:c>
      <x:c r="E298" s="102" t="str">
        <x:v>普通</x:v>
      </x:c>
      <x:c r="F298" s="102" t="str">
        <x:v>月影鳞侍</x:v>
      </x:c>
      <x:c r="G298" s="102" t="str">
        <x:v>月影鳞侍叉</x:v>
      </x:c>
      <x:c r="H298" s="102" t="str">
        <x:v>武器</x:v>
      </x:c>
      <x:c r="I298" s="147" t="n">
        <x:v>50</x:v>
      </x:c>
      <x:c r="J298" s="102" t="str">
        <x:v>否（材料数量固定）</x:v>
      </x:c>
      <x:c r="K298" s="102" t="str">
        <x:v>仅手动分解；默认不勾选；二次确认</x:v>
      </x:c>
      <x:c r="L298" s="103" t="str">
        <x:v>一怪一专属；专属来源跟随本行准确地图号</x:v>
      </x:c>
    </x:row>
    <x:row r="299">
      <x:c r="A299" s="101" t="str">
        <x:v>C05</x:v>
      </x:c>
      <x:c r="B299" s="102" t="str">
        <x:v>湖之利耶尼亚</x:v>
      </x:c>
      <x:c r="C299" s="102" t="str">
        <x:v>月影水宫</x:v>
      </x:c>
      <x:c r="D299" s="102" t="n">
        <x:v>1</x:v>
      </x:c>
      <x:c r="E299" s="102" t="str">
        <x:v>普通</x:v>
      </x:c>
      <x:c r="F299" s="102" t="str">
        <x:v>水宫涡纹螺</x:v>
      </x:c>
      <x:c r="G299" s="102" t="str">
        <x:v>涡纹螺壳盾</x:v>
      </x:c>
      <x:c r="H299" s="102" t="str">
        <x:v>盾牌</x:v>
      </x:c>
      <x:c r="I299" s="147" t="n">
        <x:v>50</x:v>
      </x:c>
      <x:c r="J299" s="102" t="str">
        <x:v>否（材料数量固定）</x:v>
      </x:c>
      <x:c r="K299" s="102" t="str">
        <x:v>仅手动分解；默认不勾选；二次确认</x:v>
      </x:c>
      <x:c r="L299" s="103" t="str">
        <x:v>一怪一专属；专属来源跟随本行准确地图号</x:v>
      </x:c>
    </x:row>
    <x:row r="300">
      <x:c r="A300" s="101" t="str">
        <x:v>C05</x:v>
      </x:c>
      <x:c r="B300" s="102" t="str">
        <x:v>湖之利耶尼亚</x:v>
      </x:c>
      <x:c r="C300" s="102" t="str">
        <x:v>月影水宫</x:v>
      </x:c>
      <x:c r="D300" s="102" t="n">
        <x:v>2</x:v>
      </x:c>
      <x:c r="E300" s="102" t="str">
        <x:v>普通</x:v>
      </x:c>
      <x:c r="F300" s="102" t="str">
        <x:v>月华执扇女使</x:v>
      </x:c>
      <x:c r="G300" s="102" t="str">
        <x:v>月华流扇笠</x:v>
      </x:c>
      <x:c r="H300" s="102" t="str">
        <x:v>斗笠</x:v>
      </x:c>
      <x:c r="I300" s="147" t="n">
        <x:v>50</x:v>
      </x:c>
      <x:c r="J300" s="102" t="str">
        <x:v>否（材料数量固定）</x:v>
      </x:c>
      <x:c r="K300" s="102" t="str">
        <x:v>仅手动分解；默认不勾选；二次确认</x:v>
      </x:c>
      <x:c r="L300" s="103" t="str">
        <x:v>一怪一专属；专属来源跟随本行准确地图号</x:v>
      </x:c>
    </x:row>
    <x:row r="301">
      <x:c r="A301" s="101" t="str">
        <x:v>C05</x:v>
      </x:c>
      <x:c r="B301" s="102" t="str">
        <x:v>湖之利耶尼亚</x:v>
      </x:c>
      <x:c r="C301" s="102" t="str">
        <x:v>月影水宫</x:v>
      </x:c>
      <x:c r="D301" s="102" t="n">
        <x:v>2</x:v>
      </x:c>
      <x:c r="E301" s="102" t="str">
        <x:v>普通</x:v>
      </x:c>
      <x:c r="F301" s="102" t="str">
        <x:v>内殿浮光鲛兵</x:v>
      </x:c>
      <x:c r="G301" s="102" t="str">
        <x:v>浮光鲛纹镯</x:v>
      </x:c>
      <x:c r="H301" s="102" t="str">
        <x:v>手镯</x:v>
      </x:c>
      <x:c r="I301" s="147" t="n">
        <x:v>50</x:v>
      </x:c>
      <x:c r="J301" s="102" t="str">
        <x:v>否（材料数量固定）</x:v>
      </x:c>
      <x:c r="K301" s="102" t="str">
        <x:v>仅手动分解；默认不勾选；二次确认</x:v>
      </x:c>
      <x:c r="L301" s="103" t="str">
        <x:v>一怪一专属；专属来源跟随本行准确地图号</x:v>
      </x:c>
    </x:row>
    <x:row r="302">
      <x:c r="A302" s="101" t="str">
        <x:v>C05</x:v>
      </x:c>
      <x:c r="B302" s="102" t="str">
        <x:v>湖之利耶尼亚</x:v>
      </x:c>
      <x:c r="C302" s="102" t="str">
        <x:v>月影水宫</x:v>
      </x:c>
      <x:c r="D302" s="102" t="n">
        <x:v>3</x:v>
      </x:c>
      <x:c r="E302" s="102" t="str">
        <x:v>普通</x:v>
      </x:c>
      <x:c r="F302" s="102" t="str">
        <x:v>圣殿澄潮祭从</x:v>
      </x:c>
      <x:c r="G302" s="102" t="str">
        <x:v>澄潮祭步履</x:v>
      </x:c>
      <x:c r="H302" s="102" t="str">
        <x:v>鞋子</x:v>
      </x:c>
      <x:c r="I302" s="147" t="n">
        <x:v>50</x:v>
      </x:c>
      <x:c r="J302" s="102" t="str">
        <x:v>否（材料数量固定）</x:v>
      </x:c>
      <x:c r="K302" s="102" t="str">
        <x:v>仅手动分解；默认不勾选；二次确认</x:v>
      </x:c>
      <x:c r="L302" s="103" t="str">
        <x:v>一怪一专属；专属来源跟随本行准确地图号</x:v>
      </x:c>
    </x:row>
    <x:row r="303">
      <x:c r="A303" s="101" t="str">
        <x:v>C05</x:v>
      </x:c>
      <x:c r="B303" s="102" t="str">
        <x:v>湖之利耶尼亚</x:v>
      </x:c>
      <x:c r="C303" s="102" t="str">
        <x:v>月影水宫</x:v>
      </x:c>
      <x:c r="D303" s="102" t="n">
        <x:v>3</x:v>
      </x:c>
      <x:c r="E303" s="102" t="str">
        <x:v>普通</x:v>
      </x:c>
      <x:c r="F303" s="102" t="str">
        <x:v>月镜游鱼灵</x:v>
      </x:c>
      <x:c r="G303" s="102" t="str">
        <x:v>月镜游鱼戒</x:v>
      </x:c>
      <x:c r="H303" s="102" t="str">
        <x:v>戒指</x:v>
      </x:c>
      <x:c r="I303" s="147" t="n">
        <x:v>50</x:v>
      </x:c>
      <x:c r="J303" s="102" t="str">
        <x:v>否（材料数量固定）</x:v>
      </x:c>
      <x:c r="K303" s="102" t="str">
        <x:v>仅手动分解；默认不勾选；二次确认</x:v>
      </x:c>
      <x:c r="L303" s="103" t="str">
        <x:v>一怪一专属；专属来源跟随本行准确地图号</x:v>
      </x:c>
    </x:row>
    <x:row r="304">
      <x:c r="A304" s="101" t="str">
        <x:v>C05</x:v>
      </x:c>
      <x:c r="B304" s="102" t="str">
        <x:v>湖之利耶尼亚</x:v>
      </x:c>
      <x:c r="C304" s="102" t="str">
        <x:v>月影水宫</x:v>
      </x:c>
      <x:c r="D304" s="102" t="n">
        <x:v>1</x:v>
      </x:c>
      <x:c r="E304" s="102" t="str">
        <x:v>稀有</x:v>
      </x:c>
      <x:c r="F304" s="102" t="str">
        <x:v>影潮伏宫兽</x:v>
      </x:c>
      <x:c r="G304" s="102" t="str">
        <x:v>影潮潜宫带</x:v>
      </x:c>
      <x:c r="H304" s="102" t="str">
        <x:v>腰带</x:v>
      </x:c>
      <x:c r="I304" s="147" t="n">
        <x:v>100</x:v>
      </x:c>
      <x:c r="J304" s="102" t="str">
        <x:v>否（材料数量固定）</x:v>
      </x:c>
      <x:c r="K304" s="102" t="str">
        <x:v>仅手动分解；默认不勾选；二次确认</x:v>
      </x:c>
      <x:c r="L304" s="103" t="str">
        <x:v>一怪一专属；专属来源跟随本行准确地图号</x:v>
      </x:c>
    </x:row>
    <x:row r="305">
      <x:c r="A305" s="101" t="str">
        <x:v>C05</x:v>
      </x:c>
      <x:c r="B305" s="102" t="str">
        <x:v>湖之利耶尼亚</x:v>
      </x:c>
      <x:c r="C305" s="102" t="str">
        <x:v>月影水宫</x:v>
      </x:c>
      <x:c r="D305" s="102" t="n">
        <x:v>2</x:v>
      </x:c>
      <x:c r="E305" s="102" t="str">
        <x:v>稀有</x:v>
      </x:c>
      <x:c r="F305" s="102" t="str">
        <x:v>月华凝霜乐师</x:v>
      </x:c>
      <x:c r="G305" s="102" t="str">
        <x:v>凝霜乐师冠</x:v>
      </x:c>
      <x:c r="H305" s="102" t="str">
        <x:v>头盔</x:v>
      </x:c>
      <x:c r="I305" s="147" t="n">
        <x:v>100</x:v>
      </x:c>
      <x:c r="J305" s="102" t="str">
        <x:v>否（材料数量固定）</x:v>
      </x:c>
      <x:c r="K305" s="102" t="str">
        <x:v>仅手动分解；默认不勾选；二次确认</x:v>
      </x:c>
      <x:c r="L305" s="103" t="str">
        <x:v>一怪一专属；专属来源跟随本行准确地图号</x:v>
      </x:c>
    </x:row>
    <x:row r="306">
      <x:c r="A306" s="101" t="str">
        <x:v>C05</x:v>
      </x:c>
      <x:c r="B306" s="102" t="str">
        <x:v>湖之利耶尼亚</x:v>
      </x:c>
      <x:c r="C306" s="102" t="str">
        <x:v>月影水宫</x:v>
      </x:c>
      <x:c r="D306" s="102" t="n">
        <x:v>3</x:v>
      </x:c>
      <x:c r="E306" s="102" t="str">
        <x:v>稀有</x:v>
      </x:c>
      <x:c r="F306" s="102" t="str">
        <x:v>圣殿悬月卫</x:v>
      </x:c>
      <x:c r="G306" s="102" t="str">
        <x:v>悬月卫潮链</x:v>
      </x:c>
      <x:c r="H306" s="102" t="str">
        <x:v>项链</x:v>
      </x:c>
      <x:c r="I306" s="147" t="n">
        <x:v>100</x:v>
      </x:c>
      <x:c r="J306" s="102" t="str">
        <x:v>否（材料数量固定）</x:v>
      </x:c>
      <x:c r="K306" s="102" t="str">
        <x:v>仅手动分解；默认不勾选；二次确认</x:v>
      </x:c>
      <x:c r="L306" s="103" t="str">
        <x:v>一怪一专属；专属来源跟随本行准确地图号</x:v>
      </x:c>
    </x:row>
    <x:row r="307">
      <x:c r="A307" s="101" t="str">
        <x:v>C05</x:v>
      </x:c>
      <x:c r="B307" s="102" t="str">
        <x:v>湖之利耶尼亚</x:v>
      </x:c>
      <x:c r="C307" s="102" t="str">
        <x:v>月影水宫</x:v>
      </x:c>
      <x:c r="D307" s="102" t="n">
        <x:v>1</x:v>
      </x:c>
      <x:c r="E307" s="102" t="str">
        <x:v>稀有</x:v>
      </x:c>
      <x:c r="F307" s="102" t="str">
        <x:v>琉潮白鳍巫</x:v>
      </x:c>
      <x:c r="G307" s="102" t="str">
        <x:v>琉潮白鳍章</x:v>
      </x:c>
      <x:c r="H307" s="102" t="str">
        <x:v>勋章</x:v>
      </x:c>
      <x:c r="I307" s="147" t="n">
        <x:v>100</x:v>
      </x:c>
      <x:c r="J307" s="102" t="str">
        <x:v>否（材料数量固定）</x:v>
      </x:c>
      <x:c r="K307" s="102" t="str">
        <x:v>仅手动分解；默认不勾选；二次确认</x:v>
      </x:c>
      <x:c r="L307" s="103" t="str">
        <x:v>一怪一专属；专属来源跟随本行准确地图号</x:v>
      </x:c>
    </x:row>
    <x:row r="308">
      <x:c r="A308" s="101" t="str">
        <x:v>C05</x:v>
      </x:c>
      <x:c r="B308" s="102" t="str">
        <x:v>湖之利耶尼亚</x:v>
      </x:c>
      <x:c r="C308" s="102" t="str">
        <x:v>月影水宫</x:v>
      </x:c>
      <x:c r="D308" s="102" t="n">
        <x:v>2</x:v>
      </x:c>
      <x:c r="E308" s="102" t="str">
        <x:v>地图BOSS</x:v>
      </x:c>
      <x:c r="F308" s="102" t="str">
        <x:v>月华内殿掌灯君</x:v>
      </x:c>
      <x:c r="G308" s="102" t="str">
        <x:v>掌灯君月华衣</x:v>
      </x:c>
      <x:c r="H308" s="102" t="str">
        <x:v>衣服</x:v>
      </x:c>
      <x:c r="I308" s="147" t="n">
        <x:v>200</x:v>
      </x:c>
      <x:c r="J308" s="102" t="str">
        <x:v>否（材料数量固定）</x:v>
      </x:c>
      <x:c r="K308" s="102" t="str">
        <x:v>仅手动分解；默认不勾选；二次确认</x:v>
      </x:c>
      <x:c r="L308" s="103" t="str">
        <x:v>一怪一专属；专属来源跟随本行准确地图号</x:v>
      </x:c>
    </x:row>
    <x:row r="309">
      <x:c r="A309" s="101" t="str">
        <x:v>C05</x:v>
      </x:c>
      <x:c r="B309" s="102" t="str">
        <x:v>湖之利耶尼亚</x:v>
      </x:c>
      <x:c r="C309" s="102" t="str">
        <x:v>月影水宫</x:v>
      </x:c>
      <x:c r="D309" s="102" t="n">
        <x:v>3</x:v>
      </x:c>
      <x:c r="E309" s="102" t="str">
        <x:v>地图BOSS</x:v>
      </x:c>
      <x:c r="F309" s="102" t="str">
        <x:v>影宫深潮王女</x:v>
      </x:c>
      <x:c r="G309" s="102" t="str">
        <x:v>深潮王女权杖</x:v>
      </x:c>
      <x:c r="H309" s="102" t="str">
        <x:v>武器</x:v>
      </x:c>
      <x:c r="I309" s="147" t="n">
        <x:v>200</x:v>
      </x:c>
      <x:c r="J309" s="102" t="str">
        <x:v>否（材料数量固定）</x:v>
      </x:c>
      <x:c r="K309" s="102" t="str">
        <x:v>仅手动分解；默认不勾选；二次确认</x:v>
      </x:c>
      <x:c r="L309" s="103" t="str">
        <x:v>一怪一专属；专属来源跟随本行准确地图号</x:v>
      </x:c>
    </x:row>
    <x:row r="310">
      <x:c r="A310" s="101" t="str">
        <x:v>C05</x:v>
      </x:c>
      <x:c r="B310" s="102" t="str">
        <x:v>湖之利耶尼亚</x:v>
      </x:c>
      <x:c r="C310" s="102" t="str">
        <x:v>卡利亚禁域</x:v>
      </x:c>
      <x:c r="D310" s="102" t="n">
        <x:v>1</x:v>
      </x:c>
      <x:c r="E310" s="102" t="str">
        <x:v>普通</x:v>
      </x:c>
      <x:c r="F310" s="102" t="str">
        <x:v>禁域蓝焰猎犬</x:v>
      </x:c>
      <x:c r="G310" s="102" t="str">
        <x:v>蓝焰逐影履</x:v>
      </x:c>
      <x:c r="H310" s="102" t="str">
        <x:v>鞋子</x:v>
      </x:c>
      <x:c r="I310" s="147" t="n">
        <x:v>50</x:v>
      </x:c>
      <x:c r="J310" s="102" t="str">
        <x:v>否（材料数量固定）</x:v>
      </x:c>
      <x:c r="K310" s="102" t="str">
        <x:v>仅手动分解；默认不勾选；二次确认</x:v>
      </x:c>
      <x:c r="L310" s="103" t="str">
        <x:v>一怪一专属；专属来源跟随本行准确地图号</x:v>
      </x:c>
    </x:row>
    <x:row r="311">
      <x:c r="A311" s="101" t="str">
        <x:v>C05</x:v>
      </x:c>
      <x:c r="B311" s="102" t="str">
        <x:v>湖之利耶尼亚</x:v>
      </x:c>
      <x:c r="C311" s="102" t="str">
        <x:v>卡利亚禁域</x:v>
      </x:c>
      <x:c r="D311" s="102" t="n">
        <x:v>1</x:v>
      </x:c>
      <x:c r="E311" s="102" t="str">
        <x:v>普通</x:v>
      </x:c>
      <x:c r="F311" s="102" t="str">
        <x:v>卡利亚断誓侍</x:v>
      </x:c>
      <x:c r="G311" s="102" t="str">
        <x:v>断誓侍银剑</x:v>
      </x:c>
      <x:c r="H311" s="102" t="str">
        <x:v>武器</x:v>
      </x:c>
      <x:c r="I311" s="147" t="n">
        <x:v>50</x:v>
      </x:c>
      <x:c r="J311" s="102" t="str">
        <x:v>否（材料数量固定）</x:v>
      </x:c>
      <x:c r="K311" s="102" t="str">
        <x:v>仅手动分解；默认不勾选；二次确认</x:v>
      </x:c>
      <x:c r="L311" s="103" t="str">
        <x:v>一怪一专属；专属来源跟随本行准确地图号</x:v>
      </x:c>
    </x:row>
    <x:row r="312">
      <x:c r="A312" s="101" t="str">
        <x:v>C05</x:v>
      </x:c>
      <x:c r="B312" s="102" t="str">
        <x:v>湖之利耶尼亚</x:v>
      </x:c>
      <x:c r="C312" s="102" t="str">
        <x:v>卡利亚禁域</x:v>
      </x:c>
      <x:c r="D312" s="102" t="n">
        <x:v>2</x:v>
      </x:c>
      <x:c r="E312" s="102" t="str">
        <x:v>普通</x:v>
      </x:c>
      <x:c r="F312" s="102" t="str">
        <x:v>回廊折月傀</x:v>
      </x:c>
      <x:c r="G312" s="102" t="str">
        <x:v>折月傀镜盾</x:v>
      </x:c>
      <x:c r="H312" s="102" t="str">
        <x:v>盾牌</x:v>
      </x:c>
      <x:c r="I312" s="147" t="n">
        <x:v>50</x:v>
      </x:c>
      <x:c r="J312" s="102" t="str">
        <x:v>否（材料数量固定）</x:v>
      </x:c>
      <x:c r="K312" s="102" t="str">
        <x:v>仅手动分解；默认不勾选；二次确认</x:v>
      </x:c>
      <x:c r="L312" s="103" t="str">
        <x:v>一怪一专属；专属来源跟随本行准确地图号</x:v>
      </x:c>
    </x:row>
    <x:row r="313">
      <x:c r="A313" s="101" t="str">
        <x:v>C05</x:v>
      </x:c>
      <x:c r="B313" s="102" t="str">
        <x:v>湖之利耶尼亚</x:v>
      </x:c>
      <x:c r="C313" s="102" t="str">
        <x:v>卡利亚禁域</x:v>
      </x:c>
      <x:c r="D313" s="102" t="n">
        <x:v>3</x:v>
      </x:c>
      <x:c r="E313" s="102" t="str">
        <x:v>普通</x:v>
      </x:c>
      <x:c r="F313" s="102" t="str">
        <x:v>封印庭银纹卒</x:v>
      </x:c>
      <x:c r="G313" s="102" t="str">
        <x:v>银纹封庭镯</x:v>
      </x:c>
      <x:c r="H313" s="102" t="str">
        <x:v>手镯</x:v>
      </x:c>
      <x:c r="I313" s="147" t="n">
        <x:v>50</x:v>
      </x:c>
      <x:c r="J313" s="102" t="str">
        <x:v>否（材料数量固定）</x:v>
      </x:c>
      <x:c r="K313" s="102" t="str">
        <x:v>仅手动分解；默认不勾选；二次确认</x:v>
      </x:c>
      <x:c r="L313" s="103" t="str">
        <x:v>一怪一专属；专属来源跟随本行准确地图号</x:v>
      </x:c>
    </x:row>
    <x:row r="314">
      <x:c r="A314" s="101" t="str">
        <x:v>C05</x:v>
      </x:c>
      <x:c r="B314" s="102" t="str">
        <x:v>湖之利耶尼亚</x:v>
      </x:c>
      <x:c r="C314" s="102" t="str">
        <x:v>卡利亚禁域</x:v>
      </x:c>
      <x:c r="D314" s="102" t="n">
        <x:v>4</x:v>
      </x:c>
      <x:c r="E314" s="102" t="str">
        <x:v>普通</x:v>
      </x:c>
      <x:c r="F314" s="102" t="str">
        <x:v>月蚀殿噬辉蛾</x:v>
      </x:c>
      <x:c r="G314" s="102" t="str">
        <x:v>噬辉蛾蚀月笠</x:v>
      </x:c>
      <x:c r="H314" s="102" t="str">
        <x:v>斗笠</x:v>
      </x:c>
      <x:c r="I314" s="147" t="n">
        <x:v>50</x:v>
      </x:c>
      <x:c r="J314" s="102" t="str">
        <x:v>否（材料数量固定）</x:v>
      </x:c>
      <x:c r="K314" s="102" t="str">
        <x:v>仅手动分解；默认不勾选；二次确认</x:v>
      </x:c>
      <x:c r="L314" s="103" t="str">
        <x:v>一怪一专属；专属来源跟随本行准确地图号</x:v>
      </x:c>
    </x:row>
    <x:row r="315">
      <x:c r="A315" s="101" t="str">
        <x:v>C05</x:v>
      </x:c>
      <x:c r="B315" s="102" t="str">
        <x:v>湖之利耶尼亚</x:v>
      </x:c>
      <x:c r="C315" s="102" t="str">
        <x:v>卡利亚禁域</x:v>
      </x:c>
      <x:c r="D315" s="102" t="n">
        <x:v>5</x:v>
      </x:c>
      <x:c r="E315" s="102" t="str">
        <x:v>普通</x:v>
      </x:c>
      <x:c r="F315" s="102" t="str">
        <x:v>圣所守星残灵</x:v>
      </x:c>
      <x:c r="G315" s="102" t="str">
        <x:v>守星残灵戒</x:v>
      </x:c>
      <x:c r="H315" s="102" t="str">
        <x:v>戒指</x:v>
      </x:c>
      <x:c r="I315" s="147" t="n">
        <x:v>50</x:v>
      </x:c>
      <x:c r="J315" s="102" t="str">
        <x:v>否（材料数量固定）</x:v>
      </x:c>
      <x:c r="K315" s="102" t="str">
        <x:v>仅手动分解；默认不勾选；二次确认</x:v>
      </x:c>
      <x:c r="L315" s="103" t="str">
        <x:v>一怪一专属；专属来源跟随本行准确地图号</x:v>
      </x:c>
    </x:row>
    <x:row r="316">
      <x:c r="A316" s="101" t="str">
        <x:v>C05</x:v>
      </x:c>
      <x:c r="B316" s="102" t="str">
        <x:v>湖之利耶尼亚</x:v>
      </x:c>
      <x:c r="C316" s="102" t="str">
        <x:v>卡利亚禁域</x:v>
      </x:c>
      <x:c r="D316" s="102" t="n">
        <x:v>1</x:v>
      </x:c>
      <x:c r="E316" s="102" t="str">
        <x:v>稀有</x:v>
      </x:c>
      <x:c r="F316" s="102" t="str">
        <x:v>王室镜刃使</x:v>
      </x:c>
      <x:c r="G316" s="102" t="str">
        <x:v>镜刃王室链</x:v>
      </x:c>
      <x:c r="H316" s="102" t="str">
        <x:v>项链</x:v>
      </x:c>
      <x:c r="I316" s="147" t="n">
        <x:v>100</x:v>
      </x:c>
      <x:c r="J316" s="102" t="str">
        <x:v>否（材料数量固定）</x:v>
      </x:c>
      <x:c r="K316" s="102" t="str">
        <x:v>仅手动分解；默认不勾选；二次确认</x:v>
      </x:c>
      <x:c r="L316" s="103" t="str">
        <x:v>一怪一专属；专属来源跟随本行准确地图号</x:v>
      </x:c>
    </x:row>
    <x:row r="317">
      <x:c r="A317" s="101" t="str">
        <x:v>C05</x:v>
      </x:c>
      <x:c r="B317" s="102" t="str">
        <x:v>湖之利耶尼亚</x:v>
      </x:c>
      <x:c r="C317" s="102" t="str">
        <x:v>卡利亚禁域</x:v>
      </x:c>
      <x:c r="D317" s="102" t="n">
        <x:v>2</x:v>
      </x:c>
      <x:c r="E317" s="102" t="str">
        <x:v>稀有</x:v>
      </x:c>
      <x:c r="F317" s="102" t="str">
        <x:v>禁域缄门法官</x:v>
      </x:c>
      <x:c r="G317" s="102" t="str">
        <x:v>缄门法官冠</x:v>
      </x:c>
      <x:c r="H317" s="102" t="str">
        <x:v>头盔</x:v>
      </x:c>
      <x:c r="I317" s="147" t="n">
        <x:v>100</x:v>
      </x:c>
      <x:c r="J317" s="102" t="str">
        <x:v>否（材料数量固定）</x:v>
      </x:c>
      <x:c r="K317" s="102" t="str">
        <x:v>仅手动分解；默认不勾选；二次确认</x:v>
      </x:c>
      <x:c r="L317" s="103" t="str">
        <x:v>一怪一专属；专属来源跟随本行准确地图号</x:v>
      </x:c>
    </x:row>
    <x:row r="318">
      <x:c r="A318" s="101" t="str">
        <x:v>C05</x:v>
      </x:c>
      <x:c r="B318" s="102" t="str">
        <x:v>湖之利耶尼亚</x:v>
      </x:c>
      <x:c r="C318" s="102" t="str">
        <x:v>卡利亚禁域</x:v>
      </x:c>
      <x:c r="D318" s="102" t="n">
        <x:v>3</x:v>
      </x:c>
      <x:c r="E318" s="102" t="str">
        <x:v>稀有</x:v>
      </x:c>
      <x:c r="F318" s="102" t="str">
        <x:v>封庭月契巫</x:v>
      </x:c>
      <x:c r="G318" s="102" t="str">
        <x:v>月契封印带</x:v>
      </x:c>
      <x:c r="H318" s="102" t="str">
        <x:v>腰带</x:v>
      </x:c>
      <x:c r="I318" s="147" t="n">
        <x:v>100</x:v>
      </x:c>
      <x:c r="J318" s="102" t="str">
        <x:v>否（材料数量固定）</x:v>
      </x:c>
      <x:c r="K318" s="102" t="str">
        <x:v>仅手动分解；默认不勾选；二次确认</x:v>
      </x:c>
      <x:c r="L318" s="103" t="str">
        <x:v>一怪一专属；专属来源跟随本行准确地图号</x:v>
      </x:c>
    </x:row>
    <x:row r="319">
      <x:c r="A319" s="101" t="str">
        <x:v>C05</x:v>
      </x:c>
      <x:c r="B319" s="102" t="str">
        <x:v>湖之利耶尼亚</x:v>
      </x:c>
      <x:c r="C319" s="102" t="str">
        <x:v>卡利亚禁域</x:v>
      </x:c>
      <x:c r="D319" s="102" t="n">
        <x:v>4</x:v>
      </x:c>
      <x:c r="E319" s="102" t="str">
        <x:v>稀有</x:v>
      </x:c>
      <x:c r="F319" s="102" t="str">
        <x:v>密殿蚀冠兽</x:v>
      </x:c>
      <x:c r="G319" s="102" t="str">
        <x:v>蚀冠密殿章</x:v>
      </x:c>
      <x:c r="H319" s="102" t="str">
        <x:v>勋章</x:v>
      </x:c>
      <x:c r="I319" s="147" t="n">
        <x:v>100</x:v>
      </x:c>
      <x:c r="J319" s="102" t="str">
        <x:v>否（材料数量固定）</x:v>
      </x:c>
      <x:c r="K319" s="102" t="str">
        <x:v>仅手动分解；默认不勾选；二次确认</x:v>
      </x:c>
      <x:c r="L319" s="103" t="str">
        <x:v>一怪一专属；专属来源跟随本行准确地图号</x:v>
      </x:c>
    </x:row>
    <x:row r="320">
      <x:c r="A320" s="101" t="str">
        <x:v>C05</x:v>
      </x:c>
      <x:c r="B320" s="102" t="str">
        <x:v>湖之利耶尼亚</x:v>
      </x:c>
      <x:c r="C320" s="102" t="str">
        <x:v>卡利亚禁域</x:v>
      </x:c>
      <x:c r="D320" s="102" t="n">
        <x:v>4</x:v>
      </x:c>
      <x:c r="E320" s="102" t="str">
        <x:v>地图BOSS</x:v>
      </x:c>
      <x:c r="F320" s="102" t="str">
        <x:v>月蚀密殿司冕</x:v>
      </x:c>
      <x:c r="G320" s="102" t="str">
        <x:v>司冕月蚀礼衣</x:v>
      </x:c>
      <x:c r="H320" s="102" t="str">
        <x:v>衣服</x:v>
      </x:c>
      <x:c r="I320" s="147" t="n">
        <x:v>200</x:v>
      </x:c>
      <x:c r="J320" s="102" t="str">
        <x:v>否（材料数量固定）</x:v>
      </x:c>
      <x:c r="K320" s="102" t="str">
        <x:v>仅手动分解；默认不勾选；二次确认</x:v>
      </x:c>
      <x:c r="L320" s="103" t="str">
        <x:v>一怪一专属；专属来源跟随本行准确地图号</x:v>
      </x:c>
    </x:row>
    <x:row r="321">
      <x:c r="A321" s="101" t="str">
        <x:v>C05</x:v>
      </x:c>
      <x:c r="B321" s="102" t="str">
        <x:v>湖之利耶尼亚</x:v>
      </x:c>
      <x:c r="C321" s="102" t="str">
        <x:v>卡利亚禁域</x:v>
      </x:c>
      <x:c r="D321" s="102" t="n">
        <x:v>5</x:v>
      </x:c>
      <x:c r="E321" s="102" t="str">
        <x:v>地图BOSS</x:v>
      </x:c>
      <x:c r="F321" s="102" t="str">
        <x:v>卡利亚圣所摄政灵</x:v>
      </x:c>
      <x:c r="G321" s="102" t="str">
        <x:v>摄政灵辉杖</x:v>
      </x:c>
      <x:c r="H321" s="102" t="str">
        <x:v>武器</x:v>
      </x:c>
      <x:c r="I321" s="147" t="n">
        <x:v>200</x:v>
      </x:c>
      <x:c r="J321" s="102" t="str">
        <x:v>否（材料数量固定）</x:v>
      </x:c>
      <x:c r="K321" s="102" t="str">
        <x:v>仅手动分解；默认不勾选；二次确认</x:v>
      </x:c>
      <x:c r="L321" s="103" t="str">
        <x:v>一怪一专属；专属来源跟随本行准确地图号</x:v>
      </x:c>
    </x:row>
    <x:row r="322">
      <x:c r="A322" s="101" t="str">
        <x:v>C05</x:v>
      </x:c>
      <x:c r="B322" s="102" t="str">
        <x:v>湖之利耶尼亚</x:v>
      </x:c>
      <x:c r="C322" s="102" t="str">
        <x:v>卡利亚禁域</x:v>
      </x:c>
      <x:c r="D322" s="102" t="n">
        <x:v>5</x:v>
      </x:c>
      <x:c r="E322" s="102" t="str">
        <x:v>守关BOSS</x:v>
      </x:c>
      <x:c r="F322" s="102" t="str">
        <x:v>寒镜终誓王</x:v>
      </x:c>
      <x:c r="G322" s="102" t="str">
        <x:v>终誓月裁剑</x:v>
      </x:c>
      <x:c r="H322" s="102" t="str">
        <x:v>武器</x:v>
      </x:c>
      <x:c r="I322" s="147" t="n">
        <x:v>200</x:v>
      </x:c>
      <x:c r="J322" s="102" t="str">
        <x:v>否（材料数量固定）</x:v>
      </x:c>
      <x:c r="K322" s="102" t="str">
        <x:v>仅手动分解；默认不勾选；二次确认</x:v>
      </x:c>
      <x:c r="L322" s="103" t="str">
        <x:v>大陆最终守关；本表不填属性、爆率和货币</x:v>
      </x:c>
    </x:row>
    <x:row r="323">
      <x:c r="A323" s="101" t="str">
        <x:v>C06</x:v>
      </x:c>
      <x:c r="B323" s="102" t="str">
        <x:v>盖利德</x:v>
      </x:c>
      <x:c r="C323" s="102" t="str">
        <x:v>猩红熔原</x:v>
      </x:c>
      <x:c r="D323" s="102" t="n">
        <x:v>1</x:v>
      </x:c>
      <x:c r="E323" s="102" t="str">
        <x:v>普通</x:v>
      </x:c>
      <x:c r="F323" s="102" t="str">
        <x:v>熔原灰背兽</x:v>
      </x:c>
      <x:c r="G323" s="102" t="str">
        <x:v>灰背灼牙</x:v>
      </x:c>
      <x:c r="H323" s="102" t="str">
        <x:v>武器</x:v>
      </x:c>
      <x:c r="I323" s="147" t="n">
        <x:v>60</x:v>
      </x:c>
      <x:c r="J323" s="102" t="str">
        <x:v>否（材料数量固定）</x:v>
      </x:c>
      <x:c r="K323" s="102" t="str">
        <x:v>仅手动分解；默认不勾选；二次确认</x:v>
      </x:c>
      <x:c r="L323" s="103" t="str">
        <x:v>一怪一专属；专属来源跟随本行准确地图号</x:v>
      </x:c>
    </x:row>
    <x:row r="324">
      <x:c r="A324" s="101" t="str">
        <x:v>C06</x:v>
      </x:c>
      <x:c r="B324" s="102" t="str">
        <x:v>盖利德</x:v>
      </x:c>
      <x:c r="C324" s="102" t="str">
        <x:v>猩红熔原</x:v>
      </x:c>
      <x:c r="D324" s="102" t="n">
        <x:v>2</x:v>
      </x:c>
      <x:c r="E324" s="102" t="str">
        <x:v>普通</x:v>
      </x:c>
      <x:c r="F324" s="102" t="str">
        <x:v>焦土拾骸兵</x:v>
      </x:c>
      <x:c r="G324" s="102" t="str">
        <x:v>拾骸骨盔</x:v>
      </x:c>
      <x:c r="H324" s="102" t="str">
        <x:v>头盔</x:v>
      </x:c>
      <x:c r="I324" s="147" t="n">
        <x:v>60</x:v>
      </x:c>
      <x:c r="J324" s="102" t="str">
        <x:v>否（材料数量固定）</x:v>
      </x:c>
      <x:c r="K324" s="102" t="str">
        <x:v>仅手动分解；默认不勾选；二次确认</x:v>
      </x:c>
      <x:c r="L324" s="103" t="str">
        <x:v>一怪一专属；专属来源跟随本行准确地图号</x:v>
      </x:c>
    </x:row>
    <x:row r="325">
      <x:c r="A325" s="101" t="str">
        <x:v>C06</x:v>
      </x:c>
      <x:c r="B325" s="102" t="str">
        <x:v>盖利德</x:v>
      </x:c>
      <x:c r="C325" s="102" t="str">
        <x:v>猩红熔原</x:v>
      </x:c>
      <x:c r="D325" s="102" t="n">
        <x:v>3</x:v>
      </x:c>
      <x:c r="E325" s="102" t="str">
        <x:v>普通</x:v>
      </x:c>
      <x:c r="F325" s="102" t="str">
        <x:v>岩河爬鳞者</x:v>
      </x:c>
      <x:c r="G325" s="102" t="str">
        <x:v>岩河鳞衣</x:v>
      </x:c>
      <x:c r="H325" s="102" t="str">
        <x:v>衣服</x:v>
      </x:c>
      <x:c r="I325" s="147" t="n">
        <x:v>60</x:v>
      </x:c>
      <x:c r="J325" s="102" t="str">
        <x:v>否（材料数量固定）</x:v>
      </x:c>
      <x:c r="K325" s="102" t="str">
        <x:v>仅手动分解；默认不勾选；二次确认</x:v>
      </x:c>
      <x:c r="L325" s="103" t="str">
        <x:v>一怪一专属；专属来源跟随本行准确地图号</x:v>
      </x:c>
    </x:row>
    <x:row r="326">
      <x:c r="A326" s="101" t="str">
        <x:v>C06</x:v>
      </x:c>
      <x:c r="B326" s="102" t="str">
        <x:v>盖利德</x:v>
      </x:c>
      <x:c r="C326" s="102" t="str">
        <x:v>猩红熔原</x:v>
      </x:c>
      <x:c r="D326" s="102" t="n">
        <x:v>4</x:v>
      </x:c>
      <x:c r="E326" s="102" t="str">
        <x:v>普通</x:v>
      </x:c>
      <x:c r="F326" s="102" t="str">
        <x:v>祭场执炭徒</x:v>
      </x:c>
      <x:c r="G326" s="102" t="str">
        <x:v>执炭腰封</x:v>
      </x:c>
      <x:c r="H326" s="102" t="str">
        <x:v>腰带</x:v>
      </x:c>
      <x:c r="I326" s="147" t="n">
        <x:v>60</x:v>
      </x:c>
      <x:c r="J326" s="102" t="str">
        <x:v>否（材料数量固定）</x:v>
      </x:c>
      <x:c r="K326" s="102" t="str">
        <x:v>仅手动分解；默认不勾选；二次确认</x:v>
      </x:c>
      <x:c r="L326" s="103" t="str">
        <x:v>一怪一专属；专属来源跟随本行准确地图号</x:v>
      </x:c>
    </x:row>
    <x:row r="327">
      <x:c r="A327" s="101" t="str">
        <x:v>C06</x:v>
      </x:c>
      <x:c r="B327" s="102" t="str">
        <x:v>盖利德</x:v>
      </x:c>
      <x:c r="C327" s="102" t="str">
        <x:v>猩红熔原</x:v>
      </x:c>
      <x:c r="D327" s="102" t="n">
        <x:v>5</x:v>
      </x:c>
      <x:c r="E327" s="102" t="str">
        <x:v>普通</x:v>
      </x:c>
      <x:c r="F327" s="102" t="str">
        <x:v>熔心赤螯虫</x:v>
      </x:c>
      <x:c r="G327" s="102" t="str">
        <x:v>赤螯腕甲</x:v>
      </x:c>
      <x:c r="H327" s="102" t="str">
        <x:v>手镯</x:v>
      </x:c>
      <x:c r="I327" s="147" t="n">
        <x:v>60</x:v>
      </x:c>
      <x:c r="J327" s="102" t="str">
        <x:v>否（材料数量固定）</x:v>
      </x:c>
      <x:c r="K327" s="102" t="str">
        <x:v>仅手动分解；默认不勾选；二次确认</x:v>
      </x:c>
      <x:c r="L327" s="103" t="str">
        <x:v>一怪一专属；专属来源跟随本行准确地图号</x:v>
      </x:c>
    </x:row>
    <x:row r="328">
      <x:c r="A328" s="101" t="str">
        <x:v>C06</x:v>
      </x:c>
      <x:c r="B328" s="102" t="str">
        <x:v>盖利德</x:v>
      </x:c>
      <x:c r="C328" s="102" t="str">
        <x:v>猩红熔原</x:v>
      </x:c>
      <x:c r="D328" s="102" t="n">
        <x:v>1</x:v>
      </x:c>
      <x:c r="E328" s="102" t="str">
        <x:v>普通</x:v>
      </x:c>
      <x:c r="F328" s="102" t="str">
        <x:v>血尘游猎手</x:v>
      </x:c>
      <x:c r="G328" s="102" t="str">
        <x:v>血尘猎靴</x:v>
      </x:c>
      <x:c r="H328" s="102" t="str">
        <x:v>鞋子</x:v>
      </x:c>
      <x:c r="I328" s="147" t="n">
        <x:v>60</x:v>
      </x:c>
      <x:c r="J328" s="102" t="str">
        <x:v>否（材料数量固定）</x:v>
      </x:c>
      <x:c r="K328" s="102" t="str">
        <x:v>仅手动分解；默认不勾选；二次确认</x:v>
      </x:c>
      <x:c r="L328" s="103" t="str">
        <x:v>一怪一专属；专属来源跟随本行准确地图号</x:v>
      </x:c>
    </x:row>
    <x:row r="329">
      <x:c r="A329" s="101" t="str">
        <x:v>C06</x:v>
      </x:c>
      <x:c r="B329" s="102" t="str">
        <x:v>盖利德</x:v>
      </x:c>
      <x:c r="C329" s="102" t="str">
        <x:v>猩红熔原</x:v>
      </x:c>
      <x:c r="D329" s="102" t="n">
        <x:v>1</x:v>
      </x:c>
      <x:c r="E329" s="102" t="str">
        <x:v>稀有</x:v>
      </x:c>
      <x:c r="F329" s="102" t="str">
        <x:v>赤棘狂战士</x:v>
      </x:c>
      <x:c r="G329" s="102" t="str">
        <x:v>赤棘重戒</x:v>
      </x:c>
      <x:c r="H329" s="102" t="str">
        <x:v>戒指</x:v>
      </x:c>
      <x:c r="I329" s="147" t="n">
        <x:v>120</x:v>
      </x:c>
      <x:c r="J329" s="102" t="str">
        <x:v>否（材料数量固定）</x:v>
      </x:c>
      <x:c r="K329" s="102" t="str">
        <x:v>仅手动分解；默认不勾选；二次确认</x:v>
      </x:c>
      <x:c r="L329" s="103" t="str">
        <x:v>一怪一专属；专属来源跟随本行准确地图号</x:v>
      </x:c>
    </x:row>
    <x:row r="330">
      <x:c r="A330" s="101" t="str">
        <x:v>C06</x:v>
      </x:c>
      <x:c r="B330" s="102" t="str">
        <x:v>盖利德</x:v>
      </x:c>
      <x:c r="C330" s="102" t="str">
        <x:v>猩红熔原</x:v>
      </x:c>
      <x:c r="D330" s="102" t="n">
        <x:v>2</x:v>
      </x:c>
      <x:c r="E330" s="102" t="str">
        <x:v>稀有</x:v>
      </x:c>
      <x:c r="F330" s="102" t="str">
        <x:v>焦脉咒炎师</x:v>
      </x:c>
      <x:c r="G330" s="102" t="str">
        <x:v>焦脉祭链</x:v>
      </x:c>
      <x:c r="H330" s="102" t="str">
        <x:v>项链</x:v>
      </x:c>
      <x:c r="I330" s="147" t="n">
        <x:v>120</x:v>
      </x:c>
      <x:c r="J330" s="102" t="str">
        <x:v>否（材料数量固定）</x:v>
      </x:c>
      <x:c r="K330" s="102" t="str">
        <x:v>仅手动分解；默认不勾选；二次确认</x:v>
      </x:c>
      <x:c r="L330" s="103" t="str">
        <x:v>一怪一专属；专属来源跟随本行准确地图号</x:v>
      </x:c>
    </x:row>
    <x:row r="331">
      <x:c r="A331" s="101" t="str">
        <x:v>C06</x:v>
      </x:c>
      <x:c r="B331" s="102" t="str">
        <x:v>盖利德</x:v>
      </x:c>
      <x:c r="C331" s="102" t="str">
        <x:v>猩红熔原</x:v>
      </x:c>
      <x:c r="D331" s="102" t="n">
        <x:v>3</x:v>
      </x:c>
      <x:c r="E331" s="102" t="str">
        <x:v>稀有</x:v>
      </x:c>
      <x:c r="F331" s="102" t="str">
        <x:v>岩浆负甲兽</x:v>
      </x:c>
      <x:c r="G331" s="102" t="str">
        <x:v>负甲熔盾</x:v>
      </x:c>
      <x:c r="H331" s="102" t="str">
        <x:v>盾牌</x:v>
      </x:c>
      <x:c r="I331" s="147" t="n">
        <x:v>120</x:v>
      </x:c>
      <x:c r="J331" s="102" t="str">
        <x:v>否（材料数量固定）</x:v>
      </x:c>
      <x:c r="K331" s="102" t="str">
        <x:v>仅手动分解；默认不勾选；二次确认</x:v>
      </x:c>
      <x:c r="L331" s="103" t="str">
        <x:v>一怪一专属；专属来源跟随本行准确地图号</x:v>
      </x:c>
    </x:row>
    <x:row r="332">
      <x:c r="A332" s="101" t="str">
        <x:v>C06</x:v>
      </x:c>
      <x:c r="B332" s="102" t="str">
        <x:v>盖利德</x:v>
      </x:c>
      <x:c r="C332" s="102" t="str">
        <x:v>猩红熔原</x:v>
      </x:c>
      <x:c r="D332" s="102" t="n">
        <x:v>4</x:v>
      </x:c>
      <x:c r="E332" s="102" t="str">
        <x:v>稀有</x:v>
      </x:c>
      <x:c r="F332" s="102" t="str">
        <x:v>灰烬裁决官</x:v>
      </x:c>
      <x:c r="G332" s="102" t="str">
        <x:v>灰烬裁印</x:v>
      </x:c>
      <x:c r="H332" s="102" t="str">
        <x:v>勋章</x:v>
      </x:c>
      <x:c r="I332" s="147" t="n">
        <x:v>120</x:v>
      </x:c>
      <x:c r="J332" s="102" t="str">
        <x:v>否（材料数量固定）</x:v>
      </x:c>
      <x:c r="K332" s="102" t="str">
        <x:v>仅手动分解；默认不勾选；二次确认</x:v>
      </x:c>
      <x:c r="L332" s="103" t="str">
        <x:v>一怪一专属；专属来源跟随本行准确地图号</x:v>
      </x:c>
    </x:row>
    <x:row r="333">
      <x:c r="A333" s="101" t="str">
        <x:v>C06</x:v>
      </x:c>
      <x:c r="B333" s="102" t="str">
        <x:v>盖利德</x:v>
      </x:c>
      <x:c r="C333" s="102" t="str">
        <x:v>猩红熔原</x:v>
      </x:c>
      <x:c r="D333" s="102" t="n">
        <x:v>4</x:v>
      </x:c>
      <x:c r="E333" s="102" t="str">
        <x:v>地图BOSS</x:v>
      </x:c>
      <x:c r="F333" s="102" t="str">
        <x:v>火蚀巨像·巴洛</x:v>
      </x:c>
      <x:c r="G333" s="102" t="str">
        <x:v>巴洛熔拳</x:v>
      </x:c>
      <x:c r="H333" s="102" t="str">
        <x:v>武器</x:v>
      </x:c>
      <x:c r="I333" s="147" t="n">
        <x:v>250</x:v>
      </x:c>
      <x:c r="J333" s="102" t="str">
        <x:v>否（材料数量固定）</x:v>
      </x:c>
      <x:c r="K333" s="102" t="str">
        <x:v>仅手动分解；默认不勾选；二次确认</x:v>
      </x:c>
      <x:c r="L333" s="103" t="str">
        <x:v>一怪一专属；专属来源跟随本行准确地图号</x:v>
      </x:c>
    </x:row>
    <x:row r="334">
      <x:c r="A334" s="101" t="str">
        <x:v>C06</x:v>
      </x:c>
      <x:c r="B334" s="102" t="str">
        <x:v>盖利德</x:v>
      </x:c>
      <x:c r="C334" s="102" t="str">
        <x:v>猩红熔原</x:v>
      </x:c>
      <x:c r="D334" s="102" t="n">
        <x:v>5</x:v>
      </x:c>
      <x:c r="E334" s="102" t="str">
        <x:v>地图BOSS</x:v>
      </x:c>
      <x:c r="F334" s="102" t="str">
        <x:v>猩红熔母·瑟芮</x:v>
      </x:c>
      <x:c r="G334" s="102" t="str">
        <x:v>瑟芮血衣</x:v>
      </x:c>
      <x:c r="H334" s="102" t="str">
        <x:v>衣服</x:v>
      </x:c>
      <x:c r="I334" s="147" t="n">
        <x:v>250</x:v>
      </x:c>
      <x:c r="J334" s="102" t="str">
        <x:v>否（材料数量固定）</x:v>
      </x:c>
      <x:c r="K334" s="102" t="str">
        <x:v>仅手动分解；默认不勾选；二次确认</x:v>
      </x:c>
      <x:c r="L334" s="103" t="str">
        <x:v>一怪一专属；专属来源跟随本行准确地图号</x:v>
      </x:c>
    </x:row>
    <x:row r="335">
      <x:c r="A335" s="101" t="str">
        <x:v>C06</x:v>
      </x:c>
      <x:c r="B335" s="102" t="str">
        <x:v>盖利德</x:v>
      </x:c>
      <x:c r="C335" s="102" t="str">
        <x:v>腐败火狱</x:v>
      </x:c>
      <x:c r="D335" s="102" t="n">
        <x:v>1</x:v>
      </x:c>
      <x:c r="E335" s="102" t="str">
        <x:v>普通</x:v>
      </x:c>
      <x:c r="F335" s="102" t="str">
        <x:v>腐狱囚徒</x:v>
      </x:c>
      <x:c r="G335" s="102" t="str">
        <x:v>腐狱铁链</x:v>
      </x:c>
      <x:c r="H335" s="102" t="str">
        <x:v>项链</x:v>
      </x:c>
      <x:c r="I335" s="147" t="n">
        <x:v>60</x:v>
      </x:c>
      <x:c r="J335" s="102" t="str">
        <x:v>否（材料数量固定）</x:v>
      </x:c>
      <x:c r="K335" s="102" t="str">
        <x:v>仅手动分解；默认不勾选；二次确认</x:v>
      </x:c>
      <x:c r="L335" s="103" t="str">
        <x:v>一怪一专属；专属来源跟随本行准确地图号</x:v>
      </x:c>
    </x:row>
    <x:row r="336">
      <x:c r="A336" s="101" t="str">
        <x:v>C06</x:v>
      </x:c>
      <x:c r="B336" s="102" t="str">
        <x:v>盖利德</x:v>
      </x:c>
      <x:c r="C336" s="102" t="str">
        <x:v>腐败火狱</x:v>
      </x:c>
      <x:c r="D336" s="102" t="n">
        <x:v>2</x:v>
      </x:c>
      <x:c r="E336" s="102" t="str">
        <x:v>普通</x:v>
      </x:c>
      <x:c r="F336" s="102" t="str">
        <x:v>灼腐行刑兵</x:v>
      </x:c>
      <x:c r="G336" s="102" t="str">
        <x:v>灼刑断刃</x:v>
      </x:c>
      <x:c r="H336" s="102" t="str">
        <x:v>武器</x:v>
      </x:c>
      <x:c r="I336" s="147" t="n">
        <x:v>60</x:v>
      </x:c>
      <x:c r="J336" s="102" t="str">
        <x:v>否（材料数量固定）</x:v>
      </x:c>
      <x:c r="K336" s="102" t="str">
        <x:v>仅手动分解；默认不勾选；二次确认</x:v>
      </x:c>
      <x:c r="L336" s="103" t="str">
        <x:v>一怪一专属；专属来源跟随本行准确地图号</x:v>
      </x:c>
    </x:row>
    <x:row r="337">
      <x:c r="A337" s="101" t="str">
        <x:v>C06</x:v>
      </x:c>
      <x:c r="B337" s="102" t="str">
        <x:v>盖利德</x:v>
      </x:c>
      <x:c r="C337" s="102" t="str">
        <x:v>腐败火狱</x:v>
      </x:c>
      <x:c r="D337" s="102" t="n">
        <x:v>3</x:v>
      </x:c>
      <x:c r="E337" s="102" t="str">
        <x:v>普通</x:v>
      </x:c>
      <x:c r="F337" s="102" t="str">
        <x:v>深渊熔壳虫</x:v>
      </x:c>
      <x:c r="G337" s="102" t="str">
        <x:v>熔壳甲衣</x:v>
      </x:c>
      <x:c r="H337" s="102" t="str">
        <x:v>衣服</x:v>
      </x:c>
      <x:c r="I337" s="147" t="n">
        <x:v>60</x:v>
      </x:c>
      <x:c r="J337" s="102" t="str">
        <x:v>否（材料数量固定）</x:v>
      </x:c>
      <x:c r="K337" s="102" t="str">
        <x:v>仅手动分解；默认不勾选；二次确认</x:v>
      </x:c>
      <x:c r="L337" s="103" t="str">
        <x:v>一怪一专属；专属来源跟随本行准确地图号</x:v>
      </x:c>
    </x:row>
    <x:row r="338">
      <x:c r="A338" s="101" t="str">
        <x:v>C06</x:v>
      </x:c>
      <x:c r="B338" s="102" t="str">
        <x:v>盖利德</x:v>
      </x:c>
      <x:c r="C338" s="102" t="str">
        <x:v>腐败火狱</x:v>
      </x:c>
      <x:c r="D338" s="102" t="n">
        <x:v>4</x:v>
      </x:c>
      <x:c r="E338" s="102" t="str">
        <x:v>普通</x:v>
      </x:c>
      <x:c r="F338" s="102" t="str">
        <x:v>内域血菌兽</x:v>
      </x:c>
      <x:c r="G338" s="102" t="str">
        <x:v>血菌腕轮</x:v>
      </x:c>
      <x:c r="H338" s="102" t="str">
        <x:v>手镯</x:v>
      </x:c>
      <x:c r="I338" s="147" t="n">
        <x:v>60</x:v>
      </x:c>
      <x:c r="J338" s="102" t="str">
        <x:v>否（材料数量固定）</x:v>
      </x:c>
      <x:c r="K338" s="102" t="str">
        <x:v>仅手动分解；默认不勾选；二次确认</x:v>
      </x:c>
      <x:c r="L338" s="103" t="str">
        <x:v>一怪一专属；专属来源跟随本行准确地图号</x:v>
      </x:c>
    </x:row>
    <x:row r="339">
      <x:c r="A339" s="101" t="str">
        <x:v>C06</x:v>
      </x:c>
      <x:c r="B339" s="102" t="str">
        <x:v>盖利德</x:v>
      </x:c>
      <x:c r="C339" s="102" t="str">
        <x:v>腐败火狱</x:v>
      </x:c>
      <x:c r="D339" s="102" t="n">
        <x:v>5</x:v>
      </x:c>
      <x:c r="E339" s="102" t="str">
        <x:v>普通</x:v>
      </x:c>
      <x:c r="F339" s="102" t="str">
        <x:v>熔心烙印僧</x:v>
      </x:c>
      <x:c r="G339" s="102" t="str">
        <x:v>烙印斗笠</x:v>
      </x:c>
      <x:c r="H339" s="102" t="str">
        <x:v>斗笠</x:v>
      </x:c>
      <x:c r="I339" s="147" t="n">
        <x:v>60</x:v>
      </x:c>
      <x:c r="J339" s="102" t="str">
        <x:v>否（材料数量固定）</x:v>
      </x:c>
      <x:c r="K339" s="102" t="str">
        <x:v>仅手动分解；默认不勾选；二次确认</x:v>
      </x:c>
      <x:c r="L339" s="103" t="str">
        <x:v>一怪一专属；专属来源跟随本行准确地图号</x:v>
      </x:c>
    </x:row>
    <x:row r="340">
      <x:c r="A340" s="101" t="str">
        <x:v>C06</x:v>
      </x:c>
      <x:c r="B340" s="102" t="str">
        <x:v>盖利德</x:v>
      </x:c>
      <x:c r="C340" s="102" t="str">
        <x:v>腐败火狱</x:v>
      </x:c>
      <x:c r="D340" s="102" t="n">
        <x:v>1</x:v>
      </x:c>
      <x:c r="E340" s="102" t="str">
        <x:v>普通</x:v>
      </x:c>
      <x:c r="F340" s="102" t="str">
        <x:v>火狱锁门卒</x:v>
      </x:c>
      <x:c r="G340" s="102" t="str">
        <x:v>锁门重盾</x:v>
      </x:c>
      <x:c r="H340" s="102" t="str">
        <x:v>盾牌</x:v>
      </x:c>
      <x:c r="I340" s="147" t="n">
        <x:v>60</x:v>
      </x:c>
      <x:c r="J340" s="102" t="str">
        <x:v>否（材料数量固定）</x:v>
      </x:c>
      <x:c r="K340" s="102" t="str">
        <x:v>仅手动分解；默认不勾选；二次确认</x:v>
      </x:c>
      <x:c r="L340" s="103" t="str">
        <x:v>一怪一专属；专属来源跟随本行准确地图号</x:v>
      </x:c>
    </x:row>
    <x:row r="341">
      <x:c r="A341" s="101" t="str">
        <x:v>C06</x:v>
      </x:c>
      <x:c r="B341" s="102" t="str">
        <x:v>盖利德</x:v>
      </x:c>
      <x:c r="C341" s="102" t="str">
        <x:v>腐败火狱</x:v>
      </x:c>
      <x:c r="D341" s="102" t="n">
        <x:v>1</x:v>
      </x:c>
      <x:c r="E341" s="102" t="str">
        <x:v>稀有</x:v>
      </x:c>
      <x:c r="F341" s="102" t="str">
        <x:v>瘴焰缝尸匠</x:v>
      </x:c>
      <x:c r="G341" s="102" t="str">
        <x:v>缝尸骨针</x:v>
      </x:c>
      <x:c r="H341" s="102" t="str">
        <x:v>武器</x:v>
      </x:c>
      <x:c r="I341" s="147" t="n">
        <x:v>120</x:v>
      </x:c>
      <x:c r="J341" s="102" t="str">
        <x:v>否（材料数量固定）</x:v>
      </x:c>
      <x:c r="K341" s="102" t="str">
        <x:v>仅手动分解；默认不勾选；二次确认</x:v>
      </x:c>
      <x:c r="L341" s="103" t="str">
        <x:v>一怪一专属；专属来源跟随本行准确地图号</x:v>
      </x:c>
    </x:row>
    <x:row r="342">
      <x:c r="A342" s="101" t="str">
        <x:v>C06</x:v>
      </x:c>
      <x:c r="B342" s="102" t="str">
        <x:v>盖利德</x:v>
      </x:c>
      <x:c r="C342" s="102" t="str">
        <x:v>腐败火狱</x:v>
      </x:c>
      <x:c r="D342" s="102" t="n">
        <x:v>2</x:v>
      </x:c>
      <x:c r="E342" s="102" t="str">
        <x:v>稀有</x:v>
      </x:c>
      <x:c r="F342" s="102" t="str">
        <x:v>灼骨狱卒长</x:v>
      </x:c>
      <x:c r="G342" s="102" t="str">
        <x:v>灼骨腰甲</x:v>
      </x:c>
      <x:c r="H342" s="102" t="str">
        <x:v>腰带</x:v>
      </x:c>
      <x:c r="I342" s="147" t="n">
        <x:v>120</x:v>
      </x:c>
      <x:c r="J342" s="102" t="str">
        <x:v>否（材料数量固定）</x:v>
      </x:c>
      <x:c r="K342" s="102" t="str">
        <x:v>仅手动分解；默认不勾选；二次确认</x:v>
      </x:c>
      <x:c r="L342" s="103" t="str">
        <x:v>一怪一专属；专属来源跟随本行准确地图号</x:v>
      </x:c>
    </x:row>
    <x:row r="343">
      <x:c r="A343" s="101" t="str">
        <x:v>C06</x:v>
      </x:c>
      <x:c r="B343" s="102" t="str">
        <x:v>盖利德</x:v>
      </x:c>
      <x:c r="C343" s="102" t="str">
        <x:v>腐败火狱</x:v>
      </x:c>
      <x:c r="D343" s="102" t="n">
        <x:v>3</x:v>
      </x:c>
      <x:c r="E343" s="102" t="str">
        <x:v>稀有</x:v>
      </x:c>
      <x:c r="F343" s="102" t="str">
        <x:v>深渊熔喉兽</x:v>
      </x:c>
      <x:c r="G343" s="102" t="str">
        <x:v>熔喉牙戒</x:v>
      </x:c>
      <x:c r="H343" s="102" t="str">
        <x:v>戒指</x:v>
      </x:c>
      <x:c r="I343" s="147" t="n">
        <x:v>120</x:v>
      </x:c>
      <x:c r="J343" s="102" t="str">
        <x:v>否（材料数量固定）</x:v>
      </x:c>
      <x:c r="K343" s="102" t="str">
        <x:v>仅手动分解；默认不勾选；二次确认</x:v>
      </x:c>
      <x:c r="L343" s="103" t="str">
        <x:v>一怪一专属；专属来源跟随本行准确地图号</x:v>
      </x:c>
    </x:row>
    <x:row r="344">
      <x:c r="A344" s="101" t="str">
        <x:v>C06</x:v>
      </x:c>
      <x:c r="B344" s="102" t="str">
        <x:v>盖利德</x:v>
      </x:c>
      <x:c r="C344" s="102" t="str">
        <x:v>腐败火狱</x:v>
      </x:c>
      <x:c r="D344" s="102" t="n">
        <x:v>4</x:v>
      </x:c>
      <x:c r="E344" s="102" t="str">
        <x:v>稀有</x:v>
      </x:c>
      <x:c r="F344" s="102" t="str">
        <x:v>赤腐祷刑官</x:v>
      </x:c>
      <x:c r="G344" s="102" t="str">
        <x:v>祷刑罪章</x:v>
      </x:c>
      <x:c r="H344" s="102" t="str">
        <x:v>勋章</x:v>
      </x:c>
      <x:c r="I344" s="147" t="n">
        <x:v>120</x:v>
      </x:c>
      <x:c r="J344" s="102" t="str">
        <x:v>否（材料数量固定）</x:v>
      </x:c>
      <x:c r="K344" s="102" t="str">
        <x:v>仅手动分解；默认不勾选；二次确认</x:v>
      </x:c>
      <x:c r="L344" s="103" t="str">
        <x:v>一怪一专属；专属来源跟随本行准确地图号</x:v>
      </x:c>
    </x:row>
    <x:row r="345">
      <x:c r="A345" s="101" t="str">
        <x:v>C06</x:v>
      </x:c>
      <x:c r="B345" s="102" t="str">
        <x:v>盖利德</x:v>
      </x:c>
      <x:c r="C345" s="102" t="str">
        <x:v>腐败火狱</x:v>
      </x:c>
      <x:c r="D345" s="102" t="n">
        <x:v>4</x:v>
      </x:c>
      <x:c r="E345" s="102" t="str">
        <x:v>地图BOSS</x:v>
      </x:c>
      <x:c r="F345" s="102" t="str">
        <x:v>腐败火侯·伊弗</x:v>
      </x:c>
      <x:c r="G345" s="102" t="str">
        <x:v>伊弗腐冠</x:v>
      </x:c>
      <x:c r="H345" s="102" t="str">
        <x:v>头盔</x:v>
      </x:c>
      <x:c r="I345" s="147" t="n">
        <x:v>250</x:v>
      </x:c>
      <x:c r="J345" s="102" t="str">
        <x:v>否（材料数量固定）</x:v>
      </x:c>
      <x:c r="K345" s="102" t="str">
        <x:v>仅手动分解；默认不勾选；二次确认</x:v>
      </x:c>
      <x:c r="L345" s="103" t="str">
        <x:v>一怪一专属；专属来源跟随本行准确地图号</x:v>
      </x:c>
    </x:row>
    <x:row r="346">
      <x:c r="A346" s="101" t="str">
        <x:v>C06</x:v>
      </x:c>
      <x:c r="B346" s="102" t="str">
        <x:v>盖利德</x:v>
      </x:c>
      <x:c r="C346" s="102" t="str">
        <x:v>腐败火狱</x:v>
      </x:c>
      <x:c r="D346" s="102" t="n">
        <x:v>5</x:v>
      </x:c>
      <x:c r="E346" s="102" t="str">
        <x:v>地图BOSS</x:v>
      </x:c>
      <x:c r="F346" s="102" t="str">
        <x:v>熔心狱主·塞维拉</x:v>
      </x:c>
      <x:c r="G346" s="102" t="str">
        <x:v>塞维拉狱衣</x:v>
      </x:c>
      <x:c r="H346" s="102" t="str">
        <x:v>衣服</x:v>
      </x:c>
      <x:c r="I346" s="147" t="n">
        <x:v>250</x:v>
      </x:c>
      <x:c r="J346" s="102" t="str">
        <x:v>否（材料数量固定）</x:v>
      </x:c>
      <x:c r="K346" s="102" t="str">
        <x:v>仅手动分解；默认不勾选；二次确认</x:v>
      </x:c>
      <x:c r="L346" s="103" t="str">
        <x:v>一怪一专属；专属来源跟随本行准确地图号</x:v>
      </x:c>
    </x:row>
    <x:row r="347">
      <x:c r="A347" s="101" t="str">
        <x:v>C06</x:v>
      </x:c>
      <x:c r="B347" s="102" t="str">
        <x:v>盖利德</x:v>
      </x:c>
      <x:c r="C347" s="102" t="str">
        <x:v>红狮龙窟</x:v>
      </x:c>
      <x:c r="D347" s="102" t="n">
        <x:v>1</x:v>
      </x:c>
      <x:c r="E347" s="102" t="str">
        <x:v>普通</x:v>
      </x:c>
      <x:c r="F347" s="102" t="str">
        <x:v>龙窟烬鳞兽</x:v>
      </x:c>
      <x:c r="G347" s="102" t="str">
        <x:v>烬鳞护腕</x:v>
      </x:c>
      <x:c r="H347" s="102" t="str">
        <x:v>手镯</x:v>
      </x:c>
      <x:c r="I347" s="147" t="n">
        <x:v>60</x:v>
      </x:c>
      <x:c r="J347" s="102" t="str">
        <x:v>否（材料数量固定）</x:v>
      </x:c>
      <x:c r="K347" s="102" t="str">
        <x:v>仅手动分解；默认不勾选；二次确认</x:v>
      </x:c>
      <x:c r="L347" s="103" t="str">
        <x:v>一怪一专属；专属来源跟随本行准确地图号</x:v>
      </x:c>
    </x:row>
    <x:row r="348">
      <x:c r="A348" s="101" t="str">
        <x:v>C06</x:v>
      </x:c>
      <x:c r="B348" s="102" t="str">
        <x:v>盖利德</x:v>
      </x:c>
      <x:c r="C348" s="102" t="str">
        <x:v>红狮龙窟</x:v>
      </x:c>
      <x:c r="D348" s="102" t="n">
        <x:v>2</x:v>
      </x:c>
      <x:c r="E348" s="102" t="str">
        <x:v>普通</x:v>
      </x:c>
      <x:c r="F348" s="102" t="str">
        <x:v>崎路红狮兵</x:v>
      </x:c>
      <x:c r="G348" s="102" t="str">
        <x:v>崎路狮盔</x:v>
      </x:c>
      <x:c r="H348" s="102" t="str">
        <x:v>头盔</x:v>
      </x:c>
      <x:c r="I348" s="147" t="n">
        <x:v>60</x:v>
      </x:c>
      <x:c r="J348" s="102" t="str">
        <x:v>否（材料数量固定）</x:v>
      </x:c>
      <x:c r="K348" s="102" t="str">
        <x:v>仅手动分解；默认不勾选；二次确认</x:v>
      </x:c>
      <x:c r="L348" s="103" t="str">
        <x:v>一怪一专属；专属来源跟随本行准确地图号</x:v>
      </x:c>
    </x:row>
    <x:row r="349">
      <x:c r="A349" s="101" t="str">
        <x:v>C06</x:v>
      </x:c>
      <x:c r="B349" s="102" t="str">
        <x:v>盖利德</x:v>
      </x:c>
      <x:c r="C349" s="102" t="str">
        <x:v>红狮龙窟</x:v>
      </x:c>
      <x:c r="D349" s="102" t="n">
        <x:v>3</x:v>
      </x:c>
      <x:c r="E349" s="102" t="str">
        <x:v>普通</x:v>
      </x:c>
      <x:c r="F349" s="102" t="str">
        <x:v>回廊火弩卫</x:v>
      </x:c>
      <x:c r="G349" s="102" t="str">
        <x:v>火弩指环</x:v>
      </x:c>
      <x:c r="H349" s="102" t="str">
        <x:v>戒指</x:v>
      </x:c>
      <x:c r="I349" s="147" t="n">
        <x:v>60</x:v>
      </x:c>
      <x:c r="J349" s="102" t="str">
        <x:v>否（材料数量固定）</x:v>
      </x:c>
      <x:c r="K349" s="102" t="str">
        <x:v>仅手动分解；默认不勾选；二次确认</x:v>
      </x:c>
      <x:c r="L349" s="103" t="str">
        <x:v>一怪一专属；专属来源跟随本行准确地图号</x:v>
      </x:c>
    </x:row>
    <x:row r="350">
      <x:c r="A350" s="101" t="str">
        <x:v>C06</x:v>
      </x:c>
      <x:c r="B350" s="102" t="str">
        <x:v>盖利德</x:v>
      </x:c>
      <x:c r="C350" s="102" t="str">
        <x:v>红狮龙窟</x:v>
      </x:c>
      <x:c r="D350" s="102" t="n">
        <x:v>4</x:v>
      </x:c>
      <x:c r="E350" s="102" t="str">
        <x:v>普通</x:v>
      </x:c>
      <x:c r="F350" s="102" t="str">
        <x:v>龙巢护卵兽</x:v>
      </x:c>
      <x:c r="G350" s="102" t="str">
        <x:v>护卵鳞衣</x:v>
      </x:c>
      <x:c r="H350" s="102" t="str">
        <x:v>衣服</x:v>
      </x:c>
      <x:c r="I350" s="147" t="n">
        <x:v>60</x:v>
      </x:c>
      <x:c r="J350" s="102" t="str">
        <x:v>否（材料数量固定）</x:v>
      </x:c>
      <x:c r="K350" s="102" t="str">
        <x:v>仅手动分解；默认不勾选；二次确认</x:v>
      </x:c>
      <x:c r="L350" s="103" t="str">
        <x:v>一怪一专属；专属来源跟随本行准确地图号</x:v>
      </x:c>
    </x:row>
    <x:row r="351">
      <x:c r="A351" s="101" t="str">
        <x:v>C06</x:v>
      </x:c>
      <x:c r="B351" s="102" t="str">
        <x:v>盖利德</x:v>
      </x:c>
      <x:c r="C351" s="102" t="str">
        <x:v>红狮龙窟</x:v>
      </x:c>
      <x:c r="D351" s="102" t="n">
        <x:v>5</x:v>
      </x:c>
      <x:c r="E351" s="102" t="str">
        <x:v>普通</x:v>
      </x:c>
      <x:c r="F351" s="102" t="str">
        <x:v>神殿执矛僧</x:v>
      </x:c>
      <x:c r="G351" s="102" t="str">
        <x:v>神殿焰矛</x:v>
      </x:c>
      <x:c r="H351" s="102" t="str">
        <x:v>武器</x:v>
      </x:c>
      <x:c r="I351" s="147" t="n">
        <x:v>60</x:v>
      </x:c>
      <x:c r="J351" s="102" t="str">
        <x:v>否（材料数量固定）</x:v>
      </x:c>
      <x:c r="K351" s="102" t="str">
        <x:v>仅手动分解；默认不勾选；二次确认</x:v>
      </x:c>
      <x:c r="L351" s="103" t="str">
        <x:v>一怪一专属；专属来源跟随本行准确地图号</x:v>
      </x:c>
    </x:row>
    <x:row r="352">
      <x:c r="A352" s="101" t="str">
        <x:v>C06</x:v>
      </x:c>
      <x:c r="B352" s="102" t="str">
        <x:v>盖利德</x:v>
      </x:c>
      <x:c r="C352" s="102" t="str">
        <x:v>红狮龙窟</x:v>
      </x:c>
      <x:c r="D352" s="102" t="n">
        <x:v>1</x:v>
      </x:c>
      <x:c r="E352" s="102" t="str">
        <x:v>普通</x:v>
      </x:c>
      <x:c r="F352" s="102" t="str">
        <x:v>赤鬃巡巢者</x:v>
      </x:c>
      <x:c r="G352" s="102" t="str">
        <x:v>赤鬃战靴</x:v>
      </x:c>
      <x:c r="H352" s="102" t="str">
        <x:v>鞋子</x:v>
      </x:c>
      <x:c r="I352" s="147" t="n">
        <x:v>60</x:v>
      </x:c>
      <x:c r="J352" s="102" t="str">
        <x:v>否（材料数量固定）</x:v>
      </x:c>
      <x:c r="K352" s="102" t="str">
        <x:v>仅手动分解；默认不勾选；二次确认</x:v>
      </x:c>
      <x:c r="L352" s="103" t="str">
        <x:v>一怪一专属；专属来源跟随本行准确地图号</x:v>
      </x:c>
    </x:row>
    <x:row r="353">
      <x:c r="A353" s="101" t="str">
        <x:v>C06</x:v>
      </x:c>
      <x:c r="B353" s="102" t="str">
        <x:v>盖利德</x:v>
      </x:c>
      <x:c r="C353" s="102" t="str">
        <x:v>红狮龙窟</x:v>
      </x:c>
      <x:c r="D353" s="102" t="n">
        <x:v>1</x:v>
      </x:c>
      <x:c r="E353" s="102" t="str">
        <x:v>稀有</x:v>
      </x:c>
      <x:c r="F353" s="102" t="str">
        <x:v>龙火驯兽师</x:v>
      </x:c>
      <x:c r="G353" s="102" t="str">
        <x:v>驯火锁链</x:v>
      </x:c>
      <x:c r="H353" s="102" t="str">
        <x:v>项链</x:v>
      </x:c>
      <x:c r="I353" s="147" t="n">
        <x:v>120</x:v>
      </x:c>
      <x:c r="J353" s="102" t="str">
        <x:v>否（材料数量固定）</x:v>
      </x:c>
      <x:c r="K353" s="102" t="str">
        <x:v>仅手动分解；默认不勾选；二次确认</x:v>
      </x:c>
      <x:c r="L353" s="103" t="str">
        <x:v>一怪一专属；专属来源跟随本行准确地图号</x:v>
      </x:c>
    </x:row>
    <x:row r="354">
      <x:c r="A354" s="101" t="str">
        <x:v>C06</x:v>
      </x:c>
      <x:c r="B354" s="102" t="str">
        <x:v>盖利德</x:v>
      </x:c>
      <x:c r="C354" s="102" t="str">
        <x:v>红狮龙窟</x:v>
      </x:c>
      <x:c r="D354" s="102" t="n">
        <x:v>2</x:v>
      </x:c>
      <x:c r="E354" s="102" t="str">
        <x:v>稀有</x:v>
      </x:c>
      <x:c r="F354" s="102" t="str">
        <x:v>红狮斩翼骑</x:v>
      </x:c>
      <x:c r="G354" s="102" t="str">
        <x:v>斩翼腰封</x:v>
      </x:c>
      <x:c r="H354" s="102" t="str">
        <x:v>腰带</x:v>
      </x:c>
      <x:c r="I354" s="147" t="n">
        <x:v>120</x:v>
      </x:c>
      <x:c r="J354" s="102" t="str">
        <x:v>否（材料数量固定）</x:v>
      </x:c>
      <x:c r="K354" s="102" t="str">
        <x:v>仅手动分解；默认不勾选；二次确认</x:v>
      </x:c>
      <x:c r="L354" s="103" t="str">
        <x:v>一怪一专属；专属来源跟随本行准确地图号</x:v>
      </x:c>
    </x:row>
    <x:row r="355">
      <x:c r="A355" s="101" t="str">
        <x:v>C06</x:v>
      </x:c>
      <x:c r="B355" s="102" t="str">
        <x:v>盖利德</x:v>
      </x:c>
      <x:c r="C355" s="102" t="str">
        <x:v>红狮龙窟</x:v>
      </x:c>
      <x:c r="D355" s="102" t="n">
        <x:v>3</x:v>
      </x:c>
      <x:c r="E355" s="102" t="str">
        <x:v>稀有</x:v>
      </x:c>
      <x:c r="F355" s="102" t="str">
        <x:v>赤焰鳞甲将</x:v>
      </x:c>
      <x:c r="G355" s="102" t="str">
        <x:v>赤焰塔盾</x:v>
      </x:c>
      <x:c r="H355" s="102" t="str">
        <x:v>盾牌</x:v>
      </x:c>
      <x:c r="I355" s="147" t="n">
        <x:v>120</x:v>
      </x:c>
      <x:c r="J355" s="102" t="str">
        <x:v>否（材料数量固定）</x:v>
      </x:c>
      <x:c r="K355" s="102" t="str">
        <x:v>仅手动分解；默认不勾选；二次确认</x:v>
      </x:c>
      <x:c r="L355" s="103" t="str">
        <x:v>一怪一专属；专属来源跟随本行准确地图号</x:v>
      </x:c>
    </x:row>
    <x:row r="356">
      <x:c r="A356" s="101" t="str">
        <x:v>C06</x:v>
      </x:c>
      <x:c r="B356" s="102" t="str">
        <x:v>盖利德</x:v>
      </x:c>
      <x:c r="C356" s="102" t="str">
        <x:v>红狮龙窟</x:v>
      </x:c>
      <x:c r="D356" s="102" t="n">
        <x:v>4</x:v>
      </x:c>
      <x:c r="E356" s="102" t="str">
        <x:v>稀有</x:v>
      </x:c>
      <x:c r="F356" s="102" t="str">
        <x:v>龙巢血祭司</x:v>
      </x:c>
      <x:c r="G356" s="102" t="str">
        <x:v>血祭徽章</x:v>
      </x:c>
      <x:c r="H356" s="102" t="str">
        <x:v>勋章</x:v>
      </x:c>
      <x:c r="I356" s="147" t="n">
        <x:v>120</x:v>
      </x:c>
      <x:c r="J356" s="102" t="str">
        <x:v>否（材料数量固定）</x:v>
      </x:c>
      <x:c r="K356" s="102" t="str">
        <x:v>仅手动分解；默认不勾选；二次确认</x:v>
      </x:c>
      <x:c r="L356" s="103" t="str">
        <x:v>一怪一专属；专属来源跟随本行准确地图号</x:v>
      </x:c>
    </x:row>
    <x:row r="357">
      <x:c r="A357" s="101" t="str">
        <x:v>C06</x:v>
      </x:c>
      <x:c r="B357" s="102" t="str">
        <x:v>盖利德</x:v>
      </x:c>
      <x:c r="C357" s="102" t="str">
        <x:v>红狮龙窟</x:v>
      </x:c>
      <x:c r="D357" s="102" t="n">
        <x:v>4</x:v>
      </x:c>
      <x:c r="E357" s="102" t="str">
        <x:v>地图BOSS</x:v>
      </x:c>
      <x:c r="F357" s="102" t="str">
        <x:v>焚翼古龙·阿格纳</x:v>
      </x:c>
      <x:c r="G357" s="102" t="str">
        <x:v>阿格纳龙牙</x:v>
      </x:c>
      <x:c r="H357" s="102" t="str">
        <x:v>武器</x:v>
      </x:c>
      <x:c r="I357" s="147" t="n">
        <x:v>250</x:v>
      </x:c>
      <x:c r="J357" s="102" t="str">
        <x:v>否（材料数量固定）</x:v>
      </x:c>
      <x:c r="K357" s="102" t="str">
        <x:v>仅手动分解；默认不勾选；二次确认</x:v>
      </x:c>
      <x:c r="L357" s="103" t="str">
        <x:v>一怪一专属；专属来源跟随本行准确地图号</x:v>
      </x:c>
    </x:row>
    <x:row r="358">
      <x:c r="A358" s="101" t="str">
        <x:v>C06</x:v>
      </x:c>
      <x:c r="B358" s="102" t="str">
        <x:v>盖利德</x:v>
      </x:c>
      <x:c r="C358" s="102" t="str">
        <x:v>红狮龙窟</x:v>
      </x:c>
      <x:c r="D358" s="102" t="n">
        <x:v>5</x:v>
      </x:c>
      <x:c r="E358" s="102" t="str">
        <x:v>地图BOSS</x:v>
      </x:c>
      <x:c r="F358" s="102" t="str">
        <x:v>红狮圣兽·雷奥尼斯</x:v>
      </x:c>
      <x:c r="G358" s="102" t="str">
        <x:v>雷奥尼斯狮铠</x:v>
      </x:c>
      <x:c r="H358" s="102" t="str">
        <x:v>衣服</x:v>
      </x:c>
      <x:c r="I358" s="147" t="n">
        <x:v>250</x:v>
      </x:c>
      <x:c r="J358" s="102" t="str">
        <x:v>否（材料数量固定）</x:v>
      </x:c>
      <x:c r="K358" s="102" t="str">
        <x:v>仅手动分解；默认不勾选；二次确认</x:v>
      </x:c>
      <x:c r="L358" s="103" t="str">
        <x:v>一怪一专属；专属来源跟随本行准确地图号</x:v>
      </x:c>
    </x:row>
    <x:row r="359">
      <x:c r="A359" s="101" t="str">
        <x:v>C06</x:v>
      </x:c>
      <x:c r="B359" s="102" t="str">
        <x:v>盖利德</x:v>
      </x:c>
      <x:c r="C359" s="102" t="str">
        <x:v>红狮龙窟</x:v>
      </x:c>
      <x:c r="D359" s="102" t="n">
        <x:v>5</x:v>
      </x:c>
      <x:c r="E359" s="102" t="str">
        <x:v>守关BOSS</x:v>
      </x:c>
      <x:c r="F359" s="102" t="str">
        <x:v>碎星狮王·拉塔恩</x:v>
      </x:c>
      <x:c r="G359" s="102" t="str">
        <x:v>拉塔恩碎星巨刃</x:v>
      </x:c>
      <x:c r="H359" s="102" t="str">
        <x:v>武器</x:v>
      </x:c>
      <x:c r="I359" s="147" t="n">
        <x:v>250</x:v>
      </x:c>
      <x:c r="J359" s="102" t="str">
        <x:v>否（材料数量固定）</x:v>
      </x:c>
      <x:c r="K359" s="102" t="str">
        <x:v>仅手动分解；默认不勾选；二次确认</x:v>
      </x:c>
      <x:c r="L359" s="103" t="str">
        <x:v>大陆最终守关；本表不填属性、爆率和货币</x:v>
      </x:c>
    </x:row>
    <x:row r="360">
      <x:c r="A360" s="101" t="str">
        <x:v>C07</x:v>
      </x:c>
      <x:c r="B360" s="102" t="str">
        <x:v>化圣雪原</x:v>
      </x:c>
      <x:c r="C360" s="102" t="str">
        <x:v>苍白雪原</x:v>
      </x:c>
      <x:c r="D360" s="102" t="n">
        <x:v>1</x:v>
      </x:c>
      <x:c r="E360" s="102" t="str">
        <x:v>普通</x:v>
      </x:c>
      <x:c r="F360" s="102" t="str">
        <x:v>雪原冻角鹿</x:v>
      </x:c>
      <x:c r="G360" s="102" t="str">
        <x:v>冻角护腕</x:v>
      </x:c>
      <x:c r="H360" s="102" t="str">
        <x:v>手镯</x:v>
      </x:c>
      <x:c r="I360" s="147" t="n">
        <x:v>80</x:v>
      </x:c>
      <x:c r="J360" s="102" t="str">
        <x:v>否（材料数量固定）</x:v>
      </x:c>
      <x:c r="K360" s="102" t="str">
        <x:v>仅手动分解；默认不勾选；二次确认</x:v>
      </x:c>
      <x:c r="L360" s="103" t="str">
        <x:v>一怪一专属；专属来源跟随本行准确地图号</x:v>
      </x:c>
    </x:row>
    <x:row r="361">
      <x:c r="A361" s="101" t="str">
        <x:v>C07</x:v>
      </x:c>
      <x:c r="B361" s="102" t="str">
        <x:v>化圣雪原</x:v>
      </x:c>
      <x:c r="C361" s="102" t="str">
        <x:v>苍白雪原</x:v>
      </x:c>
      <x:c r="D361" s="102" t="n">
        <x:v>2</x:v>
      </x:c>
      <x:c r="E361" s="102" t="str">
        <x:v>普通</x:v>
      </x:c>
      <x:c r="F361" s="102" t="str">
        <x:v>霜风放逐兵</x:v>
      </x:c>
      <x:c r="G361" s="102" t="str">
        <x:v>放逐雪刃</x:v>
      </x:c>
      <x:c r="H361" s="102" t="str">
        <x:v>武器</x:v>
      </x:c>
      <x:c r="I361" s="147" t="n">
        <x:v>80</x:v>
      </x:c>
      <x:c r="J361" s="102" t="str">
        <x:v>否（材料数量固定）</x:v>
      </x:c>
      <x:c r="K361" s="102" t="str">
        <x:v>仅手动分解；默认不勾选；二次确认</x:v>
      </x:c>
      <x:c r="L361" s="103" t="str">
        <x:v>一怪一专属；专属来源跟随本行准确地图号</x:v>
      </x:c>
    </x:row>
    <x:row r="362">
      <x:c r="A362" s="101" t="str">
        <x:v>C07</x:v>
      </x:c>
      <x:c r="B362" s="102" t="str">
        <x:v>化圣雪原</x:v>
      </x:c>
      <x:c r="C362" s="102" t="str">
        <x:v>苍白雪原</x:v>
      </x:c>
      <x:c r="D362" s="102" t="n">
        <x:v>3</x:v>
      </x:c>
      <x:c r="E362" s="102" t="str">
        <x:v>普通</x:v>
      </x:c>
      <x:c r="F362" s="102" t="str">
        <x:v>冻土掘冰徒</x:v>
      </x:c>
      <x:c r="G362" s="102" t="str">
        <x:v>掘冰腰带</x:v>
      </x:c>
      <x:c r="H362" s="102" t="str">
        <x:v>腰带</x:v>
      </x:c>
      <x:c r="I362" s="147" t="n">
        <x:v>80</x:v>
      </x:c>
      <x:c r="J362" s="102" t="str">
        <x:v>否（材料数量固定）</x:v>
      </x:c>
      <x:c r="K362" s="102" t="str">
        <x:v>仅手动分解；默认不勾选；二次确认</x:v>
      </x:c>
      <x:c r="L362" s="103" t="str">
        <x:v>一怪一专属；专属来源跟随本行准确地图号</x:v>
      </x:c>
    </x:row>
    <x:row r="363">
      <x:c r="A363" s="101" t="str">
        <x:v>C07</x:v>
      </x:c>
      <x:c r="B363" s="102" t="str">
        <x:v>化圣雪原</x:v>
      </x:c>
      <x:c r="C363" s="102" t="str">
        <x:v>苍白雪原</x:v>
      </x:c>
      <x:c r="D363" s="102" t="n">
        <x:v>4</x:v>
      </x:c>
      <x:c r="E363" s="102" t="str">
        <x:v>普通</x:v>
      </x:c>
      <x:c r="F363" s="102" t="str">
        <x:v>祭场白烛侍</x:v>
      </x:c>
      <x:c r="G363" s="102" t="str">
        <x:v>白烛礼冠</x:v>
      </x:c>
      <x:c r="H363" s="102" t="str">
        <x:v>头盔</x:v>
      </x:c>
      <x:c r="I363" s="147" t="n">
        <x:v>80</x:v>
      </x:c>
      <x:c r="J363" s="102" t="str">
        <x:v>否（材料数量固定）</x:v>
      </x:c>
      <x:c r="K363" s="102" t="str">
        <x:v>仅手动分解；默认不勾选；二次确认</x:v>
      </x:c>
      <x:c r="L363" s="103" t="str">
        <x:v>一怪一专属；专属来源跟随本行准确地图号</x:v>
      </x:c>
    </x:row>
    <x:row r="364">
      <x:c r="A364" s="101" t="str">
        <x:v>C07</x:v>
      </x:c>
      <x:c r="B364" s="102" t="str">
        <x:v>化圣雪原</x:v>
      </x:c>
      <x:c r="C364" s="102" t="str">
        <x:v>苍白雪原</x:v>
      </x:c>
      <x:c r="D364" s="102" t="n">
        <x:v>1</x:v>
      </x:c>
      <x:c r="E364" s="102" t="str">
        <x:v>普通</x:v>
      </x:c>
      <x:c r="F364" s="102" t="str">
        <x:v>苍鬃雪狼</x:v>
      </x:c>
      <x:c r="G364" s="102" t="str">
        <x:v>苍鬃牙戒</x:v>
      </x:c>
      <x:c r="H364" s="102" t="str">
        <x:v>戒指</x:v>
      </x:c>
      <x:c r="I364" s="147" t="n">
        <x:v>80</x:v>
      </x:c>
      <x:c r="J364" s="102" t="str">
        <x:v>否（材料数量固定）</x:v>
      </x:c>
      <x:c r="K364" s="102" t="str">
        <x:v>仅手动分解；默认不勾选；二次确认</x:v>
      </x:c>
      <x:c r="L364" s="103" t="str">
        <x:v>一怪一专属；专属来源跟随本行准确地图号</x:v>
      </x:c>
    </x:row>
    <x:row r="365">
      <x:c r="A365" s="101" t="str">
        <x:v>C07</x:v>
      </x:c>
      <x:c r="B365" s="102" t="str">
        <x:v>化圣雪原</x:v>
      </x:c>
      <x:c r="C365" s="102" t="str">
        <x:v>苍白雪原</x:v>
      </x:c>
      <x:c r="D365" s="102" t="n">
        <x:v>2</x:v>
      </x:c>
      <x:c r="E365" s="102" t="str">
        <x:v>普通</x:v>
      </x:c>
      <x:c r="F365" s="102" t="str">
        <x:v>寒羽巡猎鹰</x:v>
      </x:c>
      <x:c r="G365" s="102" t="str">
        <x:v>寒羽猎链</x:v>
      </x:c>
      <x:c r="H365" s="102" t="str">
        <x:v>项链</x:v>
      </x:c>
      <x:c r="I365" s="147" t="n">
        <x:v>80</x:v>
      </x:c>
      <x:c r="J365" s="102" t="str">
        <x:v>否（材料数量固定）</x:v>
      </x:c>
      <x:c r="K365" s="102" t="str">
        <x:v>仅手动分解；默认不勾选；二次确认</x:v>
      </x:c>
      <x:c r="L365" s="103" t="str">
        <x:v>一怪一专属；专属来源跟随本行准确地图号</x:v>
      </x:c>
    </x:row>
    <x:row r="366">
      <x:c r="A366" s="101" t="str">
        <x:v>C07</x:v>
      </x:c>
      <x:c r="B366" s="102" t="str">
        <x:v>化圣雪原</x:v>
      </x:c>
      <x:c r="C366" s="102" t="str">
        <x:v>苍白雪原</x:v>
      </x:c>
      <x:c r="D366" s="102" t="n">
        <x:v>1</x:v>
      </x:c>
      <x:c r="E366" s="102" t="str">
        <x:v>稀有</x:v>
      </x:c>
      <x:c r="F366" s="102" t="str">
        <x:v>白霜重甲卫</x:v>
      </x:c>
      <x:c r="G366" s="102" t="str">
        <x:v>白霜重衣</x:v>
      </x:c>
      <x:c r="H366" s="102" t="str">
        <x:v>衣服</x:v>
      </x:c>
      <x:c r="I366" s="147" t="n">
        <x:v>160</x:v>
      </x:c>
      <x:c r="J366" s="102" t="str">
        <x:v>否（材料数量固定）</x:v>
      </x:c>
      <x:c r="K366" s="102" t="str">
        <x:v>仅手动分解；默认不勾选；二次确认</x:v>
      </x:c>
      <x:c r="L366" s="103" t="str">
        <x:v>一怪一专属；专属来源跟随本行准确地图号</x:v>
      </x:c>
    </x:row>
    <x:row r="367">
      <x:c r="A367" s="101" t="str">
        <x:v>C07</x:v>
      </x:c>
      <x:c r="B367" s="102" t="str">
        <x:v>化圣雪原</x:v>
      </x:c>
      <x:c r="C367" s="102" t="str">
        <x:v>苍白雪原</x:v>
      </x:c>
      <x:c r="D367" s="102" t="n">
        <x:v>2</x:v>
      </x:c>
      <x:c r="E367" s="102" t="str">
        <x:v>稀有</x:v>
      </x:c>
      <x:c r="F367" s="102" t="str">
        <x:v>霜风号角骑</x:v>
      </x:c>
      <x:c r="G367" s="102" t="str">
        <x:v>霜风战靴</x:v>
      </x:c>
      <x:c r="H367" s="102" t="str">
        <x:v>鞋子</x:v>
      </x:c>
      <x:c r="I367" s="147" t="n">
        <x:v>160</x:v>
      </x:c>
      <x:c r="J367" s="102" t="str">
        <x:v>否（材料数量固定）</x:v>
      </x:c>
      <x:c r="K367" s="102" t="str">
        <x:v>仅手动分解；默认不勾选；二次确认</x:v>
      </x:c>
      <x:c r="L367" s="103" t="str">
        <x:v>一怪一专属；专属来源跟随本行准确地图号</x:v>
      </x:c>
    </x:row>
    <x:row r="368">
      <x:c r="A368" s="101" t="str">
        <x:v>C07</x:v>
      </x:c>
      <x:c r="B368" s="102" t="str">
        <x:v>化圣雪原</x:v>
      </x:c>
      <x:c r="C368" s="102" t="str">
        <x:v>苍白雪原</x:v>
      </x:c>
      <x:c r="D368" s="102" t="n">
        <x:v>3</x:v>
      </x:c>
      <x:c r="E368" s="102" t="str">
        <x:v>稀有</x:v>
      </x:c>
      <x:c r="F368" s="102" t="str">
        <x:v>冻土晶背熊</x:v>
      </x:c>
      <x:c r="G368" s="102" t="str">
        <x:v>晶背塔盾</x:v>
      </x:c>
      <x:c r="H368" s="102" t="str">
        <x:v>盾牌</x:v>
      </x:c>
      <x:c r="I368" s="147" t="n">
        <x:v>160</x:v>
      </x:c>
      <x:c r="J368" s="102" t="str">
        <x:v>否（材料数量固定）</x:v>
      </x:c>
      <x:c r="K368" s="102" t="str">
        <x:v>仅手动分解；默认不勾选；二次确认</x:v>
      </x:c>
      <x:c r="L368" s="103" t="str">
        <x:v>一怪一专属；专属来源跟随本行准确地图号</x:v>
      </x:c>
    </x:row>
    <x:row r="369">
      <x:c r="A369" s="101" t="str">
        <x:v>C07</x:v>
      </x:c>
      <x:c r="B369" s="102" t="str">
        <x:v>化圣雪原</x:v>
      </x:c>
      <x:c r="C369" s="102" t="str">
        <x:v>苍白雪原</x:v>
      </x:c>
      <x:c r="D369" s="102" t="n">
        <x:v>4</x:v>
      </x:c>
      <x:c r="E369" s="102" t="str">
        <x:v>稀有</x:v>
      </x:c>
      <x:c r="F369" s="102" t="str">
        <x:v>苍白祭司</x:v>
      </x:c>
      <x:c r="G369" s="102" t="str">
        <x:v>苍白圣徽</x:v>
      </x:c>
      <x:c r="H369" s="102" t="str">
        <x:v>勋章</x:v>
      </x:c>
      <x:c r="I369" s="147" t="n">
        <x:v>160</x:v>
      </x:c>
      <x:c r="J369" s="102" t="str">
        <x:v>否（材料数量固定）</x:v>
      </x:c>
      <x:c r="K369" s="102" t="str">
        <x:v>仅手动分解；默认不勾选；二次确认</x:v>
      </x:c>
      <x:c r="L369" s="103" t="str">
        <x:v>一怪一专属；专属来源跟随本行准确地图号</x:v>
      </x:c>
    </x:row>
    <x:row r="370">
      <x:c r="A370" s="101" t="str">
        <x:v>C07</x:v>
      </x:c>
      <x:c r="B370" s="102" t="str">
        <x:v>化圣雪原</x:v>
      </x:c>
      <x:c r="C370" s="102" t="str">
        <x:v>苍白雪原</x:v>
      </x:c>
      <x:c r="D370" s="102" t="n">
        <x:v>3</x:v>
      </x:c>
      <x:c r="E370" s="102" t="str">
        <x:v>地图BOSS</x:v>
      </x:c>
      <x:c r="F370" s="102" t="str">
        <x:v>雪墓巨人·赫洛</x:v>
      </x:c>
      <x:c r="G370" s="102" t="str">
        <x:v>赫洛冻拳</x:v>
      </x:c>
      <x:c r="H370" s="102" t="str">
        <x:v>武器</x:v>
      </x:c>
      <x:c r="I370" s="147" t="n">
        <x:v>320</x:v>
      </x:c>
      <x:c r="J370" s="102" t="str">
        <x:v>否（材料数量固定）</x:v>
      </x:c>
      <x:c r="K370" s="102" t="str">
        <x:v>仅手动分解；默认不勾选；二次确认</x:v>
      </x:c>
      <x:c r="L370" s="103" t="str">
        <x:v>一怪一专属；专属来源跟随本行准确地图号</x:v>
      </x:c>
    </x:row>
    <x:row r="371">
      <x:c r="A371" s="101" t="str">
        <x:v>C07</x:v>
      </x:c>
      <x:c r="B371" s="102" t="str">
        <x:v>化圣雪原</x:v>
      </x:c>
      <x:c r="C371" s="102" t="str">
        <x:v>苍白雪原</x:v>
      </x:c>
      <x:c r="D371" s="102" t="n">
        <x:v>4</x:v>
      </x:c>
      <x:c r="E371" s="102" t="str">
        <x:v>地图BOSS</x:v>
      </x:c>
      <x:c r="F371" s="102" t="str">
        <x:v>苍白鹿王·艾尔维</x:v>
      </x:c>
      <x:c r="G371" s="102" t="str">
        <x:v>艾尔维霜冠</x:v>
      </x:c>
      <x:c r="H371" s="102" t="str">
        <x:v>头盔</x:v>
      </x:c>
      <x:c r="I371" s="147" t="n">
        <x:v>320</x:v>
      </x:c>
      <x:c r="J371" s="102" t="str">
        <x:v>否（材料数量固定）</x:v>
      </x:c>
      <x:c r="K371" s="102" t="str">
        <x:v>仅手动分解；默认不勾选；二次确认</x:v>
      </x:c>
      <x:c r="L371" s="103" t="str">
        <x:v>一怪一专属；专属来源跟随本行准确地图号</x:v>
      </x:c>
    </x:row>
    <x:row r="372">
      <x:c r="A372" s="101" t="str">
        <x:v>C07</x:v>
      </x:c>
      <x:c r="B372" s="102" t="str">
        <x:v>化圣雪原</x:v>
      </x:c>
      <x:c r="C372" s="102" t="str">
        <x:v>永冻荒境</x:v>
      </x:c>
      <x:c r="D372" s="102" t="n">
        <x:v>1</x:v>
      </x:c>
      <x:c r="E372" s="102" t="str">
        <x:v>普通</x:v>
      </x:c>
      <x:c r="F372" s="102" t="str">
        <x:v>荒境雪壳虫</x:v>
      </x:c>
      <x:c r="G372" s="102" t="str">
        <x:v>雪壳腕甲</x:v>
      </x:c>
      <x:c r="H372" s="102" t="str">
        <x:v>手镯</x:v>
      </x:c>
      <x:c r="I372" s="147" t="n">
        <x:v>80</x:v>
      </x:c>
      <x:c r="J372" s="102" t="str">
        <x:v>否（材料数量固定）</x:v>
      </x:c>
      <x:c r="K372" s="102" t="str">
        <x:v>仅手动分解；默认不勾选；二次确认</x:v>
      </x:c>
      <x:c r="L372" s="103" t="str">
        <x:v>一怪一专属；专属来源跟随本行准确地图号</x:v>
      </x:c>
    </x:row>
    <x:row r="373">
      <x:c r="A373" s="101" t="str">
        <x:v>C07</x:v>
      </x:c>
      <x:c r="B373" s="102" t="str">
        <x:v>化圣雪原</x:v>
      </x:c>
      <x:c r="C373" s="102" t="str">
        <x:v>永冻荒境</x:v>
      </x:c>
      <x:c r="D373" s="102" t="n">
        <x:v>2</x:v>
      </x:c>
      <x:c r="E373" s="102" t="str">
        <x:v>普通</x:v>
      </x:c>
      <x:c r="F373" s="102" t="str">
        <x:v>冰封流亡者</x:v>
      </x:c>
      <x:c r="G373" s="102" t="str">
        <x:v>流亡冰刀</x:v>
      </x:c>
      <x:c r="H373" s="102" t="str">
        <x:v>武器</x:v>
      </x:c>
      <x:c r="I373" s="147" t="n">
        <x:v>80</x:v>
      </x:c>
      <x:c r="J373" s="102" t="str">
        <x:v>否（材料数量固定）</x:v>
      </x:c>
      <x:c r="K373" s="102" t="str">
        <x:v>仅手动分解；默认不勾选；二次确认</x:v>
      </x:c>
      <x:c r="L373" s="103" t="str">
        <x:v>一怪一专属；专属来源跟随本行准确地图号</x:v>
      </x:c>
    </x:row>
    <x:row r="374">
      <x:c r="A374" s="101" t="str">
        <x:v>C07</x:v>
      </x:c>
      <x:c r="B374" s="102" t="str">
        <x:v>化圣雪原</x:v>
      </x:c>
      <x:c r="C374" s="102" t="str">
        <x:v>永冻荒境</x:v>
      </x:c>
      <x:c r="D374" s="102" t="n">
        <x:v>3</x:v>
      </x:c>
      <x:c r="E374" s="102" t="str">
        <x:v>普通</x:v>
      </x:c>
      <x:c r="F374" s="102" t="str">
        <x:v>极昼逐光兽</x:v>
      </x:c>
      <x:c r="G374" s="102" t="str">
        <x:v>逐光雪衣</x:v>
      </x:c>
      <x:c r="H374" s="102" t="str">
        <x:v>衣服</x:v>
      </x:c>
      <x:c r="I374" s="147" t="n">
        <x:v>80</x:v>
      </x:c>
      <x:c r="J374" s="102" t="str">
        <x:v>否（材料数量固定）</x:v>
      </x:c>
      <x:c r="K374" s="102" t="str">
        <x:v>仅手动分解；默认不勾选；二次确认</x:v>
      </x:c>
      <x:c r="L374" s="103" t="str">
        <x:v>一怪一专属；专属来源跟随本行准确地图号</x:v>
      </x:c>
    </x:row>
    <x:row r="375">
      <x:c r="A375" s="101" t="str">
        <x:v>C07</x:v>
      </x:c>
      <x:c r="B375" s="102" t="str">
        <x:v>化圣雪原</x:v>
      </x:c>
      <x:c r="C375" s="102" t="str">
        <x:v>永冻荒境</x:v>
      </x:c>
      <x:c r="D375" s="102" t="n">
        <x:v>4</x:v>
      </x:c>
      <x:c r="E375" s="102" t="str">
        <x:v>普通</x:v>
      </x:c>
      <x:c r="F375" s="102" t="str">
        <x:v>圣域守碑人</x:v>
      </x:c>
      <x:c r="G375" s="102" t="str">
        <x:v>守碑斗笠</x:v>
      </x:c>
      <x:c r="H375" s="102" t="str">
        <x:v>斗笠</x:v>
      </x:c>
      <x:c r="I375" s="147" t="n">
        <x:v>80</x:v>
      </x:c>
      <x:c r="J375" s="102" t="str">
        <x:v>否（材料数量固定）</x:v>
      </x:c>
      <x:c r="K375" s="102" t="str">
        <x:v>仅手动分解；默认不勾选；二次确认</x:v>
      </x:c>
      <x:c r="L375" s="103" t="str">
        <x:v>一怪一专属；专属来源跟随本行准确地图号</x:v>
      </x:c>
    </x:row>
    <x:row r="376">
      <x:c r="A376" s="101" t="str">
        <x:v>C07</x:v>
      </x:c>
      <x:c r="B376" s="102" t="str">
        <x:v>化圣雪原</x:v>
      </x:c>
      <x:c r="C376" s="102" t="str">
        <x:v>永冻荒境</x:v>
      </x:c>
      <x:c r="D376" s="102" t="n">
        <x:v>1</x:v>
      </x:c>
      <x:c r="E376" s="102" t="str">
        <x:v>普通</x:v>
      </x:c>
      <x:c r="F376" s="102" t="str">
        <x:v>永冻霜牙狼</x:v>
      </x:c>
      <x:c r="G376" s="102" t="str">
        <x:v>霜牙指环</x:v>
      </x:c>
      <x:c r="H376" s="102" t="str">
        <x:v>戒指</x:v>
      </x:c>
      <x:c r="I376" s="147" t="n">
        <x:v>80</x:v>
      </x:c>
      <x:c r="J376" s="102" t="str">
        <x:v>否（材料数量固定）</x:v>
      </x:c>
      <x:c r="K376" s="102" t="str">
        <x:v>仅手动分解；默认不勾选；二次确认</x:v>
      </x:c>
      <x:c r="L376" s="103" t="str">
        <x:v>一怪一专属；专属来源跟随本行准确地图号</x:v>
      </x:c>
    </x:row>
    <x:row r="377">
      <x:c r="A377" s="101" t="str">
        <x:v>C07</x:v>
      </x:c>
      <x:c r="B377" s="102" t="str">
        <x:v>化圣雪原</x:v>
      </x:c>
      <x:c r="C377" s="102" t="str">
        <x:v>永冻荒境</x:v>
      </x:c>
      <x:c r="D377" s="102" t="n">
        <x:v>2</x:v>
      </x:c>
      <x:c r="E377" s="102" t="str">
        <x:v>普通</x:v>
      </x:c>
      <x:c r="F377" s="102" t="str">
        <x:v>旷野寒弓手</x:v>
      </x:c>
      <x:c r="G377" s="102" t="str">
        <x:v>寒弓束带</x:v>
      </x:c>
      <x:c r="H377" s="102" t="str">
        <x:v>腰带</x:v>
      </x:c>
      <x:c r="I377" s="147" t="n">
        <x:v>80</x:v>
      </x:c>
      <x:c r="J377" s="102" t="str">
        <x:v>否（材料数量固定）</x:v>
      </x:c>
      <x:c r="K377" s="102" t="str">
        <x:v>仅手动分解；默认不勾选；二次确认</x:v>
      </x:c>
      <x:c r="L377" s="103" t="str">
        <x:v>一怪一专属；专属来源跟随本行准确地图号</x:v>
      </x:c>
    </x:row>
    <x:row r="378">
      <x:c r="A378" s="101" t="str">
        <x:v>C07</x:v>
      </x:c>
      <x:c r="B378" s="102" t="str">
        <x:v>化圣雪原</x:v>
      </x:c>
      <x:c r="C378" s="102" t="str">
        <x:v>永冻荒境</x:v>
      </x:c>
      <x:c r="D378" s="102" t="n">
        <x:v>1</x:v>
      </x:c>
      <x:c r="E378" s="102" t="str">
        <x:v>稀有</x:v>
      </x:c>
      <x:c r="F378" s="102" t="str">
        <x:v>荒境冰甲犀</x:v>
      </x:c>
      <x:c r="G378" s="102" t="str">
        <x:v>冰甲重盾</x:v>
      </x:c>
      <x:c r="H378" s="102" t="str">
        <x:v>盾牌</x:v>
      </x:c>
      <x:c r="I378" s="147" t="n">
        <x:v>160</x:v>
      </x:c>
      <x:c r="J378" s="102" t="str">
        <x:v>否（材料数量固定）</x:v>
      </x:c>
      <x:c r="K378" s="102" t="str">
        <x:v>仅手动分解；默认不勾选；二次确认</x:v>
      </x:c>
      <x:c r="L378" s="103" t="str">
        <x:v>一怪一专属；专属来源跟随本行准确地图号</x:v>
      </x:c>
    </x:row>
    <x:row r="379">
      <x:c r="A379" s="101" t="str">
        <x:v>C07</x:v>
      </x:c>
      <x:c r="B379" s="102" t="str">
        <x:v>化圣雪原</x:v>
      </x:c>
      <x:c r="C379" s="102" t="str">
        <x:v>永冻荒境</x:v>
      </x:c>
      <x:c r="D379" s="102" t="n">
        <x:v>2</x:v>
      </x:c>
      <x:c r="E379" s="102" t="str">
        <x:v>稀有</x:v>
      </x:c>
      <x:c r="F379" s="102" t="str">
        <x:v>冰封审判骑</x:v>
      </x:c>
      <x:c r="G379" s="102" t="str">
        <x:v>审判长靴</x:v>
      </x:c>
      <x:c r="H379" s="102" t="str">
        <x:v>鞋子</x:v>
      </x:c>
      <x:c r="I379" s="147" t="n">
        <x:v>160</x:v>
      </x:c>
      <x:c r="J379" s="102" t="str">
        <x:v>否（材料数量固定）</x:v>
      </x:c>
      <x:c r="K379" s="102" t="str">
        <x:v>仅手动分解；默认不勾选；二次确认</x:v>
      </x:c>
      <x:c r="L379" s="103" t="str">
        <x:v>一怪一专属；专属来源跟随本行准确地图号</x:v>
      </x:c>
    </x:row>
    <x:row r="380">
      <x:c r="A380" s="101" t="str">
        <x:v>C07</x:v>
      </x:c>
      <x:c r="B380" s="102" t="str">
        <x:v>化圣雪原</x:v>
      </x:c>
      <x:c r="C380" s="102" t="str">
        <x:v>永冻荒境</x:v>
      </x:c>
      <x:c r="D380" s="102" t="n">
        <x:v>3</x:v>
      </x:c>
      <x:c r="E380" s="102" t="str">
        <x:v>稀有</x:v>
      </x:c>
      <x:c r="F380" s="102" t="str">
        <x:v>极昼白翼鹫</x:v>
      </x:c>
      <x:c r="G380" s="102" t="str">
        <x:v>白翼颈链</x:v>
      </x:c>
      <x:c r="H380" s="102" t="str">
        <x:v>项链</x:v>
      </x:c>
      <x:c r="I380" s="147" t="n">
        <x:v>160</x:v>
      </x:c>
      <x:c r="J380" s="102" t="str">
        <x:v>否（材料数量固定）</x:v>
      </x:c>
      <x:c r="K380" s="102" t="str">
        <x:v>仅手动分解；默认不勾选；二次确认</x:v>
      </x:c>
      <x:c r="L380" s="103" t="str">
        <x:v>一怪一专属；专属来源跟随本行准确地图号</x:v>
      </x:c>
    </x:row>
    <x:row r="381">
      <x:c r="A381" s="101" t="str">
        <x:v>C07</x:v>
      </x:c>
      <x:c r="B381" s="102" t="str">
        <x:v>化圣雪原</x:v>
      </x:c>
      <x:c r="C381" s="102" t="str">
        <x:v>永冻荒境</x:v>
      </x:c>
      <x:c r="D381" s="102" t="n">
        <x:v>4</x:v>
      </x:c>
      <x:c r="E381" s="102" t="str">
        <x:v>稀有</x:v>
      </x:c>
      <x:c r="F381" s="102" t="str">
        <x:v>圣域默祷师</x:v>
      </x:c>
      <x:c r="G381" s="102" t="str">
        <x:v>默祷雪章</x:v>
      </x:c>
      <x:c r="H381" s="102" t="str">
        <x:v>勋章</x:v>
      </x:c>
      <x:c r="I381" s="147" t="n">
        <x:v>160</x:v>
      </x:c>
      <x:c r="J381" s="102" t="str">
        <x:v>否（材料数量固定）</x:v>
      </x:c>
      <x:c r="K381" s="102" t="str">
        <x:v>仅手动分解；默认不勾选；二次确认</x:v>
      </x:c>
      <x:c r="L381" s="103" t="str">
        <x:v>一怪一专属；专属来源跟随本行准确地图号</x:v>
      </x:c>
    </x:row>
    <x:row r="382">
      <x:c r="A382" s="101" t="str">
        <x:v>C07</x:v>
      </x:c>
      <x:c r="B382" s="102" t="str">
        <x:v>化圣雪原</x:v>
      </x:c>
      <x:c r="C382" s="102" t="str">
        <x:v>永冻荒境</x:v>
      </x:c>
      <x:c r="D382" s="102" t="n">
        <x:v>3</x:v>
      </x:c>
      <x:c r="E382" s="102" t="str">
        <x:v>地图BOSS</x:v>
      </x:c>
      <x:c r="F382" s="102" t="str">
        <x:v>极昼雪后·芙蕾</x:v>
      </x:c>
      <x:c r="G382" s="102" t="str">
        <x:v>芙蕾冰冠</x:v>
      </x:c>
      <x:c r="H382" s="102" t="str">
        <x:v>头盔</x:v>
      </x:c>
      <x:c r="I382" s="147" t="n">
        <x:v>320</x:v>
      </x:c>
      <x:c r="J382" s="102" t="str">
        <x:v>否（材料数量固定）</x:v>
      </x:c>
      <x:c r="K382" s="102" t="str">
        <x:v>仅手动分解；默认不勾选；二次确认</x:v>
      </x:c>
      <x:c r="L382" s="103" t="str">
        <x:v>一怪一专属；专属来源跟随本行准确地图号</x:v>
      </x:c>
    </x:row>
    <x:row r="383">
      <x:c r="A383" s="101" t="str">
        <x:v>C07</x:v>
      </x:c>
      <x:c r="B383" s="102" t="str">
        <x:v>化圣雪原</x:v>
      </x:c>
      <x:c r="C383" s="102" t="str">
        <x:v>永冻荒境</x:v>
      </x:c>
      <x:c r="D383" s="102" t="n">
        <x:v>4</x:v>
      </x:c>
      <x:c r="E383" s="102" t="str">
        <x:v>地图BOSS</x:v>
      </x:c>
      <x:c r="F383" s="102" t="str">
        <x:v>永冻圣兽·乌尔</x:v>
      </x:c>
      <x:c r="G383" s="102" t="str">
        <x:v>乌尔寒铠</x:v>
      </x:c>
      <x:c r="H383" s="102" t="str">
        <x:v>衣服</x:v>
      </x:c>
      <x:c r="I383" s="147" t="n">
        <x:v>320</x:v>
      </x:c>
      <x:c r="J383" s="102" t="str">
        <x:v>否（材料数量固定）</x:v>
      </x:c>
      <x:c r="K383" s="102" t="str">
        <x:v>仅手动分解；默认不勾选；二次确认</x:v>
      </x:c>
      <x:c r="L383" s="103" t="str">
        <x:v>一怪一专属；专属来源跟随本行准确地图号</x:v>
      </x:c>
    </x:row>
    <x:row r="384">
      <x:c r="A384" s="101" t="str">
        <x:v>C07</x:v>
      </x:c>
      <x:c r="B384" s="102" t="str">
        <x:v>化圣雪原</x:v>
      </x:c>
      <x:c r="C384" s="102" t="str">
        <x:v>极寒禁域</x:v>
      </x:c>
      <x:c r="D384" s="102" t="n">
        <x:v>1</x:v>
      </x:c>
      <x:c r="E384" s="102" t="str">
        <x:v>普通</x:v>
      </x:c>
      <x:c r="F384" s="102" t="str">
        <x:v>禁域冻喉兽</x:v>
      </x:c>
      <x:c r="G384" s="102" t="str">
        <x:v>冻喉牙刃</x:v>
      </x:c>
      <x:c r="H384" s="102" t="str">
        <x:v>武器</x:v>
      </x:c>
      <x:c r="I384" s="147" t="n">
        <x:v>80</x:v>
      </x:c>
      <x:c r="J384" s="102" t="str">
        <x:v>否（材料数量固定）</x:v>
      </x:c>
      <x:c r="K384" s="102" t="str">
        <x:v>仅手动分解；默认不勾选；二次确认</x:v>
      </x:c>
      <x:c r="L384" s="103" t="str">
        <x:v>一怪一专属；专属来源跟随本行准确地图号</x:v>
      </x:c>
    </x:row>
    <x:row r="385">
      <x:c r="A385" s="101" t="str">
        <x:v>C07</x:v>
      </x:c>
      <x:c r="B385" s="102" t="str">
        <x:v>化圣雪原</x:v>
      </x:c>
      <x:c r="C385" s="102" t="str">
        <x:v>极寒禁域</x:v>
      </x:c>
      <x:c r="D385" s="102" t="n">
        <x:v>2</x:v>
      </x:c>
      <x:c r="E385" s="102" t="str">
        <x:v>普通</x:v>
      </x:c>
      <x:c r="F385" s="102" t="str">
        <x:v>雾界迷途兵</x:v>
      </x:c>
      <x:c r="G385" s="102" t="str">
        <x:v>雾界斗笠</x:v>
      </x:c>
      <x:c r="H385" s="102" t="str">
        <x:v>斗笠</x:v>
      </x:c>
      <x:c r="I385" s="147" t="n">
        <x:v>80</x:v>
      </x:c>
      <x:c r="J385" s="102" t="str">
        <x:v>否（材料数量固定）</x:v>
      </x:c>
      <x:c r="K385" s="102" t="str">
        <x:v>仅手动分解；默认不勾选；二次确认</x:v>
      </x:c>
      <x:c r="L385" s="103" t="str">
        <x:v>一怪一专属；专属来源跟随本行准确地图号</x:v>
      </x:c>
    </x:row>
    <x:row r="386">
      <x:c r="A386" s="101" t="str">
        <x:v>C07</x:v>
      </x:c>
      <x:c r="B386" s="102" t="str">
        <x:v>化圣雪原</x:v>
      </x:c>
      <x:c r="C386" s="102" t="str">
        <x:v>极寒禁域</x:v>
      </x:c>
      <x:c r="D386" s="102" t="n">
        <x:v>3</x:v>
      </x:c>
      <x:c r="E386" s="102" t="str">
        <x:v>普通</x:v>
      </x:c>
      <x:c r="F386" s="102" t="str">
        <x:v>寒狱锁链卒</x:v>
      </x:c>
      <x:c r="G386" s="102" t="str">
        <x:v>寒狱铁镯</x:v>
      </x:c>
      <x:c r="H386" s="102" t="str">
        <x:v>手镯</x:v>
      </x:c>
      <x:c r="I386" s="147" t="n">
        <x:v>80</x:v>
      </x:c>
      <x:c r="J386" s="102" t="str">
        <x:v>否（材料数量固定）</x:v>
      </x:c>
      <x:c r="K386" s="102" t="str">
        <x:v>仅手动分解；默认不勾选；二次确认</x:v>
      </x:c>
      <x:c r="L386" s="103" t="str">
        <x:v>一怪一专属；专属来源跟随本行准确地图号</x:v>
      </x:c>
    </x:row>
    <x:row r="387">
      <x:c r="A387" s="101" t="str">
        <x:v>C07</x:v>
      </x:c>
      <x:c r="B387" s="102" t="str">
        <x:v>化圣雪原</x:v>
      </x:c>
      <x:c r="C387" s="102" t="str">
        <x:v>极寒禁域</x:v>
      </x:c>
      <x:c r="D387" s="102" t="n">
        <x:v>4</x:v>
      </x:c>
      <x:c r="E387" s="102" t="str">
        <x:v>普通</x:v>
      </x:c>
      <x:c r="F387" s="102" t="str">
        <x:v>祭坛守烛女</x:v>
      </x:c>
      <x:c r="G387" s="102" t="str">
        <x:v>守烛项链</x:v>
      </x:c>
      <x:c r="H387" s="102" t="str">
        <x:v>项链</x:v>
      </x:c>
      <x:c r="I387" s="147" t="n">
        <x:v>80</x:v>
      </x:c>
      <x:c r="J387" s="102" t="str">
        <x:v>否（材料数量固定）</x:v>
      </x:c>
      <x:c r="K387" s="102" t="str">
        <x:v>仅手动分解；默认不勾选；二次确认</x:v>
      </x:c>
      <x:c r="L387" s="103" t="str">
        <x:v>一怪一专属；专属来源跟随本行准确地图号</x:v>
      </x:c>
    </x:row>
    <x:row r="388">
      <x:c r="A388" s="101" t="str">
        <x:v>C07</x:v>
      </x:c>
      <x:c r="B388" s="102" t="str">
        <x:v>化圣雪原</x:v>
      </x:c>
      <x:c r="C388" s="102" t="str">
        <x:v>极寒禁域</x:v>
      </x:c>
      <x:c r="D388" s="102" t="n">
        <x:v>5</x:v>
      </x:c>
      <x:c r="E388" s="102" t="str">
        <x:v>普通</x:v>
      </x:c>
      <x:c r="F388" s="102" t="str">
        <x:v>圣所白甲卫</x:v>
      </x:c>
      <x:c r="G388" s="102" t="str">
        <x:v>白甲战衣</x:v>
      </x:c>
      <x:c r="H388" s="102" t="str">
        <x:v>衣服</x:v>
      </x:c>
      <x:c r="I388" s="147" t="n">
        <x:v>80</x:v>
      </x:c>
      <x:c r="J388" s="102" t="str">
        <x:v>否（材料数量固定）</x:v>
      </x:c>
      <x:c r="K388" s="102" t="str">
        <x:v>仅手动分解；默认不勾选；二次确认</x:v>
      </x:c>
      <x:c r="L388" s="103" t="str">
        <x:v>一怪一专属；专属来源跟随本行准确地图号</x:v>
      </x:c>
    </x:row>
    <x:row r="389">
      <x:c r="A389" s="101" t="str">
        <x:v>C07</x:v>
      </x:c>
      <x:c r="B389" s="102" t="str">
        <x:v>化圣雪原</x:v>
      </x:c>
      <x:c r="C389" s="102" t="str">
        <x:v>极寒禁域</x:v>
      </x:c>
      <x:c r="D389" s="102" t="n">
        <x:v>1</x:v>
      </x:c>
      <x:c r="E389" s="102" t="str">
        <x:v>普通</x:v>
      </x:c>
      <x:c r="F389" s="102" t="str">
        <x:v>极寒巡界狼</x:v>
      </x:c>
      <x:c r="G389" s="102" t="str">
        <x:v>巡界牙戒</x:v>
      </x:c>
      <x:c r="H389" s="102" t="str">
        <x:v>戒指</x:v>
      </x:c>
      <x:c r="I389" s="147" t="n">
        <x:v>80</x:v>
      </x:c>
      <x:c r="J389" s="102" t="str">
        <x:v>否（材料数量固定）</x:v>
      </x:c>
      <x:c r="K389" s="102" t="str">
        <x:v>仅手动分解；默认不勾选；二次确认</x:v>
      </x:c>
      <x:c r="L389" s="103" t="str">
        <x:v>一怪一专属；专属来源跟随本行准确地图号</x:v>
      </x:c>
    </x:row>
    <x:row r="390">
      <x:c r="A390" s="101" t="str">
        <x:v>C07</x:v>
      </x:c>
      <x:c r="B390" s="102" t="str">
        <x:v>化圣雪原</x:v>
      </x:c>
      <x:c r="C390" s="102" t="str">
        <x:v>极寒禁域</x:v>
      </x:c>
      <x:c r="D390" s="102" t="n">
        <x:v>2</x:v>
      </x:c>
      <x:c r="E390" s="102" t="str">
        <x:v>稀有</x:v>
      </x:c>
      <x:c r="F390" s="102" t="str">
        <x:v>冻雾幻刃客</x:v>
      </x:c>
      <x:c r="G390" s="102" t="str">
        <x:v>幻刃腰封</x:v>
      </x:c>
      <x:c r="H390" s="102" t="str">
        <x:v>腰带</x:v>
      </x:c>
      <x:c r="I390" s="147" t="n">
        <x:v>160</x:v>
      </x:c>
      <x:c r="J390" s="102" t="str">
        <x:v>否（材料数量固定）</x:v>
      </x:c>
      <x:c r="K390" s="102" t="str">
        <x:v>仅手动分解；默认不勾选；二次确认</x:v>
      </x:c>
      <x:c r="L390" s="103" t="str">
        <x:v>一怪一专属；专属来源跟随本行准确地图号</x:v>
      </x:c>
    </x:row>
    <x:row r="391">
      <x:c r="A391" s="101" t="str">
        <x:v>C07</x:v>
      </x:c>
      <x:c r="B391" s="102" t="str">
        <x:v>化圣雪原</x:v>
      </x:c>
      <x:c r="C391" s="102" t="str">
        <x:v>极寒禁域</x:v>
      </x:c>
      <x:c r="D391" s="102" t="n">
        <x:v>3</x:v>
      </x:c>
      <x:c r="E391" s="102" t="str">
        <x:v>稀有</x:v>
      </x:c>
      <x:c r="F391" s="102" t="str">
        <x:v>寒狱冰骨将</x:v>
      </x:c>
      <x:c r="G391" s="102" t="str">
        <x:v>冰骨战靴</x:v>
      </x:c>
      <x:c r="H391" s="102" t="str">
        <x:v>鞋子</x:v>
      </x:c>
      <x:c r="I391" s="147" t="n">
        <x:v>160</x:v>
      </x:c>
      <x:c r="J391" s="102" t="str">
        <x:v>否（材料数量固定）</x:v>
      </x:c>
      <x:c r="K391" s="102" t="str">
        <x:v>仅手动分解；默认不勾选；二次确认</x:v>
      </x:c>
      <x:c r="L391" s="103" t="str">
        <x:v>一怪一专属；专属来源跟随本行准确地图号</x:v>
      </x:c>
    </x:row>
    <x:row r="392">
      <x:c r="A392" s="101" t="str">
        <x:v>C07</x:v>
      </x:c>
      <x:c r="B392" s="102" t="str">
        <x:v>化圣雪原</x:v>
      </x:c>
      <x:c r="C392" s="102" t="str">
        <x:v>极寒禁域</x:v>
      </x:c>
      <x:c r="D392" s="102" t="n">
        <x:v>4</x:v>
      </x:c>
      <x:c r="E392" s="102" t="str">
        <x:v>稀有</x:v>
      </x:c>
      <x:c r="F392" s="102" t="str">
        <x:v>祭坛霜钟僧</x:v>
      </x:c>
      <x:c r="G392" s="102" t="str">
        <x:v>霜钟罪章</x:v>
      </x:c>
      <x:c r="H392" s="102" t="str">
        <x:v>勋章</x:v>
      </x:c>
      <x:c r="I392" s="147" t="n">
        <x:v>160</x:v>
      </x:c>
      <x:c r="J392" s="102" t="str">
        <x:v>否（材料数量固定）</x:v>
      </x:c>
      <x:c r="K392" s="102" t="str">
        <x:v>仅手动分解；默认不勾选；二次确认</x:v>
      </x:c>
      <x:c r="L392" s="103" t="str">
        <x:v>一怪一专属；专属来源跟随本行准确地图号</x:v>
      </x:c>
    </x:row>
    <x:row r="393">
      <x:c r="A393" s="101" t="str">
        <x:v>C07</x:v>
      </x:c>
      <x:c r="B393" s="102" t="str">
        <x:v>化圣雪原</x:v>
      </x:c>
      <x:c r="C393" s="102" t="str">
        <x:v>极寒禁域</x:v>
      </x:c>
      <x:c r="D393" s="102" t="n">
        <x:v>5</x:v>
      </x:c>
      <x:c r="E393" s="102" t="str">
        <x:v>稀有</x:v>
      </x:c>
      <x:c r="F393" s="102" t="str">
        <x:v>圣所银角兽</x:v>
      </x:c>
      <x:c r="G393" s="102" t="str">
        <x:v>银角塔盾</x:v>
      </x:c>
      <x:c r="H393" s="102" t="str">
        <x:v>盾牌</x:v>
      </x:c>
      <x:c r="I393" s="147" t="n">
        <x:v>160</x:v>
      </x:c>
      <x:c r="J393" s="102" t="str">
        <x:v>否（材料数量固定）</x:v>
      </x:c>
      <x:c r="K393" s="102" t="str">
        <x:v>仅手动分解；默认不勾选；二次确认</x:v>
      </x:c>
      <x:c r="L393" s="103" t="str">
        <x:v>一怪一专属；专属来源跟随本行准确地图号</x:v>
      </x:c>
    </x:row>
    <x:row r="394">
      <x:c r="A394" s="101" t="str">
        <x:v>C07</x:v>
      </x:c>
      <x:c r="B394" s="102" t="str">
        <x:v>化圣雪原</x:v>
      </x:c>
      <x:c r="C394" s="102" t="str">
        <x:v>极寒禁域</x:v>
      </x:c>
      <x:c r="D394" s="102" t="n">
        <x:v>4</x:v>
      </x:c>
      <x:c r="E394" s="102" t="str">
        <x:v>地图BOSS</x:v>
      </x:c>
      <x:c r="F394" s="102" t="str">
        <x:v>冰祭审判者·诺薇</x:v>
      </x:c>
      <x:c r="G394" s="102" t="str">
        <x:v>诺薇霜镰</x:v>
      </x:c>
      <x:c r="H394" s="102" t="str">
        <x:v>武器</x:v>
      </x:c>
      <x:c r="I394" s="147" t="n">
        <x:v>320</x:v>
      </x:c>
      <x:c r="J394" s="102" t="str">
        <x:v>否（材料数量固定）</x:v>
      </x:c>
      <x:c r="K394" s="102" t="str">
        <x:v>仅手动分解；默认不勾选；二次确认</x:v>
      </x:c>
      <x:c r="L394" s="103" t="str">
        <x:v>一怪一专属；专属来源跟随本行准确地图号</x:v>
      </x:c>
    </x:row>
    <x:row r="395">
      <x:c r="A395" s="101" t="str">
        <x:v>C07</x:v>
      </x:c>
      <x:c r="B395" s="102" t="str">
        <x:v>化圣雪原</x:v>
      </x:c>
      <x:c r="C395" s="102" t="str">
        <x:v>极寒禁域</x:v>
      </x:c>
      <x:c r="D395" s="102" t="n">
        <x:v>5</x:v>
      </x:c>
      <x:c r="E395" s="102" t="str">
        <x:v>地图BOSS</x:v>
      </x:c>
      <x:c r="F395" s="102" t="str">
        <x:v>极寒圣女·希尔达</x:v>
      </x:c>
      <x:c r="G395" s="102" t="str">
        <x:v>希尔达圣冠</x:v>
      </x:c>
      <x:c r="H395" s="102" t="str">
        <x:v>头盔</x:v>
      </x:c>
      <x:c r="I395" s="147" t="n">
        <x:v>320</x:v>
      </x:c>
      <x:c r="J395" s="102" t="str">
        <x:v>否（材料数量固定）</x:v>
      </x:c>
      <x:c r="K395" s="102" t="str">
        <x:v>仅手动分解；默认不勾选；二次确认</x:v>
      </x:c>
      <x:c r="L395" s="103" t="str">
        <x:v>一怪一专属；专属来源跟随本行准确地图号</x:v>
      </x:c>
    </x:row>
    <x:row r="396">
      <x:c r="A396" s="101" t="str">
        <x:v>C07</x:v>
      </x:c>
      <x:c r="B396" s="102" t="str">
        <x:v>化圣雪原</x:v>
      </x:c>
      <x:c r="C396" s="102" t="str">
        <x:v>极寒禁域</x:v>
      </x:c>
      <x:c r="D396" s="102" t="n">
        <x:v>5</x:v>
      </x:c>
      <x:c r="E396" s="102" t="str">
        <x:v>守关BOSS</x:v>
      </x:c>
      <x:c r="F396" s="102" t="str">
        <x:v>化圣霜王·埃琉斯</x:v>
      </x:c>
      <x:c r="G396" s="102" t="str">
        <x:v>埃琉斯永霜铠</x:v>
      </x:c>
      <x:c r="H396" s="102" t="str">
        <x:v>衣服</x:v>
      </x:c>
      <x:c r="I396" s="147" t="n">
        <x:v>320</x:v>
      </x:c>
      <x:c r="J396" s="102" t="str">
        <x:v>否（材料数量固定）</x:v>
      </x:c>
      <x:c r="K396" s="102" t="str">
        <x:v>仅手动分解；默认不勾选；二次确认</x:v>
      </x:c>
      <x:c r="L396" s="103" t="str">
        <x:v>大陆最终守关；本表不填属性、爆率和货币</x:v>
      </x:c>
    </x:row>
    <x:row r="397">
      <x:c r="A397" s="101" t="str">
        <x:v>C08</x:v>
      </x:c>
      <x:c r="B397" s="102" t="str">
        <x:v>巨人山顶</x:v>
      </x:c>
      <x:c r="C397" s="102" t="str">
        <x:v>寒霜山径</x:v>
      </x:c>
      <x:c r="D397" s="102" t="n">
        <x:v>1</x:v>
      </x:c>
      <x:c r="E397" s="102" t="str">
        <x:v>普通</x:v>
      </x:c>
      <x:c r="F397" s="102" t="str">
        <x:v>霜蹄岩羊</x:v>
      </x:c>
      <x:c r="G397" s="102" t="str">
        <x:v>霜蹄踏雪靴</x:v>
      </x:c>
      <x:c r="H397" s="102" t="str">
        <x:v>鞋子</x:v>
      </x:c>
      <x:c r="I397" s="147" t="n">
        <x:v>100</x:v>
      </x:c>
      <x:c r="J397" s="102" t="str">
        <x:v>否（材料数量固定）</x:v>
      </x:c>
      <x:c r="K397" s="102" t="str">
        <x:v>仅手动分解；默认不勾选；二次确认</x:v>
      </x:c>
      <x:c r="L397" s="103" t="str">
        <x:v>一怪一专属；专属来源跟随本行准确地图号</x:v>
      </x:c>
    </x:row>
    <x:row r="398">
      <x:c r="A398" s="101" t="str">
        <x:v>C08</x:v>
      </x:c>
      <x:c r="B398" s="102" t="str">
        <x:v>巨人山顶</x:v>
      </x:c>
      <x:c r="C398" s="102" t="str">
        <x:v>寒霜山径</x:v>
      </x:c>
      <x:c r="D398" s="102" t="n">
        <x:v>1</x:v>
      </x:c>
      <x:c r="E398" s="102" t="str">
        <x:v>普通</x:v>
      </x:c>
      <x:c r="F398" s="102" t="str">
        <x:v>背冰拾荒者</x:v>
      </x:c>
      <x:c r="G398" s="102" t="str">
        <x:v>拾荒冰镐</x:v>
      </x:c>
      <x:c r="H398" s="102" t="str">
        <x:v>武器</x:v>
      </x:c>
      <x:c r="I398" s="147" t="n">
        <x:v>100</x:v>
      </x:c>
      <x:c r="J398" s="102" t="str">
        <x:v>否（材料数量固定）</x:v>
      </x:c>
      <x:c r="K398" s="102" t="str">
        <x:v>仅手动分解；默认不勾选；二次确认</x:v>
      </x:c>
      <x:c r="L398" s="103" t="str">
        <x:v>一怪一专属；专属来源跟随本行准确地图号</x:v>
      </x:c>
    </x:row>
    <x:row r="399">
      <x:c r="A399" s="101" t="str">
        <x:v>C08</x:v>
      </x:c>
      <x:c r="B399" s="102" t="str">
        <x:v>巨人山顶</x:v>
      </x:c>
      <x:c r="C399" s="102" t="str">
        <x:v>寒霜山径</x:v>
      </x:c>
      <x:c r="D399" s="102" t="n">
        <x:v>2</x:v>
      </x:c>
      <x:c r="E399" s="102" t="str">
        <x:v>普通</x:v>
      </x:c>
      <x:c r="F399" s="102" t="str">
        <x:v>冰脊雪猿</x:v>
      </x:c>
      <x:c r="G399" s="102" t="str">
        <x:v>雪猿鬃甲</x:v>
      </x:c>
      <x:c r="H399" s="102" t="str">
        <x:v>衣服</x:v>
      </x:c>
      <x:c r="I399" s="147" t="n">
        <x:v>100</x:v>
      </x:c>
      <x:c r="J399" s="102" t="str">
        <x:v>否（材料数量固定）</x:v>
      </x:c>
      <x:c r="K399" s="102" t="str">
        <x:v>仅手动分解；默认不勾选；二次确认</x:v>
      </x:c>
      <x:c r="L399" s="103" t="str">
        <x:v>一怪一专属；专属来源跟随本行准确地图号</x:v>
      </x:c>
    </x:row>
    <x:row r="400">
      <x:c r="A400" s="101" t="str">
        <x:v>C08</x:v>
      </x:c>
      <x:c r="B400" s="102" t="str">
        <x:v>巨人山顶</x:v>
      </x:c>
      <x:c r="C400" s="102" t="str">
        <x:v>寒霜山径</x:v>
      </x:c>
      <x:c r="D400" s="102" t="n">
        <x:v>2</x:v>
      </x:c>
      <x:c r="E400" s="102" t="str">
        <x:v>普通</x:v>
      </x:c>
      <x:c r="F400" s="102" t="str">
        <x:v>古道冻骸</x:v>
      </x:c>
      <x:c r="G400" s="102" t="str">
        <x:v>冻骨圆盾</x:v>
      </x:c>
      <x:c r="H400" s="102" t="str">
        <x:v>盾牌</x:v>
      </x:c>
      <x:c r="I400" s="147" t="n">
        <x:v>100</x:v>
      </x:c>
      <x:c r="J400" s="102" t="str">
        <x:v>否（材料数量固定）</x:v>
      </x:c>
      <x:c r="K400" s="102" t="str">
        <x:v>仅手动分解；默认不勾选；二次确认</x:v>
      </x:c>
      <x:c r="L400" s="103" t="str">
        <x:v>一怪一专属；专属来源跟随本行准确地图号</x:v>
      </x:c>
    </x:row>
    <x:row r="401">
      <x:c r="A401" s="101" t="str">
        <x:v>C08</x:v>
      </x:c>
      <x:c r="B401" s="102" t="str">
        <x:v>巨人山顶</x:v>
      </x:c>
      <x:c r="C401" s="102" t="str">
        <x:v>寒霜山径</x:v>
      </x:c>
      <x:c r="D401" s="102" t="n">
        <x:v>3</x:v>
      </x:c>
      <x:c r="E401" s="102" t="str">
        <x:v>普通</x:v>
      </x:c>
      <x:c r="F401" s="102" t="str">
        <x:v>暴雪青隼</x:v>
      </x:c>
      <x:c r="G401" s="102" t="str">
        <x:v>青隼翎盔</x:v>
      </x:c>
      <x:c r="H401" s="102" t="str">
        <x:v>头盔</x:v>
      </x:c>
      <x:c r="I401" s="147" t="n">
        <x:v>100</x:v>
      </x:c>
      <x:c r="J401" s="102" t="str">
        <x:v>否（材料数量固定）</x:v>
      </x:c>
      <x:c r="K401" s="102" t="str">
        <x:v>仅手动分解；默认不勾选；二次确认</x:v>
      </x:c>
      <x:c r="L401" s="103" t="str">
        <x:v>一怪一专属；专属来源跟随本行准确地图号</x:v>
      </x:c>
    </x:row>
    <x:row r="402">
      <x:c r="A402" s="101" t="str">
        <x:v>C08</x:v>
      </x:c>
      <x:c r="B402" s="102" t="str">
        <x:v>巨人山顶</x:v>
      </x:c>
      <x:c r="C402" s="102" t="str">
        <x:v>寒霜山径</x:v>
      </x:c>
      <x:c r="D402" s="102" t="n">
        <x:v>4</x:v>
      </x:c>
      <x:c r="E402" s="102" t="str">
        <x:v>普通</x:v>
      </x:c>
      <x:c r="F402" s="102" t="str">
        <x:v>祭台霜烛灵</x:v>
      </x:c>
      <x:c r="G402" s="102" t="str">
        <x:v>霜烛垂链</x:v>
      </x:c>
      <x:c r="H402" s="102" t="str">
        <x:v>项链</x:v>
      </x:c>
      <x:c r="I402" s="147" t="n">
        <x:v>100</x:v>
      </x:c>
      <x:c r="J402" s="102" t="str">
        <x:v>否（材料数量固定）</x:v>
      </x:c>
      <x:c r="K402" s="102" t="str">
        <x:v>仅手动分解；默认不勾选；二次确认</x:v>
      </x:c>
      <x:c r="L402" s="103" t="str">
        <x:v>一怪一专属；专属来源跟随本行准确地图号</x:v>
      </x:c>
    </x:row>
    <x:row r="403">
      <x:c r="A403" s="101" t="str">
        <x:v>C08</x:v>
      </x:c>
      <x:c r="B403" s="102" t="str">
        <x:v>巨人山顶</x:v>
      </x:c>
      <x:c r="C403" s="102" t="str">
        <x:v>寒霜山径</x:v>
      </x:c>
      <x:c r="D403" s="102" t="n">
        <x:v>1</x:v>
      </x:c>
      <x:c r="E403" s="102" t="str">
        <x:v>稀有</x:v>
      </x:c>
      <x:c r="F403" s="102" t="str">
        <x:v>雾凇引路人</x:v>
      </x:c>
      <x:c r="G403" s="102" t="str">
        <x:v>雾凇引路笠</x:v>
      </x:c>
      <x:c r="H403" s="102" t="str">
        <x:v>斗笠</x:v>
      </x:c>
      <x:c r="I403" s="147" t="n">
        <x:v>200</x:v>
      </x:c>
      <x:c r="J403" s="102" t="str">
        <x:v>否（材料数量固定）</x:v>
      </x:c>
      <x:c r="K403" s="102" t="str">
        <x:v>仅手动分解；默认不勾选；二次确认</x:v>
      </x:c>
      <x:c r="L403" s="103" t="str">
        <x:v>一怪一专属；专属来源跟随本行准确地图号</x:v>
      </x:c>
    </x:row>
    <x:row r="404">
      <x:c r="A404" s="101" t="str">
        <x:v>C08</x:v>
      </x:c>
      <x:c r="B404" s="102" t="str">
        <x:v>巨人山顶</x:v>
      </x:c>
      <x:c r="C404" s="102" t="str">
        <x:v>寒霜山径</x:v>
      </x:c>
      <x:c r="D404" s="102" t="n">
        <x:v>2</x:v>
      </x:c>
      <x:c r="E404" s="102" t="str">
        <x:v>稀有</x:v>
      </x:c>
      <x:c r="F404" s="102" t="str">
        <x:v>冰脊驮碑兽</x:v>
      </x:c>
      <x:c r="G404" s="102" t="str">
        <x:v>驮碑束腰</x:v>
      </x:c>
      <x:c r="H404" s="102" t="str">
        <x:v>腰带</x:v>
      </x:c>
      <x:c r="I404" s="147" t="n">
        <x:v>200</x:v>
      </x:c>
      <x:c r="J404" s="102" t="str">
        <x:v>否（材料数量固定）</x:v>
      </x:c>
      <x:c r="K404" s="102" t="str">
        <x:v>仅手动分解；默认不勾选；二次确认</x:v>
      </x:c>
      <x:c r="L404" s="103" t="str">
        <x:v>一怪一专属；专属来源跟随本行准确地图号</x:v>
      </x:c>
    </x:row>
    <x:row r="405">
      <x:c r="A405" s="101" t="str">
        <x:v>C08</x:v>
      </x:c>
      <x:c r="B405" s="102" t="str">
        <x:v>巨人山顶</x:v>
      </x:c>
      <x:c r="C405" s="102" t="str">
        <x:v>寒霜山径</x:v>
      </x:c>
      <x:c r="D405" s="102" t="n">
        <x:v>3</x:v>
      </x:c>
      <x:c r="E405" s="102" t="str">
        <x:v>稀有</x:v>
      </x:c>
      <x:c r="F405" s="102" t="str">
        <x:v>啸峰白魈</x:v>
      </x:c>
      <x:c r="G405" s="102" t="str">
        <x:v>白魈啸风镯</x:v>
      </x:c>
      <x:c r="H405" s="102" t="str">
        <x:v>手镯</x:v>
      </x:c>
      <x:c r="I405" s="147" t="n">
        <x:v>200</x:v>
      </x:c>
      <x:c r="J405" s="102" t="str">
        <x:v>否（材料数量固定）</x:v>
      </x:c>
      <x:c r="K405" s="102" t="str">
        <x:v>仅手动分解；默认不勾选；二次确认</x:v>
      </x:c>
      <x:c r="L405" s="103" t="str">
        <x:v>一怪一专属；专属来源跟随本行准确地图号</x:v>
      </x:c>
    </x:row>
    <x:row r="406">
      <x:c r="A406" s="101" t="str">
        <x:v>C08</x:v>
      </x:c>
      <x:c r="B406" s="102" t="str">
        <x:v>巨人山顶</x:v>
      </x:c>
      <x:c r="C406" s="102" t="str">
        <x:v>寒霜山径</x:v>
      </x:c>
      <x:c r="D406" s="102" t="n">
        <x:v>4</x:v>
      </x:c>
      <x:c r="E406" s="102" t="str">
        <x:v>稀有</x:v>
      </x:c>
      <x:c r="F406" s="102" t="str">
        <x:v>祭台封誓者</x:v>
      </x:c>
      <x:c r="G406" s="102" t="str">
        <x:v>封誓霜纹戒</x:v>
      </x:c>
      <x:c r="H406" s="102" t="str">
        <x:v>戒指</x:v>
      </x:c>
      <x:c r="I406" s="147" t="n">
        <x:v>200</x:v>
      </x:c>
      <x:c r="J406" s="102" t="str">
        <x:v>否（材料数量固定）</x:v>
      </x:c>
      <x:c r="K406" s="102" t="str">
        <x:v>仅手动分解；默认不勾选；二次确认</x:v>
      </x:c>
      <x:c r="L406" s="103" t="str">
        <x:v>一怪一专属；专属来源跟随本行准确地图号</x:v>
      </x:c>
    </x:row>
    <x:row r="407">
      <x:c r="A407" s="101" t="str">
        <x:v>C08</x:v>
      </x:c>
      <x:c r="B407" s="102" t="str">
        <x:v>巨人山顶</x:v>
      </x:c>
      <x:c r="C407" s="102" t="str">
        <x:v>寒霜山径</x:v>
      </x:c>
      <x:c r="D407" s="102" t="n">
        <x:v>3</x:v>
      </x:c>
      <x:c r="E407" s="102" t="str">
        <x:v>地图BOSS</x:v>
      </x:c>
      <x:c r="F407" s="102" t="str">
        <x:v>雪崩号角·赫罗姆</x:v>
      </x:c>
      <x:c r="G407" s="102" t="str">
        <x:v>赫罗姆凿峰槌</x:v>
      </x:c>
      <x:c r="H407" s="102" t="str">
        <x:v>武器</x:v>
      </x:c>
      <x:c r="I407" s="147" t="n">
        <x:v>400</x:v>
      </x:c>
      <x:c r="J407" s="102" t="str">
        <x:v>否（材料数量固定）</x:v>
      </x:c>
      <x:c r="K407" s="102" t="str">
        <x:v>仅手动分解；默认不勾选；二次确认</x:v>
      </x:c>
      <x:c r="L407" s="103" t="str">
        <x:v>一怪一专属；专属来源跟随本行准确地图号</x:v>
      </x:c>
    </x:row>
    <x:row r="408">
      <x:c r="A408" s="101" t="str">
        <x:v>C08</x:v>
      </x:c>
      <x:c r="B408" s="102" t="str">
        <x:v>巨人山顶</x:v>
      </x:c>
      <x:c r="C408" s="102" t="str">
        <x:v>寒霜山径</x:v>
      </x:c>
      <x:c r="D408" s="102" t="n">
        <x:v>4</x:v>
      </x:c>
      <x:c r="E408" s="102" t="str">
        <x:v>地图BOSS</x:v>
      </x:c>
      <x:c r="F408" s="102" t="str">
        <x:v>山巅霜祀·伊芙迦</x:v>
      </x:c>
      <x:c r="G408" s="102" t="str">
        <x:v>伊芙迦霜祀衣</x:v>
      </x:c>
      <x:c r="H408" s="102" t="str">
        <x:v>衣服</x:v>
      </x:c>
      <x:c r="I408" s="147" t="n">
        <x:v>400</x:v>
      </x:c>
      <x:c r="J408" s="102" t="str">
        <x:v>否（材料数量固定）</x:v>
      </x:c>
      <x:c r="K408" s="102" t="str">
        <x:v>仅手动分解；默认不勾选；二次确认</x:v>
      </x:c>
      <x:c r="L408" s="103" t="str">
        <x:v>一怪一专属；专属来源跟随本行准确地图号</x:v>
      </x:c>
    </x:row>
    <x:row r="409">
      <x:c r="A409" s="101" t="str">
        <x:v>C08</x:v>
      </x:c>
      <x:c r="B409" s="102" t="str">
        <x:v>巨人山顶</x:v>
      </x:c>
      <x:c r="C409" s="102" t="str">
        <x:v>断冰峰群</x:v>
      </x:c>
      <x:c r="D409" s="102" t="n">
        <x:v>1</x:v>
      </x:c>
      <x:c r="E409" s="102" t="str">
        <x:v>普通</x:v>
      </x:c>
      <x:c r="F409" s="102" t="str">
        <x:v>断峰岩獾</x:v>
      </x:c>
      <x:c r="G409" s="102" t="str">
        <x:v>岩獾碎石履</x:v>
      </x:c>
      <x:c r="H409" s="102" t="str">
        <x:v>鞋子</x:v>
      </x:c>
      <x:c r="I409" s="147" t="n">
        <x:v>100</x:v>
      </x:c>
      <x:c r="J409" s="102" t="str">
        <x:v>否（材料数量固定）</x:v>
      </x:c>
      <x:c r="K409" s="102" t="str">
        <x:v>仅手动分解；默认不勾选；二次确认</x:v>
      </x:c>
      <x:c r="L409" s="103" t="str">
        <x:v>一怪一专属；专属来源跟随本行准确地图号</x:v>
      </x:c>
    </x:row>
    <x:row r="410">
      <x:c r="A410" s="101" t="str">
        <x:v>C08</x:v>
      </x:c>
      <x:c r="B410" s="102" t="str">
        <x:v>巨人山顶</x:v>
      </x:c>
      <x:c r="C410" s="102" t="str">
        <x:v>断冰峰群</x:v>
      </x:c>
      <x:c r="D410" s="102" t="n">
        <x:v>1</x:v>
      </x:c>
      <x:c r="E410" s="102" t="str">
        <x:v>普通</x:v>
      </x:c>
      <x:c r="F410" s="102" t="str">
        <x:v>负霜矿奴</x:v>
      </x:c>
      <x:c r="G410" s="102" t="str">
        <x:v>负霜钉腰带</x:v>
      </x:c>
      <x:c r="H410" s="102" t="str">
        <x:v>腰带</x:v>
      </x:c>
      <x:c r="I410" s="147" t="n">
        <x:v>100</x:v>
      </x:c>
      <x:c r="J410" s="102" t="str">
        <x:v>否（材料数量固定）</x:v>
      </x:c>
      <x:c r="K410" s="102" t="str">
        <x:v>仅手动分解；默认不勾选；二次确认</x:v>
      </x:c>
      <x:c r="L410" s="103" t="str">
        <x:v>一怪一专属；专属来源跟随本行准确地图号</x:v>
      </x:c>
    </x:row>
    <x:row r="411">
      <x:c r="A411" s="101" t="str">
        <x:v>C08</x:v>
      </x:c>
      <x:c r="B411" s="102" t="str">
        <x:v>巨人山顶</x:v>
      </x:c>
      <x:c r="C411" s="102" t="str">
        <x:v>断冰峰群</x:v>
      </x:c>
      <x:c r="D411" s="102" t="n">
        <x:v>2</x:v>
      </x:c>
      <x:c r="E411" s="102" t="str">
        <x:v>普通</x:v>
      </x:c>
      <x:c r="F411" s="102" t="str">
        <x:v>碎冰桥弩卒</x:v>
      </x:c>
      <x:c r="G411" s="102" t="str">
        <x:v>桥卒破冰弩</x:v>
      </x:c>
      <x:c r="H411" s="102" t="str">
        <x:v>武器</x:v>
      </x:c>
      <x:c r="I411" s="147" t="n">
        <x:v>100</x:v>
      </x:c>
      <x:c r="J411" s="102" t="str">
        <x:v>否（材料数量固定）</x:v>
      </x:c>
      <x:c r="K411" s="102" t="str">
        <x:v>仅手动分解；默认不勾选；二次确认</x:v>
      </x:c>
      <x:c r="L411" s="103" t="str">
        <x:v>一怪一专属；专属来源跟随本行准确地图号</x:v>
      </x:c>
    </x:row>
    <x:row r="412">
      <x:c r="A412" s="101" t="str">
        <x:v>C08</x:v>
      </x:c>
      <x:c r="B412" s="102" t="str">
        <x:v>巨人山顶</x:v>
      </x:c>
      <x:c r="C412" s="102" t="str">
        <x:v>断冰峰群</x:v>
      </x:c>
      <x:c r="D412" s="102" t="n">
        <x:v>2</x:v>
      </x:c>
      <x:c r="E412" s="102" t="str">
        <x:v>普通</x:v>
      </x:c>
      <x:c r="F412" s="102" t="str">
        <x:v>天桥冰甲虫</x:v>
      </x:c>
      <x:c r="G412" s="102" t="str">
        <x:v>冰甲棱盾</x:v>
      </x:c>
      <x:c r="H412" s="102" t="str">
        <x:v>盾牌</x:v>
      </x:c>
      <x:c r="I412" s="147" t="n">
        <x:v>100</x:v>
      </x:c>
      <x:c r="J412" s="102" t="str">
        <x:v>否（材料数量固定）</x:v>
      </x:c>
      <x:c r="K412" s="102" t="str">
        <x:v>仅手动分解；默认不勾选；二次确认</x:v>
      </x:c>
      <x:c r="L412" s="103" t="str">
        <x:v>一怪一专属；专属来源跟随本行准确地图号</x:v>
      </x:c>
    </x:row>
    <x:row r="413">
      <x:c r="A413" s="101" t="str">
        <x:v>C08</x:v>
      </x:c>
      <x:c r="B413" s="102" t="str">
        <x:v>巨人山顶</x:v>
      </x:c>
      <x:c r="C413" s="102" t="str">
        <x:v>断冰峰群</x:v>
      </x:c>
      <x:c r="D413" s="102" t="n">
        <x:v>3</x:v>
      </x:c>
      <x:c r="E413" s="102" t="str">
        <x:v>普通</x:v>
      </x:c>
      <x:c r="F413" s="102" t="str">
        <x:v>裂谷寒翼蝠</x:v>
      </x:c>
      <x:c r="G413" s="102" t="str">
        <x:v>寒翼听风坠</x:v>
      </x:c>
      <x:c r="H413" s="102" t="str">
        <x:v>项链</x:v>
      </x:c>
      <x:c r="I413" s="147" t="n">
        <x:v>100</x:v>
      </x:c>
      <x:c r="J413" s="102" t="str">
        <x:v>否（材料数量固定）</x:v>
      </x:c>
      <x:c r="K413" s="102" t="str">
        <x:v>仅手动分解；默认不勾选；二次确认</x:v>
      </x:c>
      <x:c r="L413" s="103" t="str">
        <x:v>一怪一专属；专属来源跟随本行准确地图号</x:v>
      </x:c>
    </x:row>
    <x:row r="414">
      <x:c r="A414" s="101" t="str">
        <x:v>C08</x:v>
      </x:c>
      <x:c r="B414" s="102" t="str">
        <x:v>巨人山顶</x:v>
      </x:c>
      <x:c r="C414" s="102" t="str">
        <x:v>断冰峰群</x:v>
      </x:c>
      <x:c r="D414" s="102" t="n">
        <x:v>4</x:v>
      </x:c>
      <x:c r="E414" s="102" t="str">
        <x:v>普通</x:v>
      </x:c>
      <x:c r="F414" s="102" t="str">
        <x:v>祭场残斧魂</x:v>
      </x:c>
      <x:c r="G414" s="102" t="str">
        <x:v>残斧魂腕环</x:v>
      </x:c>
      <x:c r="H414" s="102" t="str">
        <x:v>手镯</x:v>
      </x:c>
      <x:c r="I414" s="147" t="n">
        <x:v>100</x:v>
      </x:c>
      <x:c r="J414" s="102" t="str">
        <x:v>否（材料数量固定）</x:v>
      </x:c>
      <x:c r="K414" s="102" t="str">
        <x:v>仅手动分解；默认不勾选；二次确认</x:v>
      </x:c>
      <x:c r="L414" s="103" t="str">
        <x:v>一怪一专属；专属来源跟随本行准确地图号</x:v>
      </x:c>
    </x:row>
    <x:row r="415">
      <x:c r="A415" s="101" t="str">
        <x:v>C08</x:v>
      </x:c>
      <x:c r="B415" s="102" t="str">
        <x:v>巨人山顶</x:v>
      </x:c>
      <x:c r="C415" s="102" t="str">
        <x:v>断冰峰群</x:v>
      </x:c>
      <x:c r="D415" s="102" t="n">
        <x:v>1</x:v>
      </x:c>
      <x:c r="E415" s="102" t="str">
        <x:v>稀有</x:v>
      </x:c>
      <x:c r="F415" s="102" t="str">
        <x:v>断冰猎旗手</x:v>
      </x:c>
      <x:c r="G415" s="102" t="str">
        <x:v>猎旗霜披</x:v>
      </x:c>
      <x:c r="H415" s="102" t="str">
        <x:v>衣服</x:v>
      </x:c>
      <x:c r="I415" s="147" t="n">
        <x:v>200</x:v>
      </x:c>
      <x:c r="J415" s="102" t="str">
        <x:v>否（材料数量固定）</x:v>
      </x:c>
      <x:c r="K415" s="102" t="str">
        <x:v>仅手动分解；默认不勾选；二次确认</x:v>
      </x:c>
      <x:c r="L415" s="103" t="str">
        <x:v>一怪一专属；专属来源跟随本行准确地图号</x:v>
      </x:c>
    </x:row>
    <x:row r="416">
      <x:c r="A416" s="101" t="str">
        <x:v>C08</x:v>
      </x:c>
      <x:c r="B416" s="102" t="str">
        <x:v>巨人山顶</x:v>
      </x:c>
      <x:c r="C416" s="102" t="str">
        <x:v>断冰峰群</x:v>
      </x:c>
      <x:c r="D416" s="102" t="n">
        <x:v>2</x:v>
      </x:c>
      <x:c r="E416" s="102" t="str">
        <x:v>稀有</x:v>
      </x:c>
      <x:c r="F416" s="102" t="str">
        <x:v>天桥踏索客</x:v>
      </x:c>
      <x:c r="G416" s="102" t="str">
        <x:v>踏索雪笠</x:v>
      </x:c>
      <x:c r="H416" s="102" t="str">
        <x:v>斗笠</x:v>
      </x:c>
      <x:c r="I416" s="147" t="n">
        <x:v>200</x:v>
      </x:c>
      <x:c r="J416" s="102" t="str">
        <x:v>否（材料数量固定）</x:v>
      </x:c>
      <x:c r="K416" s="102" t="str">
        <x:v>仅手动分解；默认不勾选；二次确认</x:v>
      </x:c>
      <x:c r="L416" s="103" t="str">
        <x:v>一怪一专属；专属来源跟随本行准确地图号</x:v>
      </x:c>
    </x:row>
    <x:row r="417">
      <x:c r="A417" s="101" t="str">
        <x:v>C08</x:v>
      </x:c>
      <x:c r="B417" s="102" t="str">
        <x:v>巨人山顶</x:v>
      </x:c>
      <x:c r="C417" s="102" t="str">
        <x:v>断冰峰群</x:v>
      </x:c>
      <x:c r="D417" s="102" t="n">
        <x:v>3</x:v>
      </x:c>
      <x:c r="E417" s="102" t="str">
        <x:v>稀有</x:v>
      </x:c>
      <x:c r="F417" s="102" t="str">
        <x:v>裂谷雪嚎兽</x:v>
      </x:c>
      <x:c r="G417" s="102" t="str">
        <x:v>雪嚎裂角盔</x:v>
      </x:c>
      <x:c r="H417" s="102" t="str">
        <x:v>头盔</x:v>
      </x:c>
      <x:c r="I417" s="147" t="n">
        <x:v>200</x:v>
      </x:c>
      <x:c r="J417" s="102" t="str">
        <x:v>否（材料数量固定）</x:v>
      </x:c>
      <x:c r="K417" s="102" t="str">
        <x:v>仅手动分解；默认不勾选；二次确认</x:v>
      </x:c>
      <x:c r="L417" s="103" t="str">
        <x:v>一怪一专属；专属来源跟随本行准确地图号</x:v>
      </x:c>
    </x:row>
    <x:row r="418">
      <x:c r="A418" s="101" t="str">
        <x:v>C08</x:v>
      </x:c>
      <x:c r="B418" s="102" t="str">
        <x:v>巨人山顶</x:v>
      </x:c>
      <x:c r="C418" s="102" t="str">
        <x:v>断冰峰群</x:v>
      </x:c>
      <x:c r="D418" s="102" t="n">
        <x:v>4</x:v>
      </x:c>
      <x:c r="E418" s="102" t="str">
        <x:v>稀有</x:v>
      </x:c>
      <x:c r="F418" s="102" t="str">
        <x:v>祭场缄誓巫</x:v>
      </x:c>
      <x:c r="G418" s="102" t="str">
        <x:v>缄誓寒铁戒</x:v>
      </x:c>
      <x:c r="H418" s="102" t="str">
        <x:v>戒指</x:v>
      </x:c>
      <x:c r="I418" s="147" t="n">
        <x:v>200</x:v>
      </x:c>
      <x:c r="J418" s="102" t="str">
        <x:v>否（材料数量固定）</x:v>
      </x:c>
      <x:c r="K418" s="102" t="str">
        <x:v>仅手动分解；默认不勾选；二次确认</x:v>
      </x:c>
      <x:c r="L418" s="103" t="str">
        <x:v>一怪一专属；专属来源跟随本行准确地图号</x:v>
      </x:c>
    </x:row>
    <x:row r="419">
      <x:c r="A419" s="101" t="str">
        <x:v>C08</x:v>
      </x:c>
      <x:c r="B419" s="102" t="str">
        <x:v>巨人山顶</x:v>
      </x:c>
      <x:c r="C419" s="102" t="str">
        <x:v>断冰峰群</x:v>
      </x:c>
      <x:c r="D419" s="102" t="n">
        <x:v>3</x:v>
      </x:c>
      <x:c r="E419" s="102" t="str">
        <x:v>地图BOSS</x:v>
      </x:c>
      <x:c r="F419" s="102" t="str">
        <x:v>裂谷锻峰侯·德鲁伽</x:v>
      </x:c>
      <x:c r="G419" s="102" t="str">
        <x:v>德鲁伽裂峰斧</x:v>
      </x:c>
      <x:c r="H419" s="102" t="str">
        <x:v>武器</x:v>
      </x:c>
      <x:c r="I419" s="147" t="n">
        <x:v>400</x:v>
      </x:c>
      <x:c r="J419" s="102" t="str">
        <x:v>否（材料数量固定）</x:v>
      </x:c>
      <x:c r="K419" s="102" t="str">
        <x:v>仅手动分解；默认不勾选；二次确认</x:v>
      </x:c>
      <x:c r="L419" s="103" t="str">
        <x:v>一怪一专属；专属来源跟随本行准确地图号</x:v>
      </x:c>
    </x:row>
    <x:row r="420">
      <x:c r="A420" s="101" t="str">
        <x:v>C08</x:v>
      </x:c>
      <x:c r="B420" s="102" t="str">
        <x:v>巨人山顶</x:v>
      </x:c>
      <x:c r="C420" s="102" t="str">
        <x:v>断冰峰群</x:v>
      </x:c>
      <x:c r="D420" s="102" t="n">
        <x:v>4</x:v>
      </x:c>
      <x:c r="E420" s="102" t="str">
        <x:v>地图BOSS</x:v>
      </x:c>
      <x:c r="F420" s="102" t="str">
        <x:v>断峰献祭者·维瑟娅</x:v>
      </x:c>
      <x:c r="G420" s="102" t="str">
        <x:v>维瑟娅霜祭衣</x:v>
      </x:c>
      <x:c r="H420" s="102" t="str">
        <x:v>衣服</x:v>
      </x:c>
      <x:c r="I420" s="147" t="n">
        <x:v>400</x:v>
      </x:c>
      <x:c r="J420" s="102" t="str">
        <x:v>否（材料数量固定）</x:v>
      </x:c>
      <x:c r="K420" s="102" t="str">
        <x:v>仅手动分解；默认不勾选；二次确认</x:v>
      </x:c>
      <x:c r="L420" s="103" t="str">
        <x:v>一怪一专属；专属来源跟随本行准确地图号</x:v>
      </x:c>
    </x:row>
    <x:row r="421">
      <x:c r="A421" s="101" t="str">
        <x:v>C08</x:v>
      </x:c>
      <x:c r="B421" s="102" t="str">
        <x:v>巨人山顶</x:v>
      </x:c>
      <x:c r="C421" s="102" t="str">
        <x:v>冰宫王庭</x:v>
      </x:c>
      <x:c r="D421" s="102" t="n">
        <x:v>1</x:v>
      </x:c>
      <x:c r="E421" s="102" t="str">
        <x:v>普通</x:v>
      </x:c>
      <x:c r="F421" s="102" t="str">
        <x:v>冰宫雪鸦</x:v>
      </x:c>
      <x:c r="G421" s="102" t="str">
        <x:v>雪鸦冰喙坠</x:v>
      </x:c>
      <x:c r="H421" s="102" t="str">
        <x:v>项链</x:v>
      </x:c>
      <x:c r="I421" s="147" t="n">
        <x:v>100</x:v>
      </x:c>
      <x:c r="J421" s="102" t="str">
        <x:v>否（材料数量固定）</x:v>
      </x:c>
      <x:c r="K421" s="102" t="str">
        <x:v>仅手动分解；默认不勾选；二次确认</x:v>
      </x:c>
      <x:c r="L421" s="103" t="str">
        <x:v>一怪一专属；专属来源跟随本行准确地图号</x:v>
      </x:c>
    </x:row>
    <x:row r="422">
      <x:c r="A422" s="101" t="str">
        <x:v>C08</x:v>
      </x:c>
      <x:c r="B422" s="102" t="str">
        <x:v>巨人山顶</x:v>
      </x:c>
      <x:c r="C422" s="102" t="str">
        <x:v>冰宫王庭</x:v>
      </x:c>
      <x:c r="D422" s="102" t="n">
        <x:v>1</x:v>
      </x:c>
      <x:c r="E422" s="102" t="str">
        <x:v>普通</x:v>
      </x:c>
      <x:c r="F422" s="102" t="str">
        <x:v>御阶铲雪仆</x:v>
      </x:c>
      <x:c r="G422" s="102" t="str">
        <x:v>御阶雪铲</x:v>
      </x:c>
      <x:c r="H422" s="102" t="str">
        <x:v>武器</x:v>
      </x:c>
      <x:c r="I422" s="147" t="n">
        <x:v>100</x:v>
      </x:c>
      <x:c r="J422" s="102" t="str">
        <x:v>否（材料数量固定）</x:v>
      </x:c>
      <x:c r="K422" s="102" t="str">
        <x:v>仅手动分解；默认不勾选；二次确认</x:v>
      </x:c>
      <x:c r="L422" s="103" t="str">
        <x:v>一怪一专属；专属来源跟随本行准确地图号</x:v>
      </x:c>
    </x:row>
    <x:row r="423">
      <x:c r="A423" s="101" t="str">
        <x:v>C08</x:v>
      </x:c>
      <x:c r="B423" s="102" t="str">
        <x:v>巨人山顶</x:v>
      </x:c>
      <x:c r="C423" s="102" t="str">
        <x:v>冰宫王庭</x:v>
      </x:c>
      <x:c r="D423" s="102" t="n">
        <x:v>2</x:v>
      </x:c>
      <x:c r="E423" s="102" t="str">
        <x:v>普通</x:v>
      </x:c>
      <x:c r="F423" s="102" t="str">
        <x:v>外廊冰枪卫</x:v>
      </x:c>
      <x:c r="G423" s="102" t="str">
        <x:v>外廊纹冰盾</x:v>
      </x:c>
      <x:c r="H423" s="102" t="str">
        <x:v>盾牌</x:v>
      </x:c>
      <x:c r="I423" s="147" t="n">
        <x:v>100</x:v>
      </x:c>
      <x:c r="J423" s="102" t="str">
        <x:v>否（材料数量固定）</x:v>
      </x:c>
      <x:c r="K423" s="102" t="str">
        <x:v>仅手动分解；默认不勾选；二次确认</x:v>
      </x:c>
      <x:c r="L423" s="103" t="str">
        <x:v>一怪一专属；专属来源跟随本行准确地图号</x:v>
      </x:c>
    </x:row>
    <x:row r="424">
      <x:c r="A424" s="101" t="str">
        <x:v>C08</x:v>
      </x:c>
      <x:c r="B424" s="102" t="str">
        <x:v>巨人山顶</x:v>
      </x:c>
      <x:c r="C424" s="102" t="str">
        <x:v>冰宫王庭</x:v>
      </x:c>
      <x:c r="D424" s="102" t="n">
        <x:v>3</x:v>
      </x:c>
      <x:c r="E424" s="102" t="str">
        <x:v>普通</x:v>
      </x:c>
      <x:c r="F424" s="102" t="str">
        <x:v>内廷霜纱侍女</x:v>
      </x:c>
      <x:c r="G424" s="102" t="str">
        <x:v>霜纱侍衣</x:v>
      </x:c>
      <x:c r="H424" s="102" t="str">
        <x:v>衣服</x:v>
      </x:c>
      <x:c r="I424" s="147" t="n">
        <x:v>100</x:v>
      </x:c>
      <x:c r="J424" s="102" t="str">
        <x:v>否（材料数量固定）</x:v>
      </x:c>
      <x:c r="K424" s="102" t="str">
        <x:v>仅手动分解；默认不勾选；二次确认</x:v>
      </x:c>
      <x:c r="L424" s="103" t="str">
        <x:v>一怪一专属；专属来源跟随本行准确地图号</x:v>
      </x:c>
    </x:row>
    <x:row r="425">
      <x:c r="A425" s="101" t="str">
        <x:v>C08</x:v>
      </x:c>
      <x:c r="B425" s="102" t="str">
        <x:v>巨人山顶</x:v>
      </x:c>
      <x:c r="C425" s="102" t="str">
        <x:v>冰宫王庭</x:v>
      </x:c>
      <x:c r="D425" s="102" t="n">
        <x:v>4</x:v>
      </x:c>
      <x:c r="E425" s="102" t="str">
        <x:v>普通</x:v>
      </x:c>
      <x:c r="F425" s="102" t="str">
        <x:v>议殿石髯书记</x:v>
      </x:c>
      <x:c r="G425" s="102" t="str">
        <x:v>石髯记事镯</x:v>
      </x:c>
      <x:c r="H425" s="102" t="str">
        <x:v>手镯</x:v>
      </x:c>
      <x:c r="I425" s="147" t="n">
        <x:v>100</x:v>
      </x:c>
      <x:c r="J425" s="102" t="str">
        <x:v>否（材料数量固定）</x:v>
      </x:c>
      <x:c r="K425" s="102" t="str">
        <x:v>仅手动分解；默认不勾选；二次确认</x:v>
      </x:c>
      <x:c r="L425" s="103" t="str">
        <x:v>一怪一专属；专属来源跟随本行准确地图号</x:v>
      </x:c>
    </x:row>
    <x:row r="426">
      <x:c r="A426" s="101" t="str">
        <x:v>C08</x:v>
      </x:c>
      <x:c r="B426" s="102" t="str">
        <x:v>巨人山顶</x:v>
      </x:c>
      <x:c r="C426" s="102" t="str">
        <x:v>冰宫王庭</x:v>
      </x:c>
      <x:c r="D426" s="102" t="n">
        <x:v>5</x:v>
      </x:c>
      <x:c r="E426" s="102" t="str">
        <x:v>普通</x:v>
      </x:c>
      <x:c r="F426" s="102" t="str">
        <x:v>王座寒灯侍</x:v>
      </x:c>
      <x:c r="G426" s="102" t="str">
        <x:v>寒灯侍履</x:v>
      </x:c>
      <x:c r="H426" s="102" t="str">
        <x:v>鞋子</x:v>
      </x:c>
      <x:c r="I426" s="147" t="n">
        <x:v>100</x:v>
      </x:c>
      <x:c r="J426" s="102" t="str">
        <x:v>否（材料数量固定）</x:v>
      </x:c>
      <x:c r="K426" s="102" t="str">
        <x:v>仅手动分解；默认不勾选；二次确认</x:v>
      </x:c>
      <x:c r="L426" s="103" t="str">
        <x:v>一怪一专属；专属来源跟随本行准确地图号</x:v>
      </x:c>
    </x:row>
    <x:row r="427">
      <x:c r="A427" s="101" t="str">
        <x:v>C08</x:v>
      </x:c>
      <x:c r="B427" s="102" t="str">
        <x:v>巨人山顶</x:v>
      </x:c>
      <x:c r="C427" s="102" t="str">
        <x:v>冰宫王庭</x:v>
      </x:c>
      <x:c r="D427" s="102" t="n">
        <x:v>2</x:v>
      </x:c>
      <x:c r="E427" s="102" t="str">
        <x:v>稀有</x:v>
      </x:c>
      <x:c r="F427" s="102" t="str">
        <x:v>外廊镜甲将</x:v>
      </x:c>
      <x:c r="G427" s="102" t="str">
        <x:v>镜甲将军盔</x:v>
      </x:c>
      <x:c r="H427" s="102" t="str">
        <x:v>头盔</x:v>
      </x:c>
      <x:c r="I427" s="147" t="n">
        <x:v>200</x:v>
      </x:c>
      <x:c r="J427" s="102" t="str">
        <x:v>否（材料数量固定）</x:v>
      </x:c>
      <x:c r="K427" s="102" t="str">
        <x:v>仅手动分解；默认不勾选；二次确认</x:v>
      </x:c>
      <x:c r="L427" s="103" t="str">
        <x:v>一怪一专属；专属来源跟随本行准确地图号</x:v>
      </x:c>
    </x:row>
    <x:row r="428">
      <x:c r="A428" s="101" t="str">
        <x:v>C08</x:v>
      </x:c>
      <x:c r="B428" s="102" t="str">
        <x:v>巨人山顶</x:v>
      </x:c>
      <x:c r="C428" s="102" t="str">
        <x:v>冰宫王庭</x:v>
      </x:c>
      <x:c r="D428" s="102" t="n">
        <x:v>3</x:v>
      </x:c>
      <x:c r="E428" s="102" t="str">
        <x:v>稀有</x:v>
      </x:c>
      <x:c r="F428" s="102" t="str">
        <x:v>内廷缄声女官</x:v>
      </x:c>
      <x:c r="G428" s="102" t="str">
        <x:v>缄声霜帘笠</x:v>
      </x:c>
      <x:c r="H428" s="102" t="str">
        <x:v>斗笠</x:v>
      </x:c>
      <x:c r="I428" s="147" t="n">
        <x:v>200</x:v>
      </x:c>
      <x:c r="J428" s="102" t="str">
        <x:v>否（材料数量固定）</x:v>
      </x:c>
      <x:c r="K428" s="102" t="str">
        <x:v>仅手动分解；默认不勾选；二次确认</x:v>
      </x:c>
      <x:c r="L428" s="103" t="str">
        <x:v>一怪一专属；专属来源跟随本行准确地图号</x:v>
      </x:c>
    </x:row>
    <x:row r="429">
      <x:c r="A429" s="101" t="str">
        <x:v>C08</x:v>
      </x:c>
      <x:c r="B429" s="102" t="str">
        <x:v>巨人山顶</x:v>
      </x:c>
      <x:c r="C429" s="102" t="str">
        <x:v>冰宫王庭</x:v>
      </x:c>
      <x:c r="D429" s="102" t="n">
        <x:v>4</x:v>
      </x:c>
      <x:c r="E429" s="102" t="str">
        <x:v>稀有</x:v>
      </x:c>
      <x:c r="F429" s="102" t="str">
        <x:v>议殿古律巨人</x:v>
      </x:c>
      <x:c r="G429" s="102" t="str">
        <x:v>古律铭板带</x:v>
      </x:c>
      <x:c r="H429" s="102" t="str">
        <x:v>腰带</x:v>
      </x:c>
      <x:c r="I429" s="147" t="n">
        <x:v>200</x:v>
      </x:c>
      <x:c r="J429" s="102" t="str">
        <x:v>否（材料数量固定）</x:v>
      </x:c>
      <x:c r="K429" s="102" t="str">
        <x:v>仅手动分解；默认不勾选；二次确认</x:v>
      </x:c>
      <x:c r="L429" s="103" t="str">
        <x:v>一怪一专属；专属来源跟随本行准确地图号</x:v>
      </x:c>
    </x:row>
    <x:row r="430">
      <x:c r="A430" s="101" t="str">
        <x:v>C08</x:v>
      </x:c>
      <x:c r="B430" s="102" t="str">
        <x:v>巨人山顶</x:v>
      </x:c>
      <x:c r="C430" s="102" t="str">
        <x:v>冰宫王庭</x:v>
      </x:c>
      <x:c r="D430" s="102" t="n">
        <x:v>5</x:v>
      </x:c>
      <x:c r="E430" s="102" t="str">
        <x:v>稀有</x:v>
      </x:c>
      <x:c r="F430" s="102" t="str">
        <x:v>王座霜冠司礼</x:v>
      </x:c>
      <x:c r="G430" s="102" t="str">
        <x:v>霜冠司礼戒</x:v>
      </x:c>
      <x:c r="H430" s="102" t="str">
        <x:v>戒指</x:v>
      </x:c>
      <x:c r="I430" s="147" t="n">
        <x:v>200</x:v>
      </x:c>
      <x:c r="J430" s="102" t="str">
        <x:v>否（材料数量固定）</x:v>
      </x:c>
      <x:c r="K430" s="102" t="str">
        <x:v>仅手动分解；默认不勾选；二次确认</x:v>
      </x:c>
      <x:c r="L430" s="103" t="str">
        <x:v>一怪一专属；专属来源跟随本行准确地图号</x:v>
      </x:c>
    </x:row>
    <x:row r="431">
      <x:c r="A431" s="101" t="str">
        <x:v>C08</x:v>
      </x:c>
      <x:c r="B431" s="102" t="str">
        <x:v>巨人山顶</x:v>
      </x:c>
      <x:c r="C431" s="102" t="str">
        <x:v>冰宫王庭</x:v>
      </x:c>
      <x:c r="D431" s="102" t="n">
        <x:v>4</x:v>
      </x:c>
      <x:c r="E431" s="102" t="str">
        <x:v>地图BOSS</x:v>
      </x:c>
      <x:c r="F431" s="102" t="str">
        <x:v>议殿白髯公·沃尔格</x:v>
      </x:c>
      <x:c r="G431" s="102" t="str">
        <x:v>沃尔格廷议杖</x:v>
      </x:c>
      <x:c r="H431" s="102" t="str">
        <x:v>武器</x:v>
      </x:c>
      <x:c r="I431" s="147" t="n">
        <x:v>400</x:v>
      </x:c>
      <x:c r="J431" s="102" t="str">
        <x:v>否（材料数量固定）</x:v>
      </x:c>
      <x:c r="K431" s="102" t="str">
        <x:v>仅手动分解；默认不勾选；二次确认</x:v>
      </x:c>
      <x:c r="L431" s="103" t="str">
        <x:v>一怪一专属；专属来源跟随本行准确地图号</x:v>
      </x:c>
    </x:row>
    <x:row r="432">
      <x:c r="A432" s="101" t="str">
        <x:v>C08</x:v>
      </x:c>
      <x:c r="B432" s="102" t="str">
        <x:v>巨人山顶</x:v>
      </x:c>
      <x:c r="C432" s="102" t="str">
        <x:v>冰宫王庭</x:v>
      </x:c>
      <x:c r="D432" s="102" t="n">
        <x:v>5</x:v>
      </x:c>
      <x:c r="E432" s="102" t="str">
        <x:v>地图BOSS</x:v>
      </x:c>
      <x:c r="F432" s="102" t="str">
        <x:v>冰宫摄政后·伊瑟芮</x:v>
      </x:c>
      <x:c r="G432" s="102" t="str">
        <x:v>伊瑟芮冰绡袍</x:v>
      </x:c>
      <x:c r="H432" s="102" t="str">
        <x:v>衣服</x:v>
      </x:c>
      <x:c r="I432" s="147" t="n">
        <x:v>400</x:v>
      </x:c>
      <x:c r="J432" s="102" t="str">
        <x:v>否（材料数量固定）</x:v>
      </x:c>
      <x:c r="K432" s="102" t="str">
        <x:v>仅手动分解；默认不勾选；二次确认</x:v>
      </x:c>
      <x:c r="L432" s="103" t="str">
        <x:v>一怪一专属；专属来源跟随本行准确地图号</x:v>
      </x:c>
    </x:row>
    <x:row r="433">
      <x:c r="A433" s="101" t="str">
        <x:v>C08</x:v>
      </x:c>
      <x:c r="B433" s="102" t="str">
        <x:v>巨人山顶</x:v>
      </x:c>
      <x:c r="C433" s="102" t="str">
        <x:v>巨人王庭</x:v>
      </x:c>
      <x:c r="D433" s="102" t="n">
        <x:v>1</x:v>
      </x:c>
      <x:c r="E433" s="102" t="str">
        <x:v>普通</x:v>
      </x:c>
      <x:c r="F433" s="102" t="str">
        <x:v>王庭铸霜卫</x:v>
      </x:c>
      <x:c r="G433" s="102" t="str">
        <x:v>铸霜庭卫戟</x:v>
      </x:c>
      <x:c r="H433" s="102" t="str">
        <x:v>武器</x:v>
      </x:c>
      <x:c r="I433" s="147" t="n">
        <x:v>100</x:v>
      </x:c>
      <x:c r="J433" s="102" t="str">
        <x:v>否（材料数量固定）</x:v>
      </x:c>
      <x:c r="K433" s="102" t="str">
        <x:v>仅手动分解；默认不勾选；二次确认</x:v>
      </x:c>
      <x:c r="L433" s="103" t="str">
        <x:v>一怪一专属；专属来源跟随本行准确地图号</x:v>
      </x:c>
    </x:row>
    <x:row r="434">
      <x:c r="A434" s="101" t="str">
        <x:v>C08</x:v>
      </x:c>
      <x:c r="B434" s="102" t="str">
        <x:v>巨人山顶</x:v>
      </x:c>
      <x:c r="C434" s="102" t="str">
        <x:v>巨人王庭</x:v>
      </x:c>
      <x:c r="D434" s="102" t="n">
        <x:v>1</x:v>
      </x:c>
      <x:c r="E434" s="102" t="str">
        <x:v>普通</x:v>
      </x:c>
      <x:c r="F434" s="102" t="str">
        <x:v>庭阶雪鬃獒</x:v>
      </x:c>
      <x:c r="G434" s="102" t="str">
        <x:v>雪鬃獒踏靴</x:v>
      </x:c>
      <x:c r="H434" s="102" t="str">
        <x:v>鞋子</x:v>
      </x:c>
      <x:c r="I434" s="147" t="n">
        <x:v>100</x:v>
      </x:c>
      <x:c r="J434" s="102" t="str">
        <x:v>否（材料数量固定）</x:v>
      </x:c>
      <x:c r="K434" s="102" t="str">
        <x:v>仅手动分解；默认不勾选；二次确认</x:v>
      </x:c>
      <x:c r="L434" s="103" t="str">
        <x:v>一怪一专属；专属来源跟随本行准确地图号</x:v>
      </x:c>
    </x:row>
    <x:row r="435">
      <x:c r="A435" s="101" t="str">
        <x:v>C08</x:v>
      </x:c>
      <x:c r="B435" s="102" t="str">
        <x:v>巨人山顶</x:v>
      </x:c>
      <x:c r="C435" s="102" t="str">
        <x:v>巨人王庭</x:v>
      </x:c>
      <x:c r="D435" s="102" t="n">
        <x:v>2</x:v>
      </x:c>
      <x:c r="E435" s="102" t="str">
        <x:v>普通</x:v>
      </x:c>
      <x:c r="F435" s="102" t="str">
        <x:v>内宫白毡侍</x:v>
      </x:c>
      <x:c r="G435" s="102" t="str">
        <x:v>白毡宫衣</x:v>
      </x:c>
      <x:c r="H435" s="102" t="str">
        <x:v>衣服</x:v>
      </x:c>
      <x:c r="I435" s="147" t="n">
        <x:v>100</x:v>
      </x:c>
      <x:c r="J435" s="102" t="str">
        <x:v>否（材料数量固定）</x:v>
      </x:c>
      <x:c r="K435" s="102" t="str">
        <x:v>仅手动分解；默认不勾选；二次确认</x:v>
      </x:c>
      <x:c r="L435" s="103" t="str">
        <x:v>一怪一专属；专属来源跟随本行准确地图号</x:v>
      </x:c>
    </x:row>
    <x:row r="436">
      <x:c r="A436" s="101" t="str">
        <x:v>C08</x:v>
      </x:c>
      <x:c r="B436" s="102" t="str">
        <x:v>巨人山顶</x:v>
      </x:c>
      <x:c r="C436" s="102" t="str">
        <x:v>巨人王庭</x:v>
      </x:c>
      <x:c r="D436" s="102" t="n">
        <x:v>2</x:v>
      </x:c>
      <x:c r="E436" s="102" t="str">
        <x:v>普通</x:v>
      </x:c>
      <x:c r="F436" s="102" t="str">
        <x:v>雪域巡烛官</x:v>
      </x:c>
      <x:c r="G436" s="102" t="str">
        <x:v>巡烛官灯坠</x:v>
      </x:c>
      <x:c r="H436" s="102" t="str">
        <x:v>项链</x:v>
      </x:c>
      <x:c r="I436" s="147" t="n">
        <x:v>100</x:v>
      </x:c>
      <x:c r="J436" s="102" t="str">
        <x:v>否（材料数量固定）</x:v>
      </x:c>
      <x:c r="K436" s="102" t="str">
        <x:v>仅手动分解；默认不勾选；二次确认</x:v>
      </x:c>
      <x:c r="L436" s="103" t="str">
        <x:v>一怪一专属；专属来源跟随本行准确地图号</x:v>
      </x:c>
    </x:row>
    <x:row r="437">
      <x:c r="A437" s="101" t="str">
        <x:v>C08</x:v>
      </x:c>
      <x:c r="B437" s="102" t="str">
        <x:v>巨人山顶</x:v>
      </x:c>
      <x:c r="C437" s="102" t="str">
        <x:v>巨人王庭</x:v>
      </x:c>
      <x:c r="D437" s="102" t="n">
        <x:v>3</x:v>
      </x:c>
      <x:c r="E437" s="102" t="str">
        <x:v>普通</x:v>
      </x:c>
      <x:c r="F437" s="102" t="str">
        <x:v>王座负碑巨人</x:v>
      </x:c>
      <x:c r="G437" s="102" t="str">
        <x:v>负碑王座盾</x:v>
      </x:c>
      <x:c r="H437" s="102" t="str">
        <x:v>盾牌</x:v>
      </x:c>
      <x:c r="I437" s="147" t="n">
        <x:v>100</x:v>
      </x:c>
      <x:c r="J437" s="102" t="str">
        <x:v>否（材料数量固定）</x:v>
      </x:c>
      <x:c r="K437" s="102" t="str">
        <x:v>仅手动分解；默认不勾选；二次确认</x:v>
      </x:c>
      <x:c r="L437" s="103" t="str">
        <x:v>一怪一专属；专属来源跟随本行准确地图号</x:v>
      </x:c>
    </x:row>
    <x:row r="438">
      <x:c r="A438" s="101" t="str">
        <x:v>C08</x:v>
      </x:c>
      <x:c r="B438" s="102" t="str">
        <x:v>巨人山顶</x:v>
      </x:c>
      <x:c r="C438" s="102" t="str">
        <x:v>巨人王庭</x:v>
      </x:c>
      <x:c r="D438" s="102" t="n">
        <x:v>3</x:v>
      </x:c>
      <x:c r="E438" s="102" t="str">
        <x:v>普通</x:v>
      </x:c>
      <x:c r="F438" s="102" t="str">
        <x:v>王座冰铃童</x:v>
      </x:c>
      <x:c r="G438" s="102" t="str">
        <x:v>冰铃童腕镯</x:v>
      </x:c>
      <x:c r="H438" s="102" t="str">
        <x:v>手镯</x:v>
      </x:c>
      <x:c r="I438" s="147" t="n">
        <x:v>100</x:v>
      </x:c>
      <x:c r="J438" s="102" t="str">
        <x:v>否（材料数量固定）</x:v>
      </x:c>
      <x:c r="K438" s="102" t="str">
        <x:v>仅手动分解；默认不勾选；二次确认</x:v>
      </x:c>
      <x:c r="L438" s="103" t="str">
        <x:v>一怪一专属；专属来源跟随本行准确地图号</x:v>
      </x:c>
    </x:row>
    <x:row r="439">
      <x:c r="A439" s="101" t="str">
        <x:v>C08</x:v>
      </x:c>
      <x:c r="B439" s="102" t="str">
        <x:v>巨人山顶</x:v>
      </x:c>
      <x:c r="C439" s="102" t="str">
        <x:v>巨人王庭</x:v>
      </x:c>
      <x:c r="D439" s="102" t="n">
        <x:v>1</x:v>
      </x:c>
      <x:c r="E439" s="102" t="str">
        <x:v>稀有</x:v>
      </x:c>
      <x:c r="F439" s="102" t="str">
        <x:v>觐庭裂盔侯</x:v>
      </x:c>
      <x:c r="G439" s="102" t="str">
        <x:v>觐庭裂纹盔</x:v>
      </x:c>
      <x:c r="H439" s="102" t="str">
        <x:v>头盔</x:v>
      </x:c>
      <x:c r="I439" s="147" t="n">
        <x:v>200</x:v>
      </x:c>
      <x:c r="J439" s="102" t="str">
        <x:v>否（材料数量固定）</x:v>
      </x:c>
      <x:c r="K439" s="102" t="str">
        <x:v>仅手动分解；默认不勾选；二次确认</x:v>
      </x:c>
      <x:c r="L439" s="103" t="str">
        <x:v>一怪一专属；专属来源跟随本行准确地图号</x:v>
      </x:c>
    </x:row>
    <x:row r="440">
      <x:c r="A440" s="101" t="str">
        <x:v>C08</x:v>
      </x:c>
      <x:c r="B440" s="102" t="str">
        <x:v>巨人山顶</x:v>
      </x:c>
      <x:c r="C440" s="102" t="str">
        <x:v>巨人王庭</x:v>
      </x:c>
      <x:c r="D440" s="102" t="n">
        <x:v>2</x:v>
      </x:c>
      <x:c r="E440" s="102" t="str">
        <x:v>稀有</x:v>
      </x:c>
      <x:c r="F440" s="102" t="str">
        <x:v>内宫织雪妪</x:v>
      </x:c>
      <x:c r="G440" s="102" t="str">
        <x:v>织雪白绒笠</x:v>
      </x:c>
      <x:c r="H440" s="102" t="str">
        <x:v>斗笠</x:v>
      </x:c>
      <x:c r="I440" s="147" t="n">
        <x:v>200</x:v>
      </x:c>
      <x:c r="J440" s="102" t="str">
        <x:v>否（材料数量固定）</x:v>
      </x:c>
      <x:c r="K440" s="102" t="str">
        <x:v>仅手动分解；默认不勾选；二次确认</x:v>
      </x:c>
      <x:c r="L440" s="103" t="str">
        <x:v>一怪一专属；专属来源跟随本行准确地图号</x:v>
      </x:c>
    </x:row>
    <x:row r="441">
      <x:c r="A441" s="101" t="str">
        <x:v>C08</x:v>
      </x:c>
      <x:c r="B441" s="102" t="str">
        <x:v>巨人山顶</x:v>
      </x:c>
      <x:c r="C441" s="102" t="str">
        <x:v>巨人王庭</x:v>
      </x:c>
      <x:c r="D441" s="102" t="n">
        <x:v>2</x:v>
      </x:c>
      <x:c r="E441" s="102" t="str">
        <x:v>稀有</x:v>
      </x:c>
      <x:c r="F441" s="102" t="str">
        <x:v>雪域封门将</x:v>
      </x:c>
      <x:c r="G441" s="102" t="str">
        <x:v>封门玄冰带</x:v>
      </x:c>
      <x:c r="H441" s="102" t="str">
        <x:v>腰带</x:v>
      </x:c>
      <x:c r="I441" s="147" t="n">
        <x:v>200</x:v>
      </x:c>
      <x:c r="J441" s="102" t="str">
        <x:v>否（材料数量固定）</x:v>
      </x:c>
      <x:c r="K441" s="102" t="str">
        <x:v>仅手动分解；默认不勾选；二次确认</x:v>
      </x:c>
      <x:c r="L441" s="103" t="str">
        <x:v>一怪一专属；专属来源跟随本行准确地图号</x:v>
      </x:c>
    </x:row>
    <x:row r="442">
      <x:c r="A442" s="101" t="str">
        <x:v>C08</x:v>
      </x:c>
      <x:c r="B442" s="102" t="str">
        <x:v>巨人山顶</x:v>
      </x:c>
      <x:c r="C442" s="102" t="str">
        <x:v>巨人王庭</x:v>
      </x:c>
      <x:c r="D442" s="102" t="n">
        <x:v>3</x:v>
      </x:c>
      <x:c r="E442" s="102" t="str">
        <x:v>稀有</x:v>
      </x:c>
      <x:c r="F442" s="102" t="str">
        <x:v>王座守梦巫</x:v>
      </x:c>
      <x:c r="G442" s="102" t="str">
        <x:v>守梦霜瞳戒</x:v>
      </x:c>
      <x:c r="H442" s="102" t="str">
        <x:v>戒指</x:v>
      </x:c>
      <x:c r="I442" s="147" t="n">
        <x:v>200</x:v>
      </x:c>
      <x:c r="J442" s="102" t="str">
        <x:v>否（材料数量固定）</x:v>
      </x:c>
      <x:c r="K442" s="102" t="str">
        <x:v>仅手动分解；默认不勾选；二次确认</x:v>
      </x:c>
      <x:c r="L442" s="103" t="str">
        <x:v>一怪一专属；专属来源跟随本行准确地图号</x:v>
      </x:c>
    </x:row>
    <x:row r="443">
      <x:c r="A443" s="101" t="str">
        <x:v>C08</x:v>
      </x:c>
      <x:c r="B443" s="102" t="str">
        <x:v>巨人山顶</x:v>
      </x:c>
      <x:c r="C443" s="102" t="str">
        <x:v>巨人王庭</x:v>
      </x:c>
      <x:c r="D443" s="102" t="n">
        <x:v>2</x:v>
      </x:c>
      <x:c r="E443" s="102" t="str">
        <x:v>地图BOSS</x:v>
      </x:c>
      <x:c r="F443" s="102" t="str">
        <x:v>内宫冬眠王·格罗尔</x:v>
      </x:c>
      <x:c r="G443" s="102" t="str">
        <x:v>格罗尔冬眠刃</x:v>
      </x:c>
      <x:c r="H443" s="102" t="str">
        <x:v>武器</x:v>
      </x:c>
      <x:c r="I443" s="147" t="n">
        <x:v>400</x:v>
      </x:c>
      <x:c r="J443" s="102" t="str">
        <x:v>否（材料数量固定）</x:v>
      </x:c>
      <x:c r="K443" s="102" t="str">
        <x:v>仅手动分解；默认不勾选；二次确认</x:v>
      </x:c>
      <x:c r="L443" s="103" t="str">
        <x:v>一怪一专属；专属来源跟随本行准确地图号</x:v>
      </x:c>
    </x:row>
    <x:row r="444">
      <x:c r="A444" s="101" t="str">
        <x:v>C08</x:v>
      </x:c>
      <x:c r="B444" s="102" t="str">
        <x:v>巨人山顶</x:v>
      </x:c>
      <x:c r="C444" s="102" t="str">
        <x:v>巨人王庭</x:v>
      </x:c>
      <x:c r="D444" s="102" t="n">
        <x:v>3</x:v>
      </x:c>
      <x:c r="E444" s="102" t="str">
        <x:v>地图BOSS</x:v>
      </x:c>
      <x:c r="F444" s="102" t="str">
        <x:v>巨人女王·赫芮迦</x:v>
      </x:c>
      <x:c r="G444" s="102" t="str">
        <x:v>赫芮迦穹霜王衣</x:v>
      </x:c>
      <x:c r="H444" s="102" t="str">
        <x:v>衣服</x:v>
      </x:c>
      <x:c r="I444" s="147" t="n">
        <x:v>400</x:v>
      </x:c>
      <x:c r="J444" s="102" t="str">
        <x:v>否（材料数量固定）</x:v>
      </x:c>
      <x:c r="K444" s="102" t="str">
        <x:v>仅手动分解；默认不勾选；二次确认</x:v>
      </x:c>
      <x:c r="L444" s="103" t="str">
        <x:v>一怪一专属；专属来源跟随本行准确地图号</x:v>
      </x:c>
    </x:row>
    <x:row r="445">
      <x:c r="A445" s="101" t="str">
        <x:v>C08</x:v>
      </x:c>
      <x:c r="B445" s="102" t="str">
        <x:v>巨人山顶</x:v>
      </x:c>
      <x:c r="C445" s="102" t="str">
        <x:v>巨人王庭</x:v>
      </x:c>
      <x:c r="D445" s="102" t="n">
        <x:v>3</x:v>
      </x:c>
      <x:c r="E445" s="102" t="str">
        <x:v>守关BOSS</x:v>
      </x:c>
      <x:c r="F445" s="102" t="str">
        <x:v>吞日霜王·乌尔迈</x:v>
      </x:c>
      <x:c r="G445" s="102" t="str">
        <x:v>乌尔迈吞日巨剑</x:v>
      </x:c>
      <x:c r="H445" s="102" t="str">
        <x:v>武器</x:v>
      </x:c>
      <x:c r="I445" s="147" t="n">
        <x:v>400</x:v>
      </x:c>
      <x:c r="J445" s="102" t="str">
        <x:v>否（材料数量固定）</x:v>
      </x:c>
      <x:c r="K445" s="102" t="str">
        <x:v>仅手动分解；默认不勾选；二次确认</x:v>
      </x:c>
      <x:c r="L445" s="103" t="str">
        <x:v>大陆最终守关；本表不填属性、爆率和货币</x:v>
      </x:c>
    </x:row>
    <x:row r="446">
      <x:c r="A446" s="101" t="str">
        <x:v>C09</x:v>
      </x:c>
      <x:c r="B446" s="102" t="str">
        <x:v>亚坛高原</x:v>
      </x:c>
      <x:c r="C446" s="102" t="str">
        <x:v>金叶古道</x:v>
      </x:c>
      <x:c r="D446" s="102" t="n">
        <x:v>1</x:v>
      </x:c>
      <x:c r="E446" s="102" t="str">
        <x:v>普通</x:v>
      </x:c>
      <x:c r="F446" s="102" t="str">
        <x:v>金叶角鹿</x:v>
      </x:c>
      <x:c r="G446" s="102" t="str">
        <x:v>角鹿逐叶履</x:v>
      </x:c>
      <x:c r="H446" s="102" t="str">
        <x:v>鞋子</x:v>
      </x:c>
      <x:c r="I446" s="147" t="n">
        <x:v>120</x:v>
      </x:c>
      <x:c r="J446" s="102" t="str">
        <x:v>否（材料数量固定）</x:v>
      </x:c>
      <x:c r="K446" s="102" t="str">
        <x:v>仅手动分解；默认不勾选；二次确认</x:v>
      </x:c>
      <x:c r="L446" s="103" t="str">
        <x:v>一怪一专属；专属来源跟随本行准确地图号</x:v>
      </x:c>
    </x:row>
    <x:row r="447">
      <x:c r="A447" s="101" t="str">
        <x:v>C09</x:v>
      </x:c>
      <x:c r="B447" s="102" t="str">
        <x:v>亚坛高原</x:v>
      </x:c>
      <x:c r="C447" s="102" t="str">
        <x:v>金叶古道</x:v>
      </x:c>
      <x:c r="D447" s="102" t="n">
        <x:v>1</x:v>
      </x:c>
      <x:c r="E447" s="102" t="str">
        <x:v>普通</x:v>
      </x:c>
      <x:c r="F447" s="102" t="str">
        <x:v>拾穗旅盗</x:v>
      </x:c>
      <x:c r="G447" s="102" t="str">
        <x:v>拾穗弯刃</x:v>
      </x:c>
      <x:c r="H447" s="102" t="str">
        <x:v>武器</x:v>
      </x:c>
      <x:c r="I447" s="147" t="n">
        <x:v>120</x:v>
      </x:c>
      <x:c r="J447" s="102" t="str">
        <x:v>否（材料数量固定）</x:v>
      </x:c>
      <x:c r="K447" s="102" t="str">
        <x:v>仅手动分解；默认不勾选；二次确认</x:v>
      </x:c>
      <x:c r="L447" s="103" t="str">
        <x:v>一怪一专属；专属来源跟随本行准确地图号</x:v>
      </x:c>
    </x:row>
    <x:row r="448">
      <x:c r="A448" s="101" t="str">
        <x:v>C09</x:v>
      </x:c>
      <x:c r="B448" s="102" t="str">
        <x:v>亚坛高原</x:v>
      </x:c>
      <x:c r="C448" s="102" t="str">
        <x:v>金叶古道</x:v>
      </x:c>
      <x:c r="D448" s="102" t="n">
        <x:v>2</x:v>
      </x:c>
      <x:c r="E448" s="102" t="str">
        <x:v>普通</x:v>
      </x:c>
      <x:c r="F448" s="102" t="str">
        <x:v>秋风驿卒</x:v>
      </x:c>
      <x:c r="G448" s="102" t="str">
        <x:v>驿卒挡风盔</x:v>
      </x:c>
      <x:c r="H448" s="102" t="str">
        <x:v>头盔</x:v>
      </x:c>
      <x:c r="I448" s="147" t="n">
        <x:v>120</x:v>
      </x:c>
      <x:c r="J448" s="102" t="str">
        <x:v>否（材料数量固定）</x:v>
      </x:c>
      <x:c r="K448" s="102" t="str">
        <x:v>仅手动分解；默认不勾选；二次确认</x:v>
      </x:c>
      <x:c r="L448" s="103" t="str">
        <x:v>一怪一专属；专属来源跟随本行准确地图号</x:v>
      </x:c>
    </x:row>
    <x:row r="449">
      <x:c r="A449" s="101" t="str">
        <x:v>C09</x:v>
      </x:c>
      <x:c r="B449" s="102" t="str">
        <x:v>亚坛高原</x:v>
      </x:c>
      <x:c r="C449" s="102" t="str">
        <x:v>金叶古道</x:v>
      </x:c>
      <x:c r="D449" s="102" t="n">
        <x:v>2</x:v>
      </x:c>
      <x:c r="E449" s="102" t="str">
        <x:v>普通</x:v>
      </x:c>
      <x:c r="F449" s="102" t="str">
        <x:v>驿路驮甲虫</x:v>
      </x:c>
      <x:c r="G449" s="102" t="str">
        <x:v>驮甲叶纹盾</x:v>
      </x:c>
      <x:c r="H449" s="102" t="str">
        <x:v>盾牌</x:v>
      </x:c>
      <x:c r="I449" s="147" t="n">
        <x:v>120</x:v>
      </x:c>
      <x:c r="J449" s="102" t="str">
        <x:v>否（材料数量固定）</x:v>
      </x:c>
      <x:c r="K449" s="102" t="str">
        <x:v>仅手动分解；默认不勾选；二次确认</x:v>
      </x:c>
      <x:c r="L449" s="103" t="str">
        <x:v>一怪一专属；专属来源跟随本行准确地图号</x:v>
      </x:c>
    </x:row>
    <x:row r="450">
      <x:c r="A450" s="101" t="str">
        <x:v>C09</x:v>
      </x:c>
      <x:c r="B450" s="102" t="str">
        <x:v>亚坛高原</x:v>
      </x:c>
      <x:c r="C450" s="102" t="str">
        <x:v>金叶古道</x:v>
      </x:c>
      <x:c r="D450" s="102" t="n">
        <x:v>3</x:v>
      </x:c>
      <x:c r="E450" s="102" t="str">
        <x:v>普通</x:v>
      </x:c>
      <x:c r="F450" s="102" t="str">
        <x:v>陵园鎏苔像</x:v>
      </x:c>
      <x:c r="G450" s="102" t="str">
        <x:v>鎏苔守陵衣</x:v>
      </x:c>
      <x:c r="H450" s="102" t="str">
        <x:v>衣服</x:v>
      </x:c>
      <x:c r="I450" s="147" t="n">
        <x:v>120</x:v>
      </x:c>
      <x:c r="J450" s="102" t="str">
        <x:v>否（材料数量固定）</x:v>
      </x:c>
      <x:c r="K450" s="102" t="str">
        <x:v>仅手动分解；默认不勾选；二次确认</x:v>
      </x:c>
      <x:c r="L450" s="103" t="str">
        <x:v>一怪一专属；专属来源跟随本行准确地图号</x:v>
      </x:c>
    </x:row>
    <x:row r="451">
      <x:c r="A451" s="101" t="str">
        <x:v>C09</x:v>
      </x:c>
      <x:c r="B451" s="102" t="str">
        <x:v>亚坛高原</x:v>
      </x:c>
      <x:c r="C451" s="102" t="str">
        <x:v>金叶古道</x:v>
      </x:c>
      <x:c r="D451" s="102" t="n">
        <x:v>4</x:v>
      </x:c>
      <x:c r="E451" s="102" t="str">
        <x:v>普通</x:v>
      </x:c>
      <x:c r="F451" s="102" t="str">
        <x:v>祭坛衔烛鸦</x:v>
      </x:c>
      <x:c r="G451" s="102" t="str">
        <x:v>衔烛鸦羽坠</x:v>
      </x:c>
      <x:c r="H451" s="102" t="str">
        <x:v>项链</x:v>
      </x:c>
      <x:c r="I451" s="147" t="n">
        <x:v>120</x:v>
      </x:c>
      <x:c r="J451" s="102" t="str">
        <x:v>否（材料数量固定）</x:v>
      </x:c>
      <x:c r="K451" s="102" t="str">
        <x:v>仅手动分解；默认不勾选；二次确认</x:v>
      </x:c>
      <x:c r="L451" s="103" t="str">
        <x:v>一怪一专属；专属来源跟随本行准确地图号</x:v>
      </x:c>
    </x:row>
    <x:row r="452">
      <x:c r="A452" s="101" t="str">
        <x:v>C09</x:v>
      </x:c>
      <x:c r="B452" s="102" t="str">
        <x:v>亚坛高原</x:v>
      </x:c>
      <x:c r="C452" s="102" t="str">
        <x:v>金叶古道</x:v>
      </x:c>
      <x:c r="D452" s="102" t="n">
        <x:v>1</x:v>
      </x:c>
      <x:c r="E452" s="102" t="str">
        <x:v>稀有</x:v>
      </x:c>
      <x:c r="F452" s="102" t="str">
        <x:v>落叶占路僧</x:v>
      </x:c>
      <x:c r="G452" s="102" t="str">
        <x:v>占路秋叶笠</x:v>
      </x:c>
      <x:c r="H452" s="102" t="str">
        <x:v>斗笠</x:v>
      </x:c>
      <x:c r="I452" s="147" t="n">
        <x:v>240</x:v>
      </x:c>
      <x:c r="J452" s="102" t="str">
        <x:v>否（材料数量固定）</x:v>
      </x:c>
      <x:c r="K452" s="102" t="str">
        <x:v>仅手动分解；默认不勾选；二次确认</x:v>
      </x:c>
      <x:c r="L452" s="103" t="str">
        <x:v>一怪一专属；专属来源跟随本行准确地图号</x:v>
      </x:c>
    </x:row>
    <x:row r="453">
      <x:c r="A453" s="101" t="str">
        <x:v>C09</x:v>
      </x:c>
      <x:c r="B453" s="102" t="str">
        <x:v>亚坛高原</x:v>
      </x:c>
      <x:c r="C453" s="102" t="str">
        <x:v>金叶古道</x:v>
      </x:c>
      <x:c r="D453" s="102" t="n">
        <x:v>2</x:v>
      </x:c>
      <x:c r="E453" s="102" t="str">
        <x:v>稀有</x:v>
      </x:c>
      <x:c r="F453" s="102" t="str">
        <x:v>逆风驿骑</x:v>
      </x:c>
      <x:c r="G453" s="102" t="str">
        <x:v>逆风驿骑带</x:v>
      </x:c>
      <x:c r="H453" s="102" t="str">
        <x:v>腰带</x:v>
      </x:c>
      <x:c r="I453" s="147" t="n">
        <x:v>240</x:v>
      </x:c>
      <x:c r="J453" s="102" t="str">
        <x:v>否（材料数量固定）</x:v>
      </x:c>
      <x:c r="K453" s="102" t="str">
        <x:v>仅手动分解；默认不勾选；二次确认</x:v>
      </x:c>
      <x:c r="L453" s="103" t="str">
        <x:v>一怪一专属；专属来源跟随本行准确地图号</x:v>
      </x:c>
    </x:row>
    <x:row r="454">
      <x:c r="A454" s="101" t="str">
        <x:v>C09</x:v>
      </x:c>
      <x:c r="B454" s="102" t="str">
        <x:v>亚坛高原</x:v>
      </x:c>
      <x:c r="C454" s="102" t="str">
        <x:v>金叶古道</x:v>
      </x:c>
      <x:c r="D454" s="102" t="n">
        <x:v>3</x:v>
      </x:c>
      <x:c r="E454" s="102" t="str">
        <x:v>稀有</x:v>
      </x:c>
      <x:c r="F454" s="102" t="str">
        <x:v>守陵金颚兽</x:v>
      </x:c>
      <x:c r="G454" s="102" t="str">
        <x:v>金颚守陵镯</x:v>
      </x:c>
      <x:c r="H454" s="102" t="str">
        <x:v>手镯</x:v>
      </x:c>
      <x:c r="I454" s="147" t="n">
        <x:v>240</x:v>
      </x:c>
      <x:c r="J454" s="102" t="str">
        <x:v>否（材料数量固定）</x:v>
      </x:c>
      <x:c r="K454" s="102" t="str">
        <x:v>仅手动分解；默认不勾选；二次确认</x:v>
      </x:c>
      <x:c r="L454" s="103" t="str">
        <x:v>一怪一专属；专属来源跟随本行准确地图号</x:v>
      </x:c>
    </x:row>
    <x:row r="455">
      <x:c r="A455" s="101" t="str">
        <x:v>C09</x:v>
      </x:c>
      <x:c r="B455" s="102" t="str">
        <x:v>亚坛高原</x:v>
      </x:c>
      <x:c r="C455" s="102" t="str">
        <x:v>金叶古道</x:v>
      </x:c>
      <x:c r="D455" s="102" t="n">
        <x:v>4</x:v>
      </x:c>
      <x:c r="E455" s="102" t="str">
        <x:v>稀有</x:v>
      </x:c>
      <x:c r="F455" s="102" t="str">
        <x:v>古王献梦者</x:v>
      </x:c>
      <x:c r="G455" s="102" t="str">
        <x:v>献梦琥金戒</x:v>
      </x:c>
      <x:c r="H455" s="102" t="str">
        <x:v>戒指</x:v>
      </x:c>
      <x:c r="I455" s="147" t="n">
        <x:v>240</x:v>
      </x:c>
      <x:c r="J455" s="102" t="str">
        <x:v>否（材料数量固定）</x:v>
      </x:c>
      <x:c r="K455" s="102" t="str">
        <x:v>仅手动分解；默认不勾选；二次确认</x:v>
      </x:c>
      <x:c r="L455" s="103" t="str">
        <x:v>一怪一专属；专属来源跟随本行准确地图号</x:v>
      </x:c>
    </x:row>
    <x:row r="456">
      <x:c r="A456" s="101" t="str">
        <x:v>C09</x:v>
      </x:c>
      <x:c r="B456" s="102" t="str">
        <x:v>亚坛高原</x:v>
      </x:c>
      <x:c r="C456" s="102" t="str">
        <x:v>金叶古道</x:v>
      </x:c>
      <x:c r="D456" s="102" t="n">
        <x:v>3</x:v>
      </x:c>
      <x:c r="E456" s="102" t="str">
        <x:v>地图BOSS</x:v>
      </x:c>
      <x:c r="F456" s="102" t="str">
        <x:v>陵园摘冠侯·阿维恩</x:v>
      </x:c>
      <x:c r="G456" s="102" t="str">
        <x:v>阿维恩摘冠剑</x:v>
      </x:c>
      <x:c r="H456" s="102" t="str">
        <x:v>武器</x:v>
      </x:c>
      <x:c r="I456" s="147" t="n">
        <x:v>500</x:v>
      </x:c>
      <x:c r="J456" s="102" t="str">
        <x:v>否（材料数量固定）</x:v>
      </x:c>
      <x:c r="K456" s="102" t="str">
        <x:v>仅手动分解；默认不勾选；二次确认</x:v>
      </x:c>
      <x:c r="L456" s="103" t="str">
        <x:v>一怪一专属；专属来源跟随本行准确地图号</x:v>
      </x:c>
    </x:row>
    <x:row r="457">
      <x:c r="A457" s="101" t="str">
        <x:v>C09</x:v>
      </x:c>
      <x:c r="B457" s="102" t="str">
        <x:v>亚坛高原</x:v>
      </x:c>
      <x:c r="C457" s="102" t="str">
        <x:v>金叶古道</x:v>
      </x:c>
      <x:c r="D457" s="102" t="n">
        <x:v>4</x:v>
      </x:c>
      <x:c r="E457" s="102" t="str">
        <x:v>地图BOSS</x:v>
      </x:c>
      <x:c r="F457" s="102" t="str">
        <x:v>金叶祭王·萨鲁恩</x:v>
      </x:c>
      <x:c r="G457" s="102" t="str">
        <x:v>萨鲁恩金叶祭衣</x:v>
      </x:c>
      <x:c r="H457" s="102" t="str">
        <x:v>衣服</x:v>
      </x:c>
      <x:c r="I457" s="147" t="n">
        <x:v>500</x:v>
      </x:c>
      <x:c r="J457" s="102" t="str">
        <x:v>否（材料数量固定）</x:v>
      </x:c>
      <x:c r="K457" s="102" t="str">
        <x:v>仅手动分解；默认不勾选；二次确认</x:v>
      </x:c>
      <x:c r="L457" s="103" t="str">
        <x:v>一怪一专属；专属来源跟随本行准确地图号</x:v>
      </x:c>
    </x:row>
    <x:row r="458">
      <x:c r="A458" s="101" t="str">
        <x:v>C09</x:v>
      </x:c>
      <x:c r="B458" s="102" t="str">
        <x:v>亚坛高原</x:v>
      </x:c>
      <x:c r="C458" s="102" t="str">
        <x:v>高原矿脉</x:v>
      </x:c>
      <x:c r="D458" s="102" t="n">
        <x:v>1</x:v>
      </x:c>
      <x:c r="E458" s="102" t="str">
        <x:v>普通</x:v>
      </x:c>
      <x:c r="F458" s="102" t="str">
        <x:v>矿脉啮岩鼠</x:v>
      </x:c>
      <x:c r="G458" s="102" t="str">
        <x:v>啮岩鼠爪靴</x:v>
      </x:c>
      <x:c r="H458" s="102" t="str">
        <x:v>鞋子</x:v>
      </x:c>
      <x:c r="I458" s="147" t="n">
        <x:v>120</x:v>
      </x:c>
      <x:c r="J458" s="102" t="str">
        <x:v>否（材料数量固定）</x:v>
      </x:c>
      <x:c r="K458" s="102" t="str">
        <x:v>仅手动分解；默认不勾选；二次确认</x:v>
      </x:c>
      <x:c r="L458" s="103" t="str">
        <x:v>一怪一专属；专属来源跟随本行准确地图号</x:v>
      </x:c>
    </x:row>
    <x:row r="459">
      <x:c r="A459" s="101" t="str">
        <x:v>C09</x:v>
      </x:c>
      <x:c r="B459" s="102" t="str">
        <x:v>亚坛高原</x:v>
      </x:c>
      <x:c r="C459" s="102" t="str">
        <x:v>高原矿脉</x:v>
      </x:c>
      <x:c r="D459" s="102" t="n">
        <x:v>1</x:v>
      </x:c>
      <x:c r="E459" s="102" t="str">
        <x:v>普通</x:v>
      </x:c>
      <x:c r="F459" s="102" t="str">
        <x:v>高原探脉客</x:v>
      </x:c>
      <x:c r="G459" s="102" t="str">
        <x:v>探脉听石坠</x:v>
      </x:c>
      <x:c r="H459" s="102" t="str">
        <x:v>项链</x:v>
      </x:c>
      <x:c r="I459" s="147" t="n">
        <x:v>120</x:v>
      </x:c>
      <x:c r="J459" s="102" t="str">
        <x:v>否（材料数量固定）</x:v>
      </x:c>
      <x:c r="K459" s="102" t="str">
        <x:v>仅手动分解；默认不勾选；二次确认</x:v>
      </x:c>
      <x:c r="L459" s="103" t="str">
        <x:v>一怪一专属；专属来源跟随本行准确地图号</x:v>
      </x:c>
    </x:row>
    <x:row r="460">
      <x:c r="A460" s="101" t="str">
        <x:v>C09</x:v>
      </x:c>
      <x:c r="B460" s="102" t="str">
        <x:v>亚坛高原</x:v>
      </x:c>
      <x:c r="C460" s="102" t="str">
        <x:v>高原矿脉</x:v>
      </x:c>
      <x:c r="D460" s="102" t="n">
        <x:v>2</x:v>
      </x:c>
      <x:c r="E460" s="102" t="str">
        <x:v>普通</x:v>
      </x:c>
      <x:c r="F460" s="102" t="str">
        <x:v>黄金矿道凿工</x:v>
      </x:c>
      <x:c r="G460" s="102" t="str">
        <x:v>凿工尖喙镐</x:v>
      </x:c>
      <x:c r="H460" s="102" t="str">
        <x:v>武器</x:v>
      </x:c>
      <x:c r="I460" s="147" t="n">
        <x:v>120</x:v>
      </x:c>
      <x:c r="J460" s="102" t="str">
        <x:v>否（材料数量固定）</x:v>
      </x:c>
      <x:c r="K460" s="102" t="str">
        <x:v>仅手动分解；默认不勾选；二次确认</x:v>
      </x:c>
      <x:c r="L460" s="103" t="str">
        <x:v>一怪一专属；专属来源跟随本行准确地图号</x:v>
      </x:c>
    </x:row>
    <x:row r="461">
      <x:c r="A461" s="101" t="str">
        <x:v>C09</x:v>
      </x:c>
      <x:c r="B461" s="102" t="str">
        <x:v>亚坛高原</x:v>
      </x:c>
      <x:c r="C461" s="102" t="str">
        <x:v>高原矿脉</x:v>
      </x:c>
      <x:c r="D461" s="102" t="n">
        <x:v>3</x:v>
      </x:c>
      <x:c r="E461" s="102" t="str">
        <x:v>普通</x:v>
      </x:c>
      <x:c r="F461" s="102" t="str">
        <x:v>旧营提灯尸</x:v>
      </x:c>
      <x:c r="G461" s="102" t="str">
        <x:v>提灯旧毡笠</x:v>
      </x:c>
      <x:c r="H461" s="102" t="str">
        <x:v>斗笠</x:v>
      </x:c>
      <x:c r="I461" s="147" t="n">
        <x:v>120</x:v>
      </x:c>
      <x:c r="J461" s="102" t="str">
        <x:v>否（材料数量固定）</x:v>
      </x:c>
      <x:c r="K461" s="102" t="str">
        <x:v>仅手动分解；默认不勾选；二次确认</x:v>
      </x:c>
      <x:c r="L461" s="103" t="str">
        <x:v>一怪一专属；专属来源跟随本行准确地图号</x:v>
      </x:c>
    </x:row>
    <x:row r="462">
      <x:c r="A462" s="101" t="str">
        <x:v>C09</x:v>
      </x:c>
      <x:c r="B462" s="102" t="str">
        <x:v>亚坛高原</x:v>
      </x:c>
      <x:c r="C462" s="102" t="str">
        <x:v>高原矿脉</x:v>
      </x:c>
      <x:c r="D462" s="102" t="n">
        <x:v>4</x:v>
      </x:c>
      <x:c r="E462" s="102" t="str">
        <x:v>普通</x:v>
      </x:c>
      <x:c r="F462" s="102" t="str">
        <x:v>深井负筐奴</x:v>
      </x:c>
      <x:c r="G462" s="102" t="str">
        <x:v>负筐矿奴衣</x:v>
      </x:c>
      <x:c r="H462" s="102" t="str">
        <x:v>衣服</x:v>
      </x:c>
      <x:c r="I462" s="147" t="n">
        <x:v>120</x:v>
      </x:c>
      <x:c r="J462" s="102" t="str">
        <x:v>否（材料数量固定）</x:v>
      </x:c>
      <x:c r="K462" s="102" t="str">
        <x:v>仅手动分解；默认不勾选；二次确认</x:v>
      </x:c>
      <x:c r="L462" s="103" t="str">
        <x:v>一怪一专属；专属来源跟随本行准确地图号</x:v>
      </x:c>
    </x:row>
    <x:row r="463">
      <x:c r="A463" s="101" t="str">
        <x:v>C09</x:v>
      </x:c>
      <x:c r="B463" s="102" t="str">
        <x:v>亚坛高原</x:v>
      </x:c>
      <x:c r="C463" s="102" t="str">
        <x:v>高原矿脉</x:v>
      </x:c>
      <x:c r="D463" s="102" t="n">
        <x:v>5</x:v>
      </x:c>
      <x:c r="E463" s="102" t="str">
        <x:v>普通</x:v>
      </x:c>
      <x:c r="F463" s="102" t="str">
        <x:v>核心晶背虫</x:v>
      </x:c>
      <x:c r="G463" s="102" t="str">
        <x:v>晶背层岩盾</x:v>
      </x:c>
      <x:c r="H463" s="102" t="str">
        <x:v>盾牌</x:v>
      </x:c>
      <x:c r="I463" s="147" t="n">
        <x:v>120</x:v>
      </x:c>
      <x:c r="J463" s="102" t="str">
        <x:v>否（材料数量固定）</x:v>
      </x:c>
      <x:c r="K463" s="102" t="str">
        <x:v>仅手动分解；默认不勾选；二次确认</x:v>
      </x:c>
      <x:c r="L463" s="103" t="str">
        <x:v>一怪一专属；专属来源跟随本行准确地图号</x:v>
      </x:c>
    </x:row>
    <x:row r="464">
      <x:c r="A464" s="101" t="str">
        <x:v>C09</x:v>
      </x:c>
      <x:c r="B464" s="102" t="str">
        <x:v>亚坛高原</x:v>
      </x:c>
      <x:c r="C464" s="102" t="str">
        <x:v>高原矿脉</x:v>
      </x:c>
      <x:c r="D464" s="102" t="n">
        <x:v>2</x:v>
      </x:c>
      <x:c r="E464" s="102" t="str">
        <x:v>稀有</x:v>
      </x:c>
      <x:c r="F464" s="102" t="str">
        <x:v>矿道哑钟监工</x:v>
      </x:c>
      <x:c r="G464" s="102" t="str">
        <x:v>哑钟监工盔</x:v>
      </x:c>
      <x:c r="H464" s="102" t="str">
        <x:v>头盔</x:v>
      </x:c>
      <x:c r="I464" s="147" t="n">
        <x:v>240</x:v>
      </x:c>
      <x:c r="J464" s="102" t="str">
        <x:v>否（材料数量固定）</x:v>
      </x:c>
      <x:c r="K464" s="102" t="str">
        <x:v>仅手动分解；默认不勾选；二次确认</x:v>
      </x:c>
      <x:c r="L464" s="103" t="str">
        <x:v>一怪一专属；专属来源跟随本行准确地图号</x:v>
      </x:c>
    </x:row>
    <x:row r="465">
      <x:c r="A465" s="101" t="str">
        <x:v>C09</x:v>
      </x:c>
      <x:c r="B465" s="102" t="str">
        <x:v>亚坛高原</x:v>
      </x:c>
      <x:c r="C465" s="102" t="str">
        <x:v>高原矿脉</x:v>
      </x:c>
      <x:c r="D465" s="102" t="n">
        <x:v>3</x:v>
      </x:c>
      <x:c r="E465" s="102" t="str">
        <x:v>稀有</x:v>
      </x:c>
      <x:c r="F465" s="102" t="str">
        <x:v>营地熔勺婆</x:v>
      </x:c>
      <x:c r="G465" s="102" t="str">
        <x:v>熔勺婆铜镯</x:v>
      </x:c>
      <x:c r="H465" s="102" t="str">
        <x:v>手镯</x:v>
      </x:c>
      <x:c r="I465" s="147" t="n">
        <x:v>240</x:v>
      </x:c>
      <x:c r="J465" s="102" t="str">
        <x:v>否（材料数量固定）</x:v>
      </x:c>
      <x:c r="K465" s="102" t="str">
        <x:v>仅手动分解；默认不勾选；二次确认</x:v>
      </x:c>
      <x:c r="L465" s="103" t="str">
        <x:v>一怪一专属；专属来源跟随本行准确地图号</x:v>
      </x:c>
    </x:row>
    <x:row r="466">
      <x:c r="A466" s="101" t="str">
        <x:v>C09</x:v>
      </x:c>
      <x:c r="B466" s="102" t="str">
        <x:v>亚坛高原</x:v>
      </x:c>
      <x:c r="C466" s="102" t="str">
        <x:v>高原矿脉</x:v>
      </x:c>
      <x:c r="D466" s="102" t="n">
        <x:v>4</x:v>
      </x:c>
      <x:c r="E466" s="102" t="str">
        <x:v>稀有</x:v>
      </x:c>
      <x:c r="F466" s="102" t="str">
        <x:v>深层听岩师</x:v>
      </x:c>
      <x:c r="G466" s="102" t="str">
        <x:v>听岩回声戒</x:v>
      </x:c>
      <x:c r="H466" s="102" t="str">
        <x:v>戒指</x:v>
      </x:c>
      <x:c r="I466" s="147" t="n">
        <x:v>240</x:v>
      </x:c>
      <x:c r="J466" s="102" t="str">
        <x:v>否（材料数量固定）</x:v>
      </x:c>
      <x:c r="K466" s="102" t="str">
        <x:v>仅手动分解；默认不勾选；二次确认</x:v>
      </x:c>
      <x:c r="L466" s="103" t="str">
        <x:v>一怪一专属；专属来源跟随本行准确地图号</x:v>
      </x:c>
    </x:row>
    <x:row r="467">
      <x:c r="A467" s="101" t="str">
        <x:v>C09</x:v>
      </x:c>
      <x:c r="B467" s="102" t="str">
        <x:v>亚坛高原</x:v>
      </x:c>
      <x:c r="C467" s="102" t="str">
        <x:v>高原矿脉</x:v>
      </x:c>
      <x:c r="D467" s="102" t="n">
        <x:v>5</x:v>
      </x:c>
      <x:c r="E467" s="102" t="str">
        <x:v>稀有</x:v>
      </x:c>
      <x:c r="F467" s="102" t="str">
        <x:v>核心吞金蜥</x:v>
      </x:c>
      <x:c r="G467" s="102" t="str">
        <x:v>吞金蜥尾带</x:v>
      </x:c>
      <x:c r="H467" s="102" t="str">
        <x:v>腰带</x:v>
      </x:c>
      <x:c r="I467" s="147" t="n">
        <x:v>240</x:v>
      </x:c>
      <x:c r="J467" s="102" t="str">
        <x:v>否（材料数量固定）</x:v>
      </x:c>
      <x:c r="K467" s="102" t="str">
        <x:v>仅手动分解；默认不勾选；二次确认</x:v>
      </x:c>
      <x:c r="L467" s="103" t="str">
        <x:v>一怪一专属；专属来源跟随本行准确地图号</x:v>
      </x:c>
    </x:row>
    <x:row r="468">
      <x:c r="A468" s="101" t="str">
        <x:v>C09</x:v>
      </x:c>
      <x:c r="B468" s="102" t="str">
        <x:v>亚坛高原</x:v>
      </x:c>
      <x:c r="C468" s="102" t="str">
        <x:v>高原矿脉</x:v>
      </x:c>
      <x:c r="D468" s="102" t="n">
        <x:v>4</x:v>
      </x:c>
      <x:c r="E468" s="102" t="str">
        <x:v>地图BOSS</x:v>
      </x:c>
      <x:c r="F468" s="102" t="str">
        <x:v>深井断索王·布洛克</x:v>
      </x:c>
      <x:c r="G468" s="102" t="str">
        <x:v>布洛克断索锤</x:v>
      </x:c>
      <x:c r="H468" s="102" t="str">
        <x:v>武器</x:v>
      </x:c>
      <x:c r="I468" s="147" t="n">
        <x:v>500</x:v>
      </x:c>
      <x:c r="J468" s="102" t="str">
        <x:v>否（材料数量固定）</x:v>
      </x:c>
      <x:c r="K468" s="102" t="str">
        <x:v>仅手动分解；默认不勾选；二次确认</x:v>
      </x:c>
      <x:c r="L468" s="103" t="str">
        <x:v>一怪一专属；专属来源跟随本行准确地图号</x:v>
      </x:c>
    </x:row>
    <x:row r="469">
      <x:c r="A469" s="101" t="str">
        <x:v>C09</x:v>
      </x:c>
      <x:c r="B469" s="102" t="str">
        <x:v>亚坛高原</x:v>
      </x:c>
      <x:c r="C469" s="102" t="str">
        <x:v>高原矿脉</x:v>
      </x:c>
      <x:c r="D469" s="102" t="n">
        <x:v>5</x:v>
      </x:c>
      <x:c r="E469" s="102" t="str">
        <x:v>地图BOSS</x:v>
      </x:c>
      <x:c r="F469" s="102" t="str">
        <x:v>矿心鎏金母·奥莉莎</x:v>
      </x:c>
      <x:c r="G469" s="102" t="str">
        <x:v>奥莉莎矿心甲</x:v>
      </x:c>
      <x:c r="H469" s="102" t="str">
        <x:v>衣服</x:v>
      </x:c>
      <x:c r="I469" s="147" t="n">
        <x:v>500</x:v>
      </x:c>
      <x:c r="J469" s="102" t="str">
        <x:v>否（材料数量固定）</x:v>
      </x:c>
      <x:c r="K469" s="102" t="str">
        <x:v>仅手动分解；默认不勾选；二次确认</x:v>
      </x:c>
      <x:c r="L469" s="103" t="str">
        <x:v>一怪一专属；专属来源跟随本行准确地图号</x:v>
      </x:c>
    </x:row>
    <x:row r="470">
      <x:c r="A470" s="101" t="str">
        <x:v>C09</x:v>
      </x:c>
      <x:c r="B470" s="102" t="str">
        <x:v>亚坛高原</x:v>
      </x:c>
      <x:c r="C470" s="102" t="str">
        <x:v>古王陵园</x:v>
      </x:c>
      <x:c r="D470" s="102" t="n">
        <x:v>1</x:v>
      </x:c>
      <x:c r="E470" s="102" t="str">
        <x:v>普通</x:v>
      </x:c>
      <x:c r="F470" s="102" t="str">
        <x:v>陵园剪枝傀</x:v>
      </x:c>
      <x:c r="G470" s="102" t="str">
        <x:v>剪枝傀镰</x:v>
      </x:c>
      <x:c r="H470" s="102" t="str">
        <x:v>武器</x:v>
      </x:c>
      <x:c r="I470" s="147" t="n">
        <x:v>120</x:v>
      </x:c>
      <x:c r="J470" s="102" t="str">
        <x:v>否（材料数量固定）</x:v>
      </x:c>
      <x:c r="K470" s="102" t="str">
        <x:v>仅手动分解；默认不勾选；二次确认</x:v>
      </x:c>
      <x:c r="L470" s="103" t="str">
        <x:v>一怪一专属；专属来源跟随本行准确地图号</x:v>
      </x:c>
    </x:row>
    <x:row r="471">
      <x:c r="A471" s="101" t="str">
        <x:v>C09</x:v>
      </x:c>
      <x:c r="B471" s="102" t="str">
        <x:v>亚坛高原</x:v>
      </x:c>
      <x:c r="C471" s="102" t="str">
        <x:v>古王陵园</x:v>
      </x:c>
      <x:c r="D471" s="102" t="n">
        <x:v>1</x:v>
      </x:c>
      <x:c r="E471" s="102" t="str">
        <x:v>普通</x:v>
      </x:c>
      <x:c r="F471" s="102" t="str">
        <x:v>王碑金翅蛾</x:v>
      </x:c>
      <x:c r="G471" s="102" t="str">
        <x:v>金翅碑尘履</x:v>
      </x:c>
      <x:c r="H471" s="102" t="str">
        <x:v>鞋子</x:v>
      </x:c>
      <x:c r="I471" s="147" t="n">
        <x:v>120</x:v>
      </x:c>
      <x:c r="J471" s="102" t="str">
        <x:v>否（材料数量固定）</x:v>
      </x:c>
      <x:c r="K471" s="102" t="str">
        <x:v>仅手动分解；默认不勾选；二次确认</x:v>
      </x:c>
      <x:c r="L471" s="103" t="str">
        <x:v>一怪一专属；专属来源跟随本行准确地图号</x:v>
      </x:c>
    </x:row>
    <x:row r="472">
      <x:c r="A472" s="101" t="str">
        <x:v>C09</x:v>
      </x:c>
      <x:c r="B472" s="102" t="str">
        <x:v>亚坛高原</x:v>
      </x:c>
      <x:c r="C472" s="102" t="str">
        <x:v>古王陵园</x:v>
      </x:c>
      <x:c r="D472" s="102" t="n">
        <x:v>2</x:v>
      </x:c>
      <x:c r="E472" s="102" t="str">
        <x:v>普通</x:v>
      </x:c>
      <x:c r="F472" s="102" t="str">
        <x:v>甬道扶棺卒</x:v>
      </x:c>
      <x:c r="G472" s="102" t="str">
        <x:v>扶棺铜纹盾</x:v>
      </x:c>
      <x:c r="H472" s="102" t="str">
        <x:v>盾牌</x:v>
      </x:c>
      <x:c r="I472" s="147" t="n">
        <x:v>120</x:v>
      </x:c>
      <x:c r="J472" s="102" t="str">
        <x:v>否（材料数量固定）</x:v>
      </x:c>
      <x:c r="K472" s="102" t="str">
        <x:v>仅手动分解；默认不勾选；二次确认</x:v>
      </x:c>
      <x:c r="L472" s="103" t="str">
        <x:v>一怪一专属；专属来源跟随本行准确地图号</x:v>
      </x:c>
    </x:row>
    <x:row r="473">
      <x:c r="A473" s="101" t="str">
        <x:v>C09</x:v>
      </x:c>
      <x:c r="B473" s="102" t="str">
        <x:v>亚坛高原</x:v>
      </x:c>
      <x:c r="C473" s="102" t="str">
        <x:v>古王陵园</x:v>
      </x:c>
      <x:c r="D473" s="102" t="n">
        <x:v>2</x:v>
      </x:c>
      <x:c r="E473" s="102" t="str">
        <x:v>普通</x:v>
      </x:c>
      <x:c r="F473" s="102" t="str">
        <x:v>壁龛守烛童</x:v>
      </x:c>
      <x:c r="G473" s="102" t="str">
        <x:v>壁龛守烛坠</x:v>
      </x:c>
      <x:c r="H473" s="102" t="str">
        <x:v>项链</x:v>
      </x:c>
      <x:c r="I473" s="147" t="n">
        <x:v>120</x:v>
      </x:c>
      <x:c r="J473" s="102" t="str">
        <x:v>否（材料数量固定）</x:v>
      </x:c>
      <x:c r="K473" s="102" t="str">
        <x:v>仅手动分解；默认不勾选；二次确认</x:v>
      </x:c>
      <x:c r="L473" s="103" t="str">
        <x:v>一怪一专属；专属来源跟随本行准确地图号</x:v>
      </x:c>
    </x:row>
    <x:row r="474">
      <x:c r="A474" s="101" t="str">
        <x:v>C09</x:v>
      </x:c>
      <x:c r="B474" s="102" t="str">
        <x:v>亚坛高原</x:v>
      </x:c>
      <x:c r="C474" s="102" t="str">
        <x:v>古王陵园</x:v>
      </x:c>
      <x:c r="D474" s="102" t="n">
        <x:v>3</x:v>
      </x:c>
      <x:c r="E474" s="102" t="str">
        <x:v>普通</x:v>
      </x:c>
      <x:c r="F474" s="102" t="str">
        <x:v>墓室敛袍侍</x:v>
      </x:c>
      <x:c r="G474" s="102" t="str">
        <x:v>敛袍侍素衣</x:v>
      </x:c>
      <x:c r="H474" s="102" t="str">
        <x:v>衣服</x:v>
      </x:c>
      <x:c r="I474" s="147" t="n">
        <x:v>120</x:v>
      </x:c>
      <x:c r="J474" s="102" t="str">
        <x:v>否（材料数量固定）</x:v>
      </x:c>
      <x:c r="K474" s="102" t="str">
        <x:v>仅手动分解；默认不勾选；二次确认</x:v>
      </x:c>
      <x:c r="L474" s="103" t="str">
        <x:v>一怪一专属；专属来源跟随本行准确地图号</x:v>
      </x:c>
    </x:row>
    <x:row r="475">
      <x:c r="A475" s="101" t="str">
        <x:v>C09</x:v>
      </x:c>
      <x:c r="B475" s="102" t="str">
        <x:v>亚坛高原</x:v>
      </x:c>
      <x:c r="C475" s="102" t="str">
        <x:v>古王陵园</x:v>
      </x:c>
      <x:c r="D475" s="102" t="n">
        <x:v>3</x:v>
      </x:c>
      <x:c r="E475" s="102" t="str">
        <x:v>普通</x:v>
      </x:c>
      <x:c r="F475" s="102" t="str">
        <x:v>古王陪葬犬</x:v>
      </x:c>
      <x:c r="G475" s="102" t="str">
        <x:v>葬犬衔骨镯</x:v>
      </x:c>
      <x:c r="H475" s="102" t="str">
        <x:v>手镯</x:v>
      </x:c>
      <x:c r="I475" s="147" t="n">
        <x:v>120</x:v>
      </x:c>
      <x:c r="J475" s="102" t="str">
        <x:v>否（材料数量固定）</x:v>
      </x:c>
      <x:c r="K475" s="102" t="str">
        <x:v>仅手动分解；默认不勾选；二次确认</x:v>
      </x:c>
      <x:c r="L475" s="103" t="str">
        <x:v>一怪一专属；专属来源跟随本行准确地图号</x:v>
      </x:c>
    </x:row>
    <x:row r="476">
      <x:c r="A476" s="101" t="str">
        <x:v>C09</x:v>
      </x:c>
      <x:c r="B476" s="102" t="str">
        <x:v>亚坛高原</x:v>
      </x:c>
      <x:c r="C476" s="102" t="str">
        <x:v>古王陵园</x:v>
      </x:c>
      <x:c r="D476" s="102" t="n">
        <x:v>1</x:v>
      </x:c>
      <x:c r="E476" s="102" t="str">
        <x:v>稀有</x:v>
      </x:c>
      <x:c r="F476" s="102" t="str">
        <x:v>王陵问名官</x:v>
      </x:c>
      <x:c r="G476" s="102" t="str">
        <x:v>问名官冥笠</x:v>
      </x:c>
      <x:c r="H476" s="102" t="str">
        <x:v>斗笠</x:v>
      </x:c>
      <x:c r="I476" s="147" t="n">
        <x:v>240</x:v>
      </x:c>
      <x:c r="J476" s="102" t="str">
        <x:v>否（材料数量固定）</x:v>
      </x:c>
      <x:c r="K476" s="102" t="str">
        <x:v>仅手动分解；默认不勾选；二次确认</x:v>
      </x:c>
      <x:c r="L476" s="103" t="str">
        <x:v>一怪一专属；专属来源跟随本行准确地图号</x:v>
      </x:c>
    </x:row>
    <x:row r="477">
      <x:c r="A477" s="101" t="str">
        <x:v>C09</x:v>
      </x:c>
      <x:c r="B477" s="102" t="str">
        <x:v>亚坛高原</x:v>
      </x:c>
      <x:c r="C477" s="102" t="str">
        <x:v>古王陵园</x:v>
      </x:c>
      <x:c r="D477" s="102" t="n">
        <x:v>2</x:v>
      </x:c>
      <x:c r="E477" s="102" t="str">
        <x:v>稀有</x:v>
      </x:c>
      <x:c r="F477" s="102" t="str">
        <x:v>甬道无面近卫</x:v>
      </x:c>
      <x:c r="G477" s="102" t="str">
        <x:v>无面近卫盔</x:v>
      </x:c>
      <x:c r="H477" s="102" t="str">
        <x:v>头盔</x:v>
      </x:c>
      <x:c r="I477" s="147" t="n">
        <x:v>240</x:v>
      </x:c>
      <x:c r="J477" s="102" t="str">
        <x:v>否（材料数量固定）</x:v>
      </x:c>
      <x:c r="K477" s="102" t="str">
        <x:v>仅手动分解；默认不勾选；二次确认</x:v>
      </x:c>
      <x:c r="L477" s="103" t="str">
        <x:v>一怪一专属；专属来源跟随本行准确地图号</x:v>
      </x:c>
    </x:row>
    <x:row r="478">
      <x:c r="A478" s="101" t="str">
        <x:v>C09</x:v>
      </x:c>
      <x:c r="B478" s="102" t="str">
        <x:v>亚坛高原</x:v>
      </x:c>
      <x:c r="C478" s="102" t="str">
        <x:v>古王陵园</x:v>
      </x:c>
      <x:c r="D478" s="102" t="n">
        <x:v>3</x:v>
      </x:c>
      <x:c r="E478" s="102" t="str">
        <x:v>稀有</x:v>
      </x:c>
      <x:c r="F478" s="102" t="str">
        <x:v>墓室守印妃</x:v>
      </x:c>
      <x:c r="G478" s="102" t="str">
        <x:v>守印妃金戒</x:v>
      </x:c>
      <x:c r="H478" s="102" t="str">
        <x:v>戒指</x:v>
      </x:c>
      <x:c r="I478" s="147" t="n">
        <x:v>240</x:v>
      </x:c>
      <x:c r="J478" s="102" t="str">
        <x:v>否（材料数量固定）</x:v>
      </x:c>
      <x:c r="K478" s="102" t="str">
        <x:v>仅手动分解；默认不勾选；二次确认</x:v>
      </x:c>
      <x:c r="L478" s="103" t="str">
        <x:v>一怪一专属；专属来源跟随本行准确地图号</x:v>
      </x:c>
    </x:row>
    <x:row r="479">
      <x:c r="A479" s="101" t="str">
        <x:v>C09</x:v>
      </x:c>
      <x:c r="B479" s="102" t="str">
        <x:v>亚坛高原</x:v>
      </x:c>
      <x:c r="C479" s="102" t="str">
        <x:v>古王陵园</x:v>
      </x:c>
      <x:c r="D479" s="102" t="n">
        <x:v>3</x:v>
      </x:c>
      <x:c r="E479" s="102" t="str">
        <x:v>稀有</x:v>
      </x:c>
      <x:c r="F479" s="102" t="str">
        <x:v>墓室食梦金蝉</x:v>
      </x:c>
      <x:c r="G479" s="102" t="str">
        <x:v>食梦蝉蜕带</x:v>
      </x:c>
      <x:c r="H479" s="102" t="str">
        <x:v>腰带</x:v>
      </x:c>
      <x:c r="I479" s="147" t="n">
        <x:v>240</x:v>
      </x:c>
      <x:c r="J479" s="102" t="str">
        <x:v>否（材料数量固定）</x:v>
      </x:c>
      <x:c r="K479" s="102" t="str">
        <x:v>仅手动分解；默认不勾选；二次确认</x:v>
      </x:c>
      <x:c r="L479" s="103" t="str">
        <x:v>一怪一专属；专属来源跟随本行准确地图号</x:v>
      </x:c>
    </x:row>
    <x:row r="480">
      <x:c r="A480" s="101" t="str">
        <x:v>C09</x:v>
      </x:c>
      <x:c r="B480" s="102" t="str">
        <x:v>亚坛高原</x:v>
      </x:c>
      <x:c r="C480" s="102" t="str">
        <x:v>古王陵园</x:v>
      </x:c>
      <x:c r="D480" s="102" t="n">
        <x:v>2</x:v>
      </x:c>
      <x:c r="E480" s="102" t="str">
        <x:v>地图BOSS</x:v>
      </x:c>
      <x:c r="F480" s="102" t="str">
        <x:v>封棺执政·梅尔顿</x:v>
      </x:c>
      <x:c r="G480" s="102" t="str">
        <x:v>梅尔顿封棺钺</x:v>
      </x:c>
      <x:c r="H480" s="102" t="str">
        <x:v>武器</x:v>
      </x:c>
      <x:c r="I480" s="147" t="n">
        <x:v>500</x:v>
      </x:c>
      <x:c r="J480" s="102" t="str">
        <x:v>否（材料数量固定）</x:v>
      </x:c>
      <x:c r="K480" s="102" t="str">
        <x:v>仅手动分解；默认不勾选；二次确认</x:v>
      </x:c>
      <x:c r="L480" s="103" t="str">
        <x:v>一怪一专属；专属来源跟随本行准确地图号</x:v>
      </x:c>
    </x:row>
    <x:row r="481">
      <x:c r="A481" s="101" t="str">
        <x:v>C09</x:v>
      </x:c>
      <x:c r="B481" s="102" t="str">
        <x:v>亚坛高原</x:v>
      </x:c>
      <x:c r="C481" s="102" t="str">
        <x:v>古王陵园</x:v>
      </x:c>
      <x:c r="D481" s="102" t="n">
        <x:v>3</x:v>
      </x:c>
      <x:c r="E481" s="102" t="str">
        <x:v>地图BOSS</x:v>
      </x:c>
      <x:c r="F481" s="102" t="str">
        <x:v>不醒古王·奥瑞昂</x:v>
      </x:c>
      <x:c r="G481" s="102" t="str">
        <x:v>奥瑞昂不醒王衣</x:v>
      </x:c>
      <x:c r="H481" s="102" t="str">
        <x:v>衣服</x:v>
      </x:c>
      <x:c r="I481" s="147" t="n">
        <x:v>500</x:v>
      </x:c>
      <x:c r="J481" s="102" t="str">
        <x:v>否（材料数量固定）</x:v>
      </x:c>
      <x:c r="K481" s="102" t="str">
        <x:v>仅手动分解；默认不勾选；二次确认</x:v>
      </x:c>
      <x:c r="L481" s="103" t="str">
        <x:v>一怪一专属；专属来源跟随本行准确地图号</x:v>
      </x:c>
    </x:row>
    <x:row r="482">
      <x:c r="A482" s="101" t="str">
        <x:v>C09</x:v>
      </x:c>
      <x:c r="B482" s="102" t="str">
        <x:v>亚坛高原</x:v>
      </x:c>
      <x:c r="C482" s="102" t="str">
        <x:v>黄金圣堂</x:v>
      </x:c>
      <x:c r="D482" s="102" t="n">
        <x:v>1</x:v>
      </x:c>
      <x:c r="E482" s="102" t="str">
        <x:v>普通</x:v>
      </x:c>
      <x:c r="F482" s="102" t="str">
        <x:v>圣堂扫金仆</x:v>
      </x:c>
      <x:c r="G482" s="102" t="str">
        <x:v>扫金仆软履</x:v>
      </x:c>
      <x:c r="H482" s="102" t="str">
        <x:v>鞋子</x:v>
      </x:c>
      <x:c r="I482" s="147" t="n">
        <x:v>120</x:v>
      </x:c>
      <x:c r="J482" s="102" t="str">
        <x:v>否（材料数量固定）</x:v>
      </x:c>
      <x:c r="K482" s="102" t="str">
        <x:v>仅手动分解；默认不勾选；二次确认</x:v>
      </x:c>
      <x:c r="L482" s="103" t="str">
        <x:v>一怪一专属；专属来源跟随本行准确地图号</x:v>
      </x:c>
    </x:row>
    <x:row r="483">
      <x:c r="A483" s="101" t="str">
        <x:v>C09</x:v>
      </x:c>
      <x:c r="B483" s="102" t="str">
        <x:v>亚坛高原</x:v>
      </x:c>
      <x:c r="C483" s="102" t="str">
        <x:v>黄金圣堂</x:v>
      </x:c>
      <x:c r="D483" s="102" t="n">
        <x:v>1</x:v>
      </x:c>
      <x:c r="E483" s="102" t="str">
        <x:v>普通</x:v>
      </x:c>
      <x:c r="F483" s="102" t="str">
        <x:v>鎏檐守门士</x:v>
      </x:c>
      <x:c r="G483" s="102" t="str">
        <x:v>鎏檐拱门盾</x:v>
      </x:c>
      <x:c r="H483" s="102" t="str">
        <x:v>盾牌</x:v>
      </x:c>
      <x:c r="I483" s="147" t="n">
        <x:v>120</x:v>
      </x:c>
      <x:c r="J483" s="102" t="str">
        <x:v>否（材料数量固定）</x:v>
      </x:c>
      <x:c r="K483" s="102" t="str">
        <x:v>仅手动分解；默认不勾选；二次确认</x:v>
      </x:c>
      <x:c r="L483" s="103" t="str">
        <x:v>一怪一专属；专属来源跟随本行准确地图号</x:v>
      </x:c>
    </x:row>
    <x:row r="484">
      <x:c r="A484" s="101" t="str">
        <x:v>C09</x:v>
      </x:c>
      <x:c r="B484" s="102" t="str">
        <x:v>亚坛高原</x:v>
      </x:c>
      <x:c r="C484" s="102" t="str">
        <x:v>黄金圣堂</x:v>
      </x:c>
      <x:c r="D484" s="102" t="n">
        <x:v>2</x:v>
      </x:c>
      <x:c r="E484" s="102" t="str">
        <x:v>普通</x:v>
      </x:c>
      <x:c r="F484" s="102" t="str">
        <x:v>前廊白袍唱者</x:v>
      </x:c>
      <x:c r="G484" s="102" t="str">
        <x:v>白袍唱诗衣</x:v>
      </x:c>
      <x:c r="H484" s="102" t="str">
        <x:v>衣服</x:v>
      </x:c>
      <x:c r="I484" s="147" t="n">
        <x:v>120</x:v>
      </x:c>
      <x:c r="J484" s="102" t="str">
        <x:v>否（材料数量固定）</x:v>
      </x:c>
      <x:c r="K484" s="102" t="str">
        <x:v>仅手动分解；默认不勾选；二次确认</x:v>
      </x:c>
      <x:c r="L484" s="103" t="str">
        <x:v>一怪一专属；专属来源跟随本行准确地图号</x:v>
      </x:c>
    </x:row>
    <x:row r="485">
      <x:c r="A485" s="101" t="str">
        <x:v>C09</x:v>
      </x:c>
      <x:c r="B485" s="102" t="str">
        <x:v>亚坛高原</x:v>
      </x:c>
      <x:c r="C485" s="102" t="str">
        <x:v>黄金圣堂</x:v>
      </x:c>
      <x:c r="D485" s="102" t="n">
        <x:v>3</x:v>
      </x:c>
      <x:c r="E485" s="102" t="str">
        <x:v>普通</x:v>
      </x:c>
      <x:c r="F485" s="102" t="str">
        <x:v>祭厅焚香奴</x:v>
      </x:c>
      <x:c r="G485" s="102" t="str">
        <x:v>焚香奴腕镯</x:v>
      </x:c>
      <x:c r="H485" s="102" t="str">
        <x:v>手镯</x:v>
      </x:c>
      <x:c r="I485" s="147" t="n">
        <x:v>120</x:v>
      </x:c>
      <x:c r="J485" s="102" t="str">
        <x:v>否（材料数量固定）</x:v>
      </x:c>
      <x:c r="K485" s="102" t="str">
        <x:v>仅手动分解；默认不勾选；二次确认</x:v>
      </x:c>
      <x:c r="L485" s="103" t="str">
        <x:v>一怪一专属；专属来源跟随本行准确地图号</x:v>
      </x:c>
    </x:row>
    <x:row r="486">
      <x:c r="A486" s="101" t="str">
        <x:v>C09</x:v>
      </x:c>
      <x:c r="B486" s="102" t="str">
        <x:v>亚坛高原</x:v>
      </x:c>
      <x:c r="C486" s="102" t="str">
        <x:v>黄金圣堂</x:v>
      </x:c>
      <x:c r="D486" s="102" t="n">
        <x:v>4</x:v>
      </x:c>
      <x:c r="E486" s="102" t="str">
        <x:v>普通</x:v>
      </x:c>
      <x:c r="F486" s="102" t="str">
        <x:v>内殿金面僧</x:v>
      </x:c>
      <x:c r="G486" s="102" t="str">
        <x:v>金面僧宝盔</x:v>
      </x:c>
      <x:c r="H486" s="102" t="str">
        <x:v>头盔</x:v>
      </x:c>
      <x:c r="I486" s="147" t="n">
        <x:v>120</x:v>
      </x:c>
      <x:c r="J486" s="102" t="str">
        <x:v>否（材料数量固定）</x:v>
      </x:c>
      <x:c r="K486" s="102" t="str">
        <x:v>仅手动分解；默认不勾选；二次确认</x:v>
      </x:c>
      <x:c r="L486" s="103" t="str">
        <x:v>一怪一专属；专属来源跟随本行准确地图号</x:v>
      </x:c>
    </x:row>
    <x:row r="487">
      <x:c r="A487" s="101" t="str">
        <x:v>C09</x:v>
      </x:c>
      <x:c r="B487" s="102" t="str">
        <x:v>亚坛高原</x:v>
      </x:c>
      <x:c r="C487" s="102" t="str">
        <x:v>黄金圣堂</x:v>
      </x:c>
      <x:c r="D487" s="102" t="n">
        <x:v>5</x:v>
      </x:c>
      <x:c r="E487" s="102" t="str">
        <x:v>普通</x:v>
      </x:c>
      <x:c r="F487" s="102" t="str">
        <x:v>圣坛祷弓手</x:v>
      </x:c>
      <x:c r="G487" s="102" t="str">
        <x:v>祷弓手日轮弓</x:v>
      </x:c>
      <x:c r="H487" s="102" t="str">
        <x:v>武器</x:v>
      </x:c>
      <x:c r="I487" s="147" t="n">
        <x:v>120</x:v>
      </x:c>
      <x:c r="J487" s="102" t="str">
        <x:v>否（材料数量固定）</x:v>
      </x:c>
      <x:c r="K487" s="102" t="str">
        <x:v>仅手动分解；默认不勾选；二次确认</x:v>
      </x:c>
      <x:c r="L487" s="103" t="str">
        <x:v>一怪一专属；专属来源跟随本行准确地图号</x:v>
      </x:c>
    </x:row>
    <x:row r="488">
      <x:c r="A488" s="101" t="str">
        <x:v>C09</x:v>
      </x:c>
      <x:c r="B488" s="102" t="str">
        <x:v>亚坛高原</x:v>
      </x:c>
      <x:c r="C488" s="102" t="str">
        <x:v>黄金圣堂</x:v>
      </x:c>
      <x:c r="D488" s="102" t="n">
        <x:v>2</x:v>
      </x:c>
      <x:c r="E488" s="102" t="str">
        <x:v>稀有</x:v>
      </x:c>
      <x:c r="F488" s="102" t="str">
        <x:v>前廊裁罪使</x:v>
      </x:c>
      <x:c r="G488" s="102" t="str">
        <x:v>裁罪使荆腰带</x:v>
      </x:c>
      <x:c r="H488" s="102" t="str">
        <x:v>腰带</x:v>
      </x:c>
      <x:c r="I488" s="147" t="n">
        <x:v>240</x:v>
      </x:c>
      <x:c r="J488" s="102" t="str">
        <x:v>否（材料数量固定）</x:v>
      </x:c>
      <x:c r="K488" s="102" t="str">
        <x:v>仅手动分解；默认不勾选；二次确认</x:v>
      </x:c>
      <x:c r="L488" s="103" t="str">
        <x:v>一怪一专属；专属来源跟随本行准确地图号</x:v>
      </x:c>
    </x:row>
    <x:row r="489">
      <x:c r="A489" s="101" t="str">
        <x:v>C09</x:v>
      </x:c>
      <x:c r="B489" s="102" t="str">
        <x:v>亚坛高原</x:v>
      </x:c>
      <x:c r="C489" s="102" t="str">
        <x:v>黄金圣堂</x:v>
      </x:c>
      <x:c r="D489" s="102" t="n">
        <x:v>3</x:v>
      </x:c>
      <x:c r="E489" s="102" t="str">
        <x:v>稀有</x:v>
      </x:c>
      <x:c r="F489" s="102" t="str">
        <x:v>古神食香兽</x:v>
      </x:c>
      <x:c r="G489" s="102" t="str">
        <x:v>食香兽烟坠</x:v>
      </x:c>
      <x:c r="H489" s="102" t="str">
        <x:v>项链</x:v>
      </x:c>
      <x:c r="I489" s="147" t="n">
        <x:v>240</x:v>
      </x:c>
      <x:c r="J489" s="102" t="str">
        <x:v>否（材料数量固定）</x:v>
      </x:c>
      <x:c r="K489" s="102" t="str">
        <x:v>仅手动分解；默认不勾选；二次确认</x:v>
      </x:c>
      <x:c r="L489" s="103" t="str">
        <x:v>一怪一专属；专属来源跟随本行准确地图号</x:v>
      </x:c>
    </x:row>
    <x:row r="490">
      <x:c r="A490" s="101" t="str">
        <x:v>C09</x:v>
      </x:c>
      <x:c r="B490" s="102" t="str">
        <x:v>亚坛高原</x:v>
      </x:c>
      <x:c r="C490" s="102" t="str">
        <x:v>黄金圣堂</x:v>
      </x:c>
      <x:c r="D490" s="102" t="n">
        <x:v>4</x:v>
      </x:c>
      <x:c r="E490" s="102" t="str">
        <x:v>稀有</x:v>
      </x:c>
      <x:c r="F490" s="102" t="str">
        <x:v>内殿无声司铎</x:v>
      </x:c>
      <x:c r="G490" s="102" t="str">
        <x:v>无声司铎笠</x:v>
      </x:c>
      <x:c r="H490" s="102" t="str">
        <x:v>斗笠</x:v>
      </x:c>
      <x:c r="I490" s="147" t="n">
        <x:v>240</x:v>
      </x:c>
      <x:c r="J490" s="102" t="str">
        <x:v>否（材料数量固定）</x:v>
      </x:c>
      <x:c r="K490" s="102" t="str">
        <x:v>仅手动分解；默认不勾选；二次确认</x:v>
      </x:c>
      <x:c r="L490" s="103" t="str">
        <x:v>一怪一专属；专属来源跟随本行准确地图号</x:v>
      </x:c>
    </x:row>
    <x:row r="491">
      <x:c r="A491" s="101" t="str">
        <x:v>C09</x:v>
      </x:c>
      <x:c r="B491" s="102" t="str">
        <x:v>亚坛高原</x:v>
      </x:c>
      <x:c r="C491" s="102" t="str">
        <x:v>黄金圣堂</x:v>
      </x:c>
      <x:c r="D491" s="102" t="n">
        <x:v>5</x:v>
      </x:c>
      <x:c r="E491" s="102" t="str">
        <x:v>稀有</x:v>
      </x:c>
      <x:c r="F491" s="102" t="str">
        <x:v>圣坛逐光姬</x:v>
      </x:c>
      <x:c r="G491" s="102" t="str">
        <x:v>逐光姬曜戒</x:v>
      </x:c>
      <x:c r="H491" s="102" t="str">
        <x:v>戒指</x:v>
      </x:c>
      <x:c r="I491" s="147" t="n">
        <x:v>240</x:v>
      </x:c>
      <x:c r="J491" s="102" t="str">
        <x:v>否（材料数量固定）</x:v>
      </x:c>
      <x:c r="K491" s="102" t="str">
        <x:v>仅手动分解；默认不勾选；二次确认</x:v>
      </x:c>
      <x:c r="L491" s="103" t="str">
        <x:v>一怪一专属；专属来源跟随本行准确地图号</x:v>
      </x:c>
    </x:row>
    <x:row r="492">
      <x:c r="A492" s="101" t="str">
        <x:v>C09</x:v>
      </x:c>
      <x:c r="B492" s="102" t="str">
        <x:v>亚坛高原</x:v>
      </x:c>
      <x:c r="C492" s="102" t="str">
        <x:v>黄金圣堂</x:v>
      </x:c>
      <x:c r="D492" s="102" t="n">
        <x:v>4</x:v>
      </x:c>
      <x:c r="E492" s="102" t="str">
        <x:v>地图BOSS</x:v>
      </x:c>
      <x:c r="F492" s="102" t="str">
        <x:v>黄金枢机·赛维兰</x:v>
      </x:c>
      <x:c r="G492" s="102" t="str">
        <x:v>赛维兰裁阳杖</x:v>
      </x:c>
      <x:c r="H492" s="102" t="str">
        <x:v>武器</x:v>
      </x:c>
      <x:c r="I492" s="147" t="n">
        <x:v>500</x:v>
      </x:c>
      <x:c r="J492" s="102" t="str">
        <x:v>否（材料数量固定）</x:v>
      </x:c>
      <x:c r="K492" s="102" t="str">
        <x:v>仅手动分解；默认不勾选；二次确认</x:v>
      </x:c>
      <x:c r="L492" s="103" t="str">
        <x:v>一怪一专属；专属来源跟随本行准确地图号</x:v>
      </x:c>
    </x:row>
    <x:row r="493">
      <x:c r="A493" s="101" t="str">
        <x:v>C09</x:v>
      </x:c>
      <x:c r="B493" s="102" t="str">
        <x:v>亚坛高原</x:v>
      </x:c>
      <x:c r="C493" s="102" t="str">
        <x:v>黄金圣堂</x:v>
      </x:c>
      <x:c r="D493" s="102" t="n">
        <x:v>5</x:v>
      </x:c>
      <x:c r="E493" s="102" t="str">
        <x:v>地图BOSS</x:v>
      </x:c>
      <x:c r="F493" s="102" t="str">
        <x:v>高原圣母·艾德莉雅</x:v>
      </x:c>
      <x:c r="G493" s="102" t="str">
        <x:v>艾德莉雅鎏辉圣衣</x:v>
      </x:c>
      <x:c r="H493" s="102" t="str">
        <x:v>衣服</x:v>
      </x:c>
      <x:c r="I493" s="147" t="n">
        <x:v>500</x:v>
      </x:c>
      <x:c r="J493" s="102" t="str">
        <x:v>否（材料数量固定）</x:v>
      </x:c>
      <x:c r="K493" s="102" t="str">
        <x:v>仅手动分解；默认不勾选；二次确认</x:v>
      </x:c>
      <x:c r="L493" s="103" t="str">
        <x:v>一怪一专属；专属来源跟随本行准确地图号</x:v>
      </x:c>
    </x:row>
    <x:row r="494">
      <x:c r="A494" s="101" t="str">
        <x:v>C09</x:v>
      </x:c>
      <x:c r="B494" s="102" t="str">
        <x:v>亚坛高原</x:v>
      </x:c>
      <x:c r="C494" s="102" t="str">
        <x:v>王城前垒</x:v>
      </x:c>
      <x:c r="D494" s="102" t="n">
        <x:v>1</x:v>
      </x:c>
      <x:c r="E494" s="102" t="str">
        <x:v>普通</x:v>
      </x:c>
      <x:c r="F494" s="102" t="str">
        <x:v>外垒铆甲兵</x:v>
      </x:c>
      <x:c r="G494" s="102" t="str">
        <x:v>铆甲兵垒盾</x:v>
      </x:c>
      <x:c r="H494" s="102" t="str">
        <x:v>盾牌</x:v>
      </x:c>
      <x:c r="I494" s="147" t="n">
        <x:v>120</x:v>
      </x:c>
      <x:c r="J494" s="102" t="str">
        <x:v>否（材料数量固定）</x:v>
      </x:c>
      <x:c r="K494" s="102" t="str">
        <x:v>仅手动分解；默认不勾选；二次确认</x:v>
      </x:c>
      <x:c r="L494" s="103" t="str">
        <x:v>一怪一专属；专属来源跟随本行准确地图号</x:v>
      </x:c>
    </x:row>
    <x:row r="495">
      <x:c r="A495" s="101" t="str">
        <x:v>C09</x:v>
      </x:c>
      <x:c r="B495" s="102" t="str">
        <x:v>亚坛高原</x:v>
      </x:c>
      <x:c r="C495" s="102" t="str">
        <x:v>王城前垒</x:v>
      </x:c>
      <x:c r="D495" s="102" t="n">
        <x:v>1</x:v>
      </x:c>
      <x:c r="E495" s="102" t="str">
        <x:v>普通</x:v>
      </x:c>
      <x:c r="F495" s="102" t="str">
        <x:v>城前拾箭童</x:v>
      </x:c>
      <x:c r="G495" s="102" t="str">
        <x:v>拾箭童疾履</x:v>
      </x:c>
      <x:c r="H495" s="102" t="str">
        <x:v>鞋子</x:v>
      </x:c>
      <x:c r="I495" s="147" t="n">
        <x:v>120</x:v>
      </x:c>
      <x:c r="J495" s="102" t="str">
        <x:v>否（材料数量固定）</x:v>
      </x:c>
      <x:c r="K495" s="102" t="str">
        <x:v>仅手动分解；默认不勾选；二次确认</x:v>
      </x:c>
      <x:c r="L495" s="103" t="str">
        <x:v>一怪一专属；专属来源跟随本行准确地图号</x:v>
      </x:c>
    </x:row>
    <x:row r="496">
      <x:c r="A496" s="101" t="str">
        <x:v>C09</x:v>
      </x:c>
      <x:c r="B496" s="102" t="str">
        <x:v>亚坛高原</x:v>
      </x:c>
      <x:c r="C496" s="102" t="str">
        <x:v>王城前垒</x:v>
      </x:c>
      <x:c r="D496" s="102" t="n">
        <x:v>2</x:v>
      </x:c>
      <x:c r="E496" s="102" t="str">
        <x:v>普通</x:v>
      </x:c>
      <x:c r="F496" s="102" t="str">
        <x:v>甬道持炬枪卒</x:v>
      </x:c>
      <x:c r="G496" s="102" t="str">
        <x:v>持炬枪卒矛</x:v>
      </x:c>
      <x:c r="H496" s="102" t="str">
        <x:v>武器</x:v>
      </x:c>
      <x:c r="I496" s="147" t="n">
        <x:v>120</x:v>
      </x:c>
      <x:c r="J496" s="102" t="str">
        <x:v>否（材料数量固定）</x:v>
      </x:c>
      <x:c r="K496" s="102" t="str">
        <x:v>仅手动分解；默认不勾选；二次确认</x:v>
      </x:c>
      <x:c r="L496" s="103" t="str">
        <x:v>一怪一专属；专属来源跟随本行准确地图号</x:v>
      </x:c>
    </x:row>
    <x:row r="497">
      <x:c r="A497" s="101" t="str">
        <x:v>C09</x:v>
      </x:c>
      <x:c r="B497" s="102" t="str">
        <x:v>亚坛高原</x:v>
      </x:c>
      <x:c r="C497" s="102" t="str">
        <x:v>王城前垒</x:v>
      </x:c>
      <x:c r="D497" s="102" t="n">
        <x:v>3</x:v>
      </x:c>
      <x:c r="E497" s="102" t="str">
        <x:v>普通</x:v>
      </x:c>
      <x:c r="F497" s="102" t="str">
        <x:v>驻军庭院炊兵</x:v>
      </x:c>
      <x:c r="G497" s="102" t="str">
        <x:v>炊兵铁勺镯</x:v>
      </x:c>
      <x:c r="H497" s="102" t="str">
        <x:v>手镯</x:v>
      </x:c>
      <x:c r="I497" s="147" t="n">
        <x:v>120</x:v>
      </x:c>
      <x:c r="J497" s="102" t="str">
        <x:v>否（材料数量固定）</x:v>
      </x:c>
      <x:c r="K497" s="102" t="str">
        <x:v>仅手动分解；默认不勾选；二次确认</x:v>
      </x:c>
      <x:c r="L497" s="103" t="str">
        <x:v>一怪一专属；专属来源跟随本行准确地图号</x:v>
      </x:c>
    </x:row>
    <x:row r="498">
      <x:c r="A498" s="101" t="str">
        <x:v>C09</x:v>
      </x:c>
      <x:c r="B498" s="102" t="str">
        <x:v>亚坛高原</x:v>
      </x:c>
      <x:c r="C498" s="102" t="str">
        <x:v>王城前垒</x:v>
      </x:c>
      <x:c r="D498" s="102" t="n">
        <x:v>4</x:v>
      </x:c>
      <x:c r="E498" s="102" t="str">
        <x:v>普通</x:v>
      </x:c>
      <x:c r="F498" s="102" t="str">
        <x:v>黄金壁垒号手</x:v>
      </x:c>
      <x:c r="G498" s="102" t="str">
        <x:v>壁垒号手盔</x:v>
      </x:c>
      <x:c r="H498" s="102" t="str">
        <x:v>头盔</x:v>
      </x:c>
      <x:c r="I498" s="147" t="n">
        <x:v>120</x:v>
      </x:c>
      <x:c r="J498" s="102" t="str">
        <x:v>否（材料数量固定）</x:v>
      </x:c>
      <x:c r="K498" s="102" t="str">
        <x:v>仅手动分解；默认不勾选；二次确认</x:v>
      </x:c>
      <x:c r="L498" s="103" t="str">
        <x:v>一怪一专属；专属来源跟随本行准确地图号</x:v>
      </x:c>
    </x:row>
    <x:row r="499">
      <x:c r="A499" s="101" t="str">
        <x:v>C09</x:v>
      </x:c>
      <x:c r="B499" s="102" t="str">
        <x:v>亚坛高原</x:v>
      </x:c>
      <x:c r="C499" s="102" t="str">
        <x:v>王城前垒</x:v>
      </x:c>
      <x:c r="D499" s="102" t="n">
        <x:v>5</x:v>
      </x:c>
      <x:c r="E499" s="102" t="str">
        <x:v>普通</x:v>
      </x:c>
      <x:c r="F499" s="102" t="str">
        <x:v>关门锁链卫</x:v>
      </x:c>
      <x:c r="G499" s="102" t="str">
        <x:v>锁链关门甲</x:v>
      </x:c>
      <x:c r="H499" s="102" t="str">
        <x:v>衣服</x:v>
      </x:c>
      <x:c r="I499" s="147" t="n">
        <x:v>120</x:v>
      </x:c>
      <x:c r="J499" s="102" t="str">
        <x:v>否（材料数量固定）</x:v>
      </x:c>
      <x:c r="K499" s="102" t="str">
        <x:v>仅手动分解；默认不勾选；二次确认</x:v>
      </x:c>
      <x:c r="L499" s="103" t="str">
        <x:v>一怪一专属；专属来源跟随本行准确地图号</x:v>
      </x:c>
    </x:row>
    <x:row r="500">
      <x:c r="A500" s="101" t="str">
        <x:v>C09</x:v>
      </x:c>
      <x:c r="B500" s="102" t="str">
        <x:v>亚坛高原</x:v>
      </x:c>
      <x:c r="C500" s="102" t="str">
        <x:v>王城前垒</x:v>
      </x:c>
      <x:c r="D500" s="102" t="n">
        <x:v>2</x:v>
      </x:c>
      <x:c r="E500" s="102" t="str">
        <x:v>稀有</x:v>
      </x:c>
      <x:c r="F500" s="102" t="str">
        <x:v>甬道潜旗客</x:v>
      </x:c>
      <x:c r="G500" s="102" t="str">
        <x:v>潜旗客灰翎笠</x:v>
      </x:c>
      <x:c r="H500" s="102" t="str">
        <x:v>斗笠</x:v>
      </x:c>
      <x:c r="I500" s="147" t="n">
        <x:v>240</x:v>
      </x:c>
      <x:c r="J500" s="102" t="str">
        <x:v>否（材料数量固定）</x:v>
      </x:c>
      <x:c r="K500" s="102" t="str">
        <x:v>仅手动分解；默认不勾选；二次确认</x:v>
      </x:c>
      <x:c r="L500" s="103" t="str">
        <x:v>一怪一专属；专属来源跟随本行准确地图号</x:v>
      </x:c>
    </x:row>
    <x:row r="501">
      <x:c r="A501" s="101" t="str">
        <x:v>C09</x:v>
      </x:c>
      <x:c r="B501" s="102" t="str">
        <x:v>亚坛高原</x:v>
      </x:c>
      <x:c r="C501" s="102" t="str">
        <x:v>王城前垒</x:v>
      </x:c>
      <x:c r="D501" s="102" t="n">
        <x:v>3</x:v>
      </x:c>
      <x:c r="E501" s="102" t="str">
        <x:v>稀有</x:v>
      </x:c>
      <x:c r="F501" s="102" t="str">
        <x:v>庭院百战旗官</x:v>
      </x:c>
      <x:c r="G501" s="102" t="str">
        <x:v>百战旗官带</x:v>
      </x:c>
      <x:c r="H501" s="102" t="str">
        <x:v>腰带</x:v>
      </x:c>
      <x:c r="I501" s="147" t="n">
        <x:v>240</x:v>
      </x:c>
      <x:c r="J501" s="102" t="str">
        <x:v>否（材料数量固定）</x:v>
      </x:c>
      <x:c r="K501" s="102" t="str">
        <x:v>仅手动分解；默认不勾选；二次确认</x:v>
      </x:c>
      <x:c r="L501" s="103" t="str">
        <x:v>一怪一专属；专属来源跟随本行准确地图号</x:v>
      </x:c>
    </x:row>
    <x:row r="502">
      <x:c r="A502" s="101" t="str">
        <x:v>C09</x:v>
      </x:c>
      <x:c r="B502" s="102" t="str">
        <x:v>亚坛高原</x:v>
      </x:c>
      <x:c r="C502" s="102" t="str">
        <x:v>王城前垒</x:v>
      </x:c>
      <x:c r="D502" s="102" t="n">
        <x:v>4</x:v>
      </x:c>
      <x:c r="E502" s="102" t="str">
        <x:v>稀有</x:v>
      </x:c>
      <x:c r="F502" s="102" t="str">
        <x:v>壁垒鎏甲骑士</x:v>
      </x:c>
      <x:c r="G502" s="102" t="str">
        <x:v>鎏甲骑士坠</x:v>
      </x:c>
      <x:c r="H502" s="102" t="str">
        <x:v>项链</x:v>
      </x:c>
      <x:c r="I502" s="147" t="n">
        <x:v>240</x:v>
      </x:c>
      <x:c r="J502" s="102" t="str">
        <x:v>否（材料数量固定）</x:v>
      </x:c>
      <x:c r="K502" s="102" t="str">
        <x:v>仅手动分解；默认不勾选；二次确认</x:v>
      </x:c>
      <x:c r="L502" s="103" t="str">
        <x:v>一怪一专属；专属来源跟随本行准确地图号</x:v>
      </x:c>
    </x:row>
    <x:row r="503">
      <x:c r="A503" s="101" t="str">
        <x:v>C09</x:v>
      </x:c>
      <x:c r="B503" s="102" t="str">
        <x:v>亚坛高原</x:v>
      </x:c>
      <x:c r="C503" s="102" t="str">
        <x:v>王城前垒</x:v>
      </x:c>
      <x:c r="D503" s="102" t="n">
        <x:v>5</x:v>
      </x:c>
      <x:c r="E503" s="102" t="str">
        <x:v>稀有</x:v>
      </x:c>
      <x:c r="F503" s="102" t="str">
        <x:v>罗德尔守门卜者</x:v>
      </x:c>
      <x:c r="G503" s="102" t="str">
        <x:v>守门卜者戒</x:v>
      </x:c>
      <x:c r="H503" s="102" t="str">
        <x:v>戒指</x:v>
      </x:c>
      <x:c r="I503" s="147" t="n">
        <x:v>240</x:v>
      </x:c>
      <x:c r="J503" s="102" t="str">
        <x:v>否（材料数量固定）</x:v>
      </x:c>
      <x:c r="K503" s="102" t="str">
        <x:v>仅手动分解；默认不勾选；二次确认</x:v>
      </x:c>
      <x:c r="L503" s="103" t="str">
        <x:v>一怪一专属；专属来源跟随本行准确地图号</x:v>
      </x:c>
    </x:row>
    <x:row r="504">
      <x:c r="A504" s="101" t="str">
        <x:v>C09</x:v>
      </x:c>
      <x:c r="B504" s="102" t="str">
        <x:v>亚坛高原</x:v>
      </x:c>
      <x:c r="C504" s="102" t="str">
        <x:v>王城前垒</x:v>
      </x:c>
      <x:c r="D504" s="102" t="n">
        <x:v>4</x:v>
      </x:c>
      <x:c r="E504" s="102" t="str">
        <x:v>地图BOSS</x:v>
      </x:c>
      <x:c r="F504" s="102" t="str">
        <x:v>黄金壁垒统帅·罗梵迪</x:v>
      </x:c>
      <x:c r="G504" s="102" t="str">
        <x:v>罗梵迪壁垒长戟</x:v>
      </x:c>
      <x:c r="H504" s="102" t="str">
        <x:v>武器</x:v>
      </x:c>
      <x:c r="I504" s="147" t="n">
        <x:v>500</x:v>
      </x:c>
      <x:c r="J504" s="102" t="str">
        <x:v>否（材料数量固定）</x:v>
      </x:c>
      <x:c r="K504" s="102" t="str">
        <x:v>仅手动分解；默认不勾选；二次确认</x:v>
      </x:c>
      <x:c r="L504" s="103" t="str">
        <x:v>一怪一专属；专属来源跟随本行准确地图号</x:v>
      </x:c>
    </x:row>
    <x:row r="505">
      <x:c r="A505" s="101" t="str">
        <x:v>C09</x:v>
      </x:c>
      <x:c r="B505" s="102" t="str">
        <x:v>亚坛高原</x:v>
      </x:c>
      <x:c r="C505" s="102" t="str">
        <x:v>王城前垒</x:v>
      </x:c>
      <x:c r="D505" s="102" t="n">
        <x:v>5</x:v>
      </x:c>
      <x:c r="E505" s="102" t="str">
        <x:v>地图BOSS</x:v>
      </x:c>
      <x:c r="F505" s="102" t="str">
        <x:v>王门执宪者·赫桑达</x:v>
      </x:c>
      <x:c r="G505" s="102" t="str">
        <x:v>赫桑达执宪战衣</x:v>
      </x:c>
      <x:c r="H505" s="102" t="str">
        <x:v>衣服</x:v>
      </x:c>
      <x:c r="I505" s="147" t="n">
        <x:v>500</x:v>
      </x:c>
      <x:c r="J505" s="102" t="str">
        <x:v>否（材料数量固定）</x:v>
      </x:c>
      <x:c r="K505" s="102" t="str">
        <x:v>仅手动分解；默认不勾选；二次确认</x:v>
      </x:c>
      <x:c r="L505" s="103" t="str">
        <x:v>一怪一专属；专属来源跟随本行准确地图号</x:v>
      </x:c>
    </x:row>
    <x:row r="506">
      <x:c r="A506" s="101" t="str">
        <x:v>C09</x:v>
      </x:c>
      <x:c r="B506" s="102" t="str">
        <x:v>亚坛高原</x:v>
      </x:c>
      <x:c r="C506" s="102" t="str">
        <x:v>王城前垒</x:v>
      </x:c>
      <x:c r="D506" s="102" t="n">
        <x:v>5</x:v>
      </x:c>
      <x:c r="E506" s="102" t="str">
        <x:v>守关BOSS</x:v>
      </x:c>
      <x:c r="F506" s="102" t="str">
        <x:v>鎏日王城之影·阿尔维萨</x:v>
      </x:c>
      <x:c r="G506" s="102" t="str">
        <x:v>阿尔维萨蚀日王刃</x:v>
      </x:c>
      <x:c r="H506" s="102" t="str">
        <x:v>武器</x:v>
      </x:c>
      <x:c r="I506" s="147" t="n">
        <x:v>500</x:v>
      </x:c>
      <x:c r="J506" s="102" t="str">
        <x:v>否（材料数量固定）</x:v>
      </x:c>
      <x:c r="K506" s="102" t="str">
        <x:v>仅手动分解；默认不勾选；二次确认</x:v>
      </x:c>
      <x:c r="L506" s="103" t="str">
        <x:v>大陆最终守关；本表不填属性、爆率和货币</x:v>
      </x:c>
    </x:row>
    <x:row r="507">
      <x:c r="A507" s="101" t="str">
        <x:v>C10</x:v>
      </x:c>
      <x:c r="B507" s="102" t="str">
        <x:v>王城罗德尔</x:v>
      </x:c>
      <x:c r="C507" s="102" t="str">
        <x:v>王城下城区</x:v>
      </x:c>
      <x:c r="D507" s="102" t="n">
        <x:v>1</x:v>
      </x:c>
      <x:c r="E507" s="102" t="str">
        <x:v>普通</x:v>
      </x:c>
      <x:c r="F507" s="102" t="str">
        <x:v>檐沟拾烬徒</x:v>
      </x:c>
      <x:c r="G507" s="102" t="str">
        <x:v>拾烬钩刃</x:v>
      </x:c>
      <x:c r="H507" s="102" t="str">
        <x:v>武器</x:v>
      </x:c>
      <x:c r="I507" s="147" t="n">
        <x:v>150</x:v>
      </x:c>
      <x:c r="J507" s="102" t="str">
        <x:v>否（材料数量固定）</x:v>
      </x:c>
      <x:c r="K507" s="102" t="str">
        <x:v>仅手动分解；默认不勾选；二次确认</x:v>
      </x:c>
      <x:c r="L507" s="103" t="str">
        <x:v>一怪一专属；专属来源跟随本行准确地图号</x:v>
      </x:c>
    </x:row>
    <x:row r="508">
      <x:c r="A508" s="101" t="str">
        <x:v>C10</x:v>
      </x:c>
      <x:c r="B508" s="102" t="str">
        <x:v>王城罗德尔</x:v>
      </x:c>
      <x:c r="C508" s="102" t="str">
        <x:v>王城下城区</x:v>
      </x:c>
      <x:c r="D508" s="102" t="n">
        <x:v>1</x:v>
      </x:c>
      <x:c r="E508" s="102" t="str">
        <x:v>普通</x:v>
      </x:c>
      <x:c r="F508" s="102" t="str">
        <x:v>斑墙巡灯卒</x:v>
      </x:c>
      <x:c r="G508" s="102" t="str">
        <x:v>斑墙巡灯盔</x:v>
      </x:c>
      <x:c r="H508" s="102" t="str">
        <x:v>头盔</x:v>
      </x:c>
      <x:c r="I508" s="147" t="n">
        <x:v>150</x:v>
      </x:c>
      <x:c r="J508" s="102" t="str">
        <x:v>否（材料数量固定）</x:v>
      </x:c>
      <x:c r="K508" s="102" t="str">
        <x:v>仅手动分解；默认不勾选；二次确认</x:v>
      </x:c>
      <x:c r="L508" s="103" t="str">
        <x:v>一怪一专属；专属来源跟随本行准确地图号</x:v>
      </x:c>
    </x:row>
    <x:row r="509">
      <x:c r="A509" s="101" t="str">
        <x:v>C10</x:v>
      </x:c>
      <x:c r="B509" s="102" t="str">
        <x:v>王城罗德尔</x:v>
      </x:c>
      <x:c r="C509" s="102" t="str">
        <x:v>王城下城区</x:v>
      </x:c>
      <x:c r="D509" s="102" t="n">
        <x:v>2</x:v>
      </x:c>
      <x:c r="E509" s="102" t="str">
        <x:v>普通</x:v>
      </x:c>
      <x:c r="F509" s="102" t="str">
        <x:v>暗巷伏砖客</x:v>
      </x:c>
      <x:c r="G509" s="102" t="str">
        <x:v>伏砖旧革靴</x:v>
      </x:c>
      <x:c r="H509" s="102" t="str">
        <x:v>鞋子</x:v>
      </x:c>
      <x:c r="I509" s="147" t="n">
        <x:v>150</x:v>
      </x:c>
      <x:c r="J509" s="102" t="str">
        <x:v>否（材料数量固定）</x:v>
      </x:c>
      <x:c r="K509" s="102" t="str">
        <x:v>仅手动分解；默认不勾选；二次确认</x:v>
      </x:c>
      <x:c r="L509" s="103" t="str">
        <x:v>一怪一专属；专属来源跟随本行准确地图号</x:v>
      </x:c>
    </x:row>
    <x:row r="510">
      <x:c r="A510" s="101" t="str">
        <x:v>C10</x:v>
      </x:c>
      <x:c r="B510" s="102" t="str">
        <x:v>王城罗德尔</x:v>
      </x:c>
      <x:c r="C510" s="102" t="str">
        <x:v>王城下城区</x:v>
      </x:c>
      <x:c r="D510" s="102" t="n">
        <x:v>2</x:v>
      </x:c>
      <x:c r="E510" s="102" t="str">
        <x:v>普通</x:v>
      </x:c>
      <x:c r="F510" s="102" t="str">
        <x:v>旧街缚铃犬</x:v>
      </x:c>
      <x:c r="G510" s="102" t="str">
        <x:v>缚铃窄项圈</x:v>
      </x:c>
      <x:c r="H510" s="102" t="str">
        <x:v>项链</x:v>
      </x:c>
      <x:c r="I510" s="147" t="n">
        <x:v>150</x:v>
      </x:c>
      <x:c r="J510" s="102" t="str">
        <x:v>否（材料数量固定）</x:v>
      </x:c>
      <x:c r="K510" s="102" t="str">
        <x:v>仅手动分解；默认不勾选；二次确认</x:v>
      </x:c>
      <x:c r="L510" s="103" t="str">
        <x:v>一怪一专属；专属来源跟随本行准确地图号</x:v>
      </x:c>
    </x:row>
    <x:row r="511">
      <x:c r="A511" s="101" t="str">
        <x:v>C10</x:v>
      </x:c>
      <x:c r="B511" s="102" t="str">
        <x:v>王城罗德尔</x:v>
      </x:c>
      <x:c r="C511" s="102" t="str">
        <x:v>王城下城区</x:v>
      </x:c>
      <x:c r="D511" s="102" t="n">
        <x:v>3</x:v>
      </x:c>
      <x:c r="E511" s="102" t="str">
        <x:v>普通</x:v>
      </x:c>
      <x:c r="F511" s="102" t="str">
        <x:v>闸底淤甲工</x:v>
      </x:c>
      <x:c r="G511" s="102" t="str">
        <x:v>淤甲闸工衣</x:v>
      </x:c>
      <x:c r="H511" s="102" t="str">
        <x:v>衣服</x:v>
      </x:c>
      <x:c r="I511" s="147" t="n">
        <x:v>150</x:v>
      </x:c>
      <x:c r="J511" s="102" t="str">
        <x:v>否（材料数量固定）</x:v>
      </x:c>
      <x:c r="K511" s="102" t="str">
        <x:v>仅手动分解；默认不勾选；二次确认</x:v>
      </x:c>
      <x:c r="L511" s="103" t="str">
        <x:v>一怪一专属；专属来源跟随本行准确地图号</x:v>
      </x:c>
    </x:row>
    <x:row r="512">
      <x:c r="A512" s="101" t="str">
        <x:v>C10</x:v>
      </x:c>
      <x:c r="B512" s="102" t="str">
        <x:v>王城罗德尔</x:v>
      </x:c>
      <x:c r="C512" s="102" t="str">
        <x:v>王城下城区</x:v>
      </x:c>
      <x:c r="D512" s="102" t="n">
        <x:v>3</x:v>
      </x:c>
      <x:c r="E512" s="102" t="str">
        <x:v>普通</x:v>
      </x:c>
      <x:c r="F512" s="102" t="str">
        <x:v>链轮守栓奴</x:v>
      </x:c>
      <x:c r="G512" s="102" t="str">
        <x:v>链轮束腰</x:v>
      </x:c>
      <x:c r="H512" s="102" t="str">
        <x:v>腰带</x:v>
      </x:c>
      <x:c r="I512" s="147" t="n">
        <x:v>150</x:v>
      </x:c>
      <x:c r="J512" s="102" t="str">
        <x:v>否（材料数量固定）</x:v>
      </x:c>
      <x:c r="K512" s="102" t="str">
        <x:v>仅手动分解；默认不勾选；二次确认</x:v>
      </x:c>
      <x:c r="L512" s="103" t="str">
        <x:v>一怪一专属；专属来源跟随本行准确地图号</x:v>
      </x:c>
    </x:row>
    <x:row r="513">
      <x:c r="A513" s="101" t="str">
        <x:v>C10</x:v>
      </x:c>
      <x:c r="B513" s="102" t="str">
        <x:v>王城罗德尔</x:v>
      </x:c>
      <x:c r="C513" s="102" t="str">
        <x:v>王城下城区</x:v>
      </x:c>
      <x:c r="D513" s="102" t="n">
        <x:v>1</x:v>
      </x:c>
      <x:c r="E513" s="102" t="str">
        <x:v>稀有</x:v>
      </x:c>
      <x:c r="F513" s="102" t="str">
        <x:v>碎檐金羽鸦</x:v>
      </x:c>
      <x:c r="G513" s="102" t="str">
        <x:v>碎檐金羽镯</x:v>
      </x:c>
      <x:c r="H513" s="102" t="str">
        <x:v>手镯</x:v>
      </x:c>
      <x:c r="I513" s="147" t="n">
        <x:v>300</x:v>
      </x:c>
      <x:c r="J513" s="102" t="str">
        <x:v>否（材料数量固定）</x:v>
      </x:c>
      <x:c r="K513" s="102" t="str">
        <x:v>仅手动分解；默认不勾选；二次确认</x:v>
      </x:c>
      <x:c r="L513" s="103" t="str">
        <x:v>一怪一专属；专属来源跟随本行准确地图号</x:v>
      </x:c>
    </x:row>
    <x:row r="514">
      <x:c r="A514" s="101" t="str">
        <x:v>C10</x:v>
      </x:c>
      <x:c r="B514" s="102" t="str">
        <x:v>王城罗德尔</x:v>
      </x:c>
      <x:c r="C514" s="102" t="str">
        <x:v>王城下城区</x:v>
      </x:c>
      <x:c r="D514" s="102" t="n">
        <x:v>1</x:v>
      </x:c>
      <x:c r="E514" s="102" t="str">
        <x:v>稀有</x:v>
      </x:c>
      <x:c r="F514" s="102" t="str">
        <x:v>缄口税契吏</x:v>
      </x:c>
      <x:c r="G514" s="102" t="str">
        <x:v>缄契铅印戒</x:v>
      </x:c>
      <x:c r="H514" s="102" t="str">
        <x:v>戒指</x:v>
      </x:c>
      <x:c r="I514" s="147" t="n">
        <x:v>300</x:v>
      </x:c>
      <x:c r="J514" s="102" t="str">
        <x:v>否（材料数量固定）</x:v>
      </x:c>
      <x:c r="K514" s="102" t="str">
        <x:v>仅手动分解；默认不勾选；二次确认</x:v>
      </x:c>
      <x:c r="L514" s="103" t="str">
        <x:v>一怪一专属；专属来源跟随本行准确地图号</x:v>
      </x:c>
    </x:row>
    <x:row r="515">
      <x:c r="A515" s="101" t="str">
        <x:v>C10</x:v>
      </x:c>
      <x:c r="B515" s="102" t="str">
        <x:v>王城罗德尔</x:v>
      </x:c>
      <x:c r="C515" s="102" t="str">
        <x:v>王城下城区</x:v>
      </x:c>
      <x:c r="D515" s="102" t="n">
        <x:v>2</x:v>
      </x:c>
      <x:c r="E515" s="102" t="str">
        <x:v>稀有</x:v>
      </x:c>
      <x:c r="F515" s="102" t="str">
        <x:v>巷钟剜影者</x:v>
      </x:c>
      <x:c r="G515" s="102" t="str">
        <x:v>剜影巷钟章</x:v>
      </x:c>
      <x:c r="H515" s="102" t="str">
        <x:v>勋章</x:v>
      </x:c>
      <x:c r="I515" s="147" t="n">
        <x:v>300</x:v>
      </x:c>
      <x:c r="J515" s="102" t="str">
        <x:v>否（材料数量固定）</x:v>
      </x:c>
      <x:c r="K515" s="102" t="str">
        <x:v>仅手动分解；默认不勾选；二次确认</x:v>
      </x:c>
      <x:c r="L515" s="103" t="str">
        <x:v>一怪一专属；专属来源跟随本行准确地图号</x:v>
      </x:c>
    </x:row>
    <x:row r="516">
      <x:c r="A516" s="101" t="str">
        <x:v>C10</x:v>
      </x:c>
      <x:c r="B516" s="102" t="str">
        <x:v>王城罗德尔</x:v>
      </x:c>
      <x:c r="C516" s="102" t="str">
        <x:v>王城下城区</x:v>
      </x:c>
      <x:c r="D516" s="102" t="n">
        <x:v>3</x:v>
      </x:c>
      <x:c r="E516" s="102" t="str">
        <x:v>稀有</x:v>
      </x:c>
      <x:c r="F516" s="102" t="str">
        <x:v>沉闸铜面监工</x:v>
      </x:c>
      <x:c r="G516" s="102" t="str">
        <x:v>沉闸铜面盾</x:v>
      </x:c>
      <x:c r="H516" s="102" t="str">
        <x:v>盾牌</x:v>
      </x:c>
      <x:c r="I516" s="147" t="n">
        <x:v>300</x:v>
      </x:c>
      <x:c r="J516" s="102" t="str">
        <x:v>否（材料数量固定）</x:v>
      </x:c>
      <x:c r="K516" s="102" t="str">
        <x:v>仅手动分解；默认不勾选；二次确认</x:v>
      </x:c>
      <x:c r="L516" s="103" t="str">
        <x:v>一怪一专属；专属来源跟随本行准确地图号</x:v>
      </x:c>
    </x:row>
    <x:row r="517">
      <x:c r="A517" s="101" t="str">
        <x:v>C10</x:v>
      </x:c>
      <x:c r="B517" s="102" t="str">
        <x:v>王城罗德尔</x:v>
      </x:c>
      <x:c r="C517" s="102" t="str">
        <x:v>王城下城区</x:v>
      </x:c>
      <x:c r="D517" s="102" t="n">
        <x:v>2</x:v>
      </x:c>
      <x:c r="E517" s="102" t="str">
        <x:v>地图BOSS</x:v>
      </x:c>
      <x:c r="F517" s="102" t="str">
        <x:v>灰巷的无灯侯</x:v>
      </x:c>
      <x:c r="G517" s="102" t="str">
        <x:v>无灯侯旧斗笠</x:v>
      </x:c>
      <x:c r="H517" s="102" t="str">
        <x:v>斗笠</x:v>
      </x:c>
      <x:c r="I517" s="147" t="n">
        <x:v>600</x:v>
      </x:c>
      <x:c r="J517" s="102" t="str">
        <x:v>否（材料数量固定）</x:v>
      </x:c>
      <x:c r="K517" s="102" t="str">
        <x:v>仅手动分解；默认不勾选；二次确认</x:v>
      </x:c>
      <x:c r="L517" s="103" t="str">
        <x:v>一怪一专属；专属来源跟随本行准确地图号</x:v>
      </x:c>
    </x:row>
    <x:row r="518">
      <x:c r="A518" s="101" t="str">
        <x:v>C10</x:v>
      </x:c>
      <x:c r="B518" s="102" t="str">
        <x:v>王城罗德尔</x:v>
      </x:c>
      <x:c r="C518" s="102" t="str">
        <x:v>王城下城区</x:v>
      </x:c>
      <x:c r="D518" s="102" t="n">
        <x:v>3</x:v>
      </x:c>
      <x:c r="E518" s="102" t="str">
        <x:v>地图BOSS</x:v>
      </x:c>
      <x:c r="F518" s="102" t="str">
        <x:v>千锁闸门统领</x:v>
      </x:c>
      <x:c r="G518" s="102" t="str">
        <x:v>千锁断流铡</x:v>
      </x:c>
      <x:c r="H518" s="102" t="str">
        <x:v>武器</x:v>
      </x:c>
      <x:c r="I518" s="147" t="n">
        <x:v>600</x:v>
      </x:c>
      <x:c r="J518" s="102" t="str">
        <x:v>否（材料数量固定）</x:v>
      </x:c>
      <x:c r="K518" s="102" t="str">
        <x:v>仅手动分解；默认不勾选；二次确认</x:v>
      </x:c>
      <x:c r="L518" s="103" t="str">
        <x:v>一怪一专属；专属来源跟随本行准确地图号</x:v>
      </x:c>
    </x:row>
    <x:row r="519">
      <x:c r="A519" s="101" t="str">
        <x:v>C10</x:v>
      </x:c>
      <x:c r="B519" s="102" t="str">
        <x:v>王城罗德尔</x:v>
      </x:c>
      <x:c r="C519" s="102" t="str">
        <x:v>黄金排水道</x:v>
      </x:c>
      <x:c r="D519" s="102" t="n">
        <x:v>1</x:v>
      </x:c>
      <x:c r="E519" s="102" t="str">
        <x:v>普通</x:v>
      </x:c>
      <x:c r="F519" s="102" t="str">
        <x:v>金垢潜渠鼠</x:v>
      </x:c>
      <x:c r="G519" s="102" t="str">
        <x:v>金垢噬骨爪</x:v>
      </x:c>
      <x:c r="H519" s="102" t="str">
        <x:v>武器</x:v>
      </x:c>
      <x:c r="I519" s="147" t="n">
        <x:v>150</x:v>
      </x:c>
      <x:c r="J519" s="102" t="str">
        <x:v>否（材料数量固定）</x:v>
      </x:c>
      <x:c r="K519" s="102" t="str">
        <x:v>仅手动分解；默认不勾选；二次确认</x:v>
      </x:c>
      <x:c r="L519" s="103" t="str">
        <x:v>一怪一专属；专属来源跟随本行准确地图号</x:v>
      </x:c>
    </x:row>
    <x:row r="520">
      <x:c r="A520" s="101" t="str">
        <x:v>C10</x:v>
      </x:c>
      <x:c r="B520" s="102" t="str">
        <x:v>王城罗德尔</x:v>
      </x:c>
      <x:c r="C520" s="102" t="str">
        <x:v>黄金排水道</x:v>
      </x:c>
      <x:c r="D520" s="102" t="n">
        <x:v>1</x:v>
      </x:c>
      <x:c r="E520" s="102" t="str">
        <x:v>普通</x:v>
      </x:c>
      <x:c r="F520" s="102" t="str">
        <x:v>污潮捞骨役</x:v>
      </x:c>
      <x:c r="G520" s="102" t="str">
        <x:v>捞骨防污衣</x:v>
      </x:c>
      <x:c r="H520" s="102" t="str">
        <x:v>衣服</x:v>
      </x:c>
      <x:c r="I520" s="147" t="n">
        <x:v>150</x:v>
      </x:c>
      <x:c r="J520" s="102" t="str">
        <x:v>否（材料数量固定）</x:v>
      </x:c>
      <x:c r="K520" s="102" t="str">
        <x:v>仅手动分解；默认不勾选；二次确认</x:v>
      </x:c>
      <x:c r="L520" s="103" t="str">
        <x:v>一怪一专属；专属来源跟随本行准确地图号</x:v>
      </x:c>
    </x:row>
    <x:row r="521">
      <x:c r="A521" s="101" t="str">
        <x:v>C10</x:v>
      </x:c>
      <x:c r="B521" s="102" t="str">
        <x:v>王城罗德尔</x:v>
      </x:c>
      <x:c r="C521" s="102" t="str">
        <x:v>黄金排水道</x:v>
      </x:c>
      <x:c r="D521" s="102" t="n">
        <x:v>2</x:v>
      </x:c>
      <x:c r="E521" s="102" t="str">
        <x:v>普通</x:v>
      </x:c>
      <x:c r="F521" s="102" t="str">
        <x:v>回廊鸣管蜥</x:v>
      </x:c>
      <x:c r="G521" s="102" t="str">
        <x:v>鸣管鳞盔</x:v>
      </x:c>
      <x:c r="H521" s="102" t="str">
        <x:v>头盔</x:v>
      </x:c>
      <x:c r="I521" s="147" t="n">
        <x:v>150</x:v>
      </x:c>
      <x:c r="J521" s="102" t="str">
        <x:v>否（材料数量固定）</x:v>
      </x:c>
      <x:c r="K521" s="102" t="str">
        <x:v>仅手动分解；默认不勾选；二次确认</x:v>
      </x:c>
      <x:c r="L521" s="103" t="str">
        <x:v>一怪一专属；专属来源跟随本行准确地图号</x:v>
      </x:c>
    </x:row>
    <x:row r="522">
      <x:c r="A522" s="101" t="str">
        <x:v>C10</x:v>
      </x:c>
      <x:c r="B522" s="102" t="str">
        <x:v>王城罗德尔</x:v>
      </x:c>
      <x:c r="C522" s="102" t="str">
        <x:v>黄金排水道</x:v>
      </x:c>
      <x:c r="D522" s="102" t="n">
        <x:v>2</x:v>
      </x:c>
      <x:c r="E522" s="102" t="str">
        <x:v>普通</x:v>
      </x:c>
      <x:c r="F522" s="102" t="str">
        <x:v>锈槽巡污卒</x:v>
      </x:c>
      <x:c r="G522" s="102" t="str">
        <x:v>锈槽踏污靴</x:v>
      </x:c>
      <x:c r="H522" s="102" t="str">
        <x:v>鞋子</x:v>
      </x:c>
      <x:c r="I522" s="147" t="n">
        <x:v>150</x:v>
      </x:c>
      <x:c r="J522" s="102" t="str">
        <x:v>否（材料数量固定）</x:v>
      </x:c>
      <x:c r="K522" s="102" t="str">
        <x:v>仅手动分解；默认不勾选；二次确认</x:v>
      </x:c>
      <x:c r="L522" s="103" t="str">
        <x:v>一怪一专属；专属来源跟随本行准确地图号</x:v>
      </x:c>
    </x:row>
    <x:row r="523">
      <x:c r="A523" s="101" t="str">
        <x:v>C10</x:v>
      </x:c>
      <x:c r="B523" s="102" t="str">
        <x:v>王城罗德尔</x:v>
      </x:c>
      <x:c r="C523" s="102" t="str">
        <x:v>黄金排水道</x:v>
      </x:c>
      <x:c r="D523" s="102" t="n">
        <x:v>3</x:v>
      </x:c>
      <x:c r="E523" s="102" t="str">
        <x:v>普通</x:v>
      </x:c>
      <x:c r="F523" s="102" t="str">
        <x:v>中枢盘阀傀</x:v>
      </x:c>
      <x:c r="G523" s="102" t="str">
        <x:v>盘阀锁流带</x:v>
      </x:c>
      <x:c r="H523" s="102" t="str">
        <x:v>腰带</x:v>
      </x:c>
      <x:c r="I523" s="147" t="n">
        <x:v>150</x:v>
      </x:c>
      <x:c r="J523" s="102" t="str">
        <x:v>否（材料数量固定）</x:v>
      </x:c>
      <x:c r="K523" s="102" t="str">
        <x:v>仅手动分解；默认不勾选；二次确认</x:v>
      </x:c>
      <x:c r="L523" s="103" t="str">
        <x:v>一怪一专属；专属来源跟随本行准确地图号</x:v>
      </x:c>
    </x:row>
    <x:row r="524">
      <x:c r="A524" s="101" t="str">
        <x:v>C10</x:v>
      </x:c>
      <x:c r="B524" s="102" t="str">
        <x:v>王城罗德尔</x:v>
      </x:c>
      <x:c r="C524" s="102" t="str">
        <x:v>黄金排水道</x:v>
      </x:c>
      <x:c r="D524" s="102" t="n">
        <x:v>3</x:v>
      </x:c>
      <x:c r="E524" s="102" t="str">
        <x:v>普通</x:v>
      </x:c>
      <x:c r="F524" s="102" t="str">
        <x:v>泄洪窥灯虫</x:v>
      </x:c>
      <x:c r="G524" s="102" t="str">
        <x:v>窥灯浊辉坠</x:v>
      </x:c>
      <x:c r="H524" s="102" t="str">
        <x:v>项链</x:v>
      </x:c>
      <x:c r="I524" s="147" t="n">
        <x:v>150</x:v>
      </x:c>
      <x:c r="J524" s="102" t="str">
        <x:v>否（材料数量固定）</x:v>
      </x:c>
      <x:c r="K524" s="102" t="str">
        <x:v>仅手动分解；默认不勾选；二次确认</x:v>
      </x:c>
      <x:c r="L524" s="103" t="str">
        <x:v>一怪一专属；专属来源跟随本行准确地图号</x:v>
      </x:c>
    </x:row>
    <x:row r="525">
      <x:c r="A525" s="101" t="str">
        <x:v>C10</x:v>
      </x:c>
      <x:c r="B525" s="102" t="str">
        <x:v>王城罗德尔</x:v>
      </x:c>
      <x:c r="C525" s="102" t="str">
        <x:v>黄金排水道</x:v>
      </x:c>
      <x:c r="D525" s="102" t="n">
        <x:v>1</x:v>
      </x:c>
      <x:c r="E525" s="102" t="str">
        <x:v>稀有</x:v>
      </x:c>
      <x:c r="F525" s="102" t="str">
        <x:v>镀金脓潮母</x:v>
      </x:c>
      <x:c r="G525" s="102" t="str">
        <x:v>脓潮镀金腕</x:v>
      </x:c>
      <x:c r="H525" s="102" t="str">
        <x:v>手镯</x:v>
      </x:c>
      <x:c r="I525" s="147" t="n">
        <x:v>300</x:v>
      </x:c>
      <x:c r="J525" s="102" t="str">
        <x:v>否（材料数量固定）</x:v>
      </x:c>
      <x:c r="K525" s="102" t="str">
        <x:v>仅手动分解；默认不勾选；二次确认</x:v>
      </x:c>
      <x:c r="L525" s="103" t="str">
        <x:v>一怪一专属；专属来源跟随本行准确地图号</x:v>
      </x:c>
    </x:row>
    <x:row r="526">
      <x:c r="A526" s="101" t="str">
        <x:v>C10</x:v>
      </x:c>
      <x:c r="B526" s="102" t="str">
        <x:v>王城罗德尔</x:v>
      </x:c>
      <x:c r="C526" s="102" t="str">
        <x:v>黄金排水道</x:v>
      </x:c>
      <x:c r="D526" s="102" t="n">
        <x:v>2</x:v>
      </x:c>
      <x:c r="E526" s="102" t="str">
        <x:v>稀有</x:v>
      </x:c>
      <x:c r="F526" s="102" t="str">
        <x:v>逆流剥甲人</x:v>
      </x:c>
      <x:c r="G526" s="102" t="str">
        <x:v>逆流剥甲盾</x:v>
      </x:c>
      <x:c r="H526" s="102" t="str">
        <x:v>盾牌</x:v>
      </x:c>
      <x:c r="I526" s="147" t="n">
        <x:v>300</x:v>
      </x:c>
      <x:c r="J526" s="102" t="str">
        <x:v>否（材料数量固定）</x:v>
      </x:c>
      <x:c r="K526" s="102" t="str">
        <x:v>仅手动分解；默认不勾选；二次确认</x:v>
      </x:c>
      <x:c r="L526" s="103" t="str">
        <x:v>一怪一专属；专属来源跟随本行准确地图号</x:v>
      </x:c>
    </x:row>
    <x:row r="527">
      <x:c r="A527" s="101" t="str">
        <x:v>C10</x:v>
      </x:c>
      <x:c r="B527" s="102" t="str">
        <x:v>王城罗德尔</x:v>
      </x:c>
      <x:c r="C527" s="102" t="str">
        <x:v>黄金排水道</x:v>
      </x:c>
      <x:c r="D527" s="102" t="n">
        <x:v>2</x:v>
      </x:c>
      <x:c r="E527" s="102" t="str">
        <x:v>稀有</x:v>
      </x:c>
      <x:c r="F527" s="102" t="str">
        <x:v>七孔哀笛客</x:v>
      </x:c>
      <x:c r="G527" s="102" t="str">
        <x:v>七孔哀笛戒</x:v>
      </x:c>
      <x:c r="H527" s="102" t="str">
        <x:v>戒指</x:v>
      </x:c>
      <x:c r="I527" s="147" t="n">
        <x:v>300</x:v>
      </x:c>
      <x:c r="J527" s="102" t="str">
        <x:v>否（材料数量固定）</x:v>
      </x:c>
      <x:c r="K527" s="102" t="str">
        <x:v>仅手动分解；默认不勾选；二次确认</x:v>
      </x:c>
      <x:c r="L527" s="103" t="str">
        <x:v>一怪一专属；专属来源跟随本行准确地图号</x:v>
      </x:c>
    </x:row>
    <x:row r="528">
      <x:c r="A528" s="101" t="str">
        <x:v>C10</x:v>
      </x:c>
      <x:c r="B528" s="102" t="str">
        <x:v>王城罗德尔</x:v>
      </x:c>
      <x:c r="C528" s="102" t="str">
        <x:v>黄金排水道</x:v>
      </x:c>
      <x:c r="D528" s="102" t="n">
        <x:v>3</x:v>
      </x:c>
      <x:c r="E528" s="102" t="str">
        <x:v>稀有</x:v>
      </x:c>
      <x:c r="F528" s="102" t="str">
        <x:v>沸淤校阀官</x:v>
      </x:c>
      <x:c r="G528" s="102" t="str">
        <x:v>沸淤校阀章</x:v>
      </x:c>
      <x:c r="H528" s="102" t="str">
        <x:v>勋章</x:v>
      </x:c>
      <x:c r="I528" s="147" t="n">
        <x:v>300</x:v>
      </x:c>
      <x:c r="J528" s="102" t="str">
        <x:v>否（材料数量固定）</x:v>
      </x:c>
      <x:c r="K528" s="102" t="str">
        <x:v>仅手动分解；默认不勾选；二次确认</x:v>
      </x:c>
      <x:c r="L528" s="103" t="str">
        <x:v>一怪一专属；专属来源跟随本行准确地图号</x:v>
      </x:c>
    </x:row>
    <x:row r="529">
      <x:c r="A529" s="101" t="str">
        <x:v>C10</x:v>
      </x:c>
      <x:c r="B529" s="102" t="str">
        <x:v>王城罗德尔</x:v>
      </x:c>
      <x:c r="C529" s="102" t="str">
        <x:v>黄金排水道</x:v>
      </x:c>
      <x:c r="D529" s="102" t="n">
        <x:v>2</x:v>
      </x:c>
      <x:c r="E529" s="102" t="str">
        <x:v>地图BOSS</x:v>
      </x:c>
      <x:c r="F529" s="102" t="str">
        <x:v>百喉回廊吞声兽</x:v>
      </x:c>
      <x:c r="G529" s="102" t="str">
        <x:v>百喉闭音斗笠</x:v>
      </x:c>
      <x:c r="H529" s="102" t="str">
        <x:v>斗笠</x:v>
      </x:c>
      <x:c r="I529" s="147" t="n">
        <x:v>600</x:v>
      </x:c>
      <x:c r="J529" s="102" t="str">
        <x:v>否（材料数量固定）</x:v>
      </x:c>
      <x:c r="K529" s="102" t="str">
        <x:v>仅手动分解；默认不勾选；二次确认</x:v>
      </x:c>
      <x:c r="L529" s="103" t="str">
        <x:v>一怪一专属；专属来源跟随本行准确地图号</x:v>
      </x:c>
    </x:row>
    <x:row r="530">
      <x:c r="A530" s="101" t="str">
        <x:v>C10</x:v>
      </x:c>
      <x:c r="B530" s="102" t="str">
        <x:v>王城罗德尔</x:v>
      </x:c>
      <x:c r="C530" s="102" t="str">
        <x:v>黄金排水道</x:v>
      </x:c>
      <x:c r="D530" s="102" t="n">
        <x:v>3</x:v>
      </x:c>
      <x:c r="E530" s="102" t="str">
        <x:v>地图BOSS</x:v>
      </x:c>
      <x:c r="F530" s="102" t="str">
        <x:v>鎏污大司闸</x:v>
      </x:c>
      <x:c r="G530" s="102" t="str">
        <x:v>鎏污司闸战袍</x:v>
      </x:c>
      <x:c r="H530" s="102" t="str">
        <x:v>衣服</x:v>
      </x:c>
      <x:c r="I530" s="147" t="n">
        <x:v>600</x:v>
      </x:c>
      <x:c r="J530" s="102" t="str">
        <x:v>否（材料数量固定）</x:v>
      </x:c>
      <x:c r="K530" s="102" t="str">
        <x:v>仅手动分解；默认不勾选；二次确认</x:v>
      </x:c>
      <x:c r="L530" s="103" t="str">
        <x:v>一怪一专属；专属来源跟随本行准确地图号</x:v>
      </x:c>
    </x:row>
    <x:row r="531">
      <x:c r="A531" s="101" t="str">
        <x:v>C10</x:v>
      </x:c>
      <x:c r="B531" s="102" t="str">
        <x:v>王城罗德尔</x:v>
      </x:c>
      <x:c r="C531" s="102" t="str">
        <x:v>王城矿井</x:v>
      </x:c>
      <x:c r="D531" s="102" t="n">
        <x:v>1</x:v>
      </x:c>
      <x:c r="E531" s="102" t="str">
        <x:v>普通</x:v>
      </x:c>
      <x:c r="F531" s="102" t="str">
        <x:v>金脉铲痕奴</x:v>
      </x:c>
      <x:c r="G531" s="102" t="str">
        <x:v>铲痕护矿盔</x:v>
      </x:c>
      <x:c r="H531" s="102" t="str">
        <x:v>头盔</x:v>
      </x:c>
      <x:c r="I531" s="147" t="n">
        <x:v>150</x:v>
      </x:c>
      <x:c r="J531" s="102" t="str">
        <x:v>否（材料数量固定）</x:v>
      </x:c>
      <x:c r="K531" s="102" t="str">
        <x:v>仅手动分解；默认不勾选；二次确认</x:v>
      </x:c>
      <x:c r="L531" s="103" t="str">
        <x:v>一怪一专属；专属来源跟随本行准确地图号</x:v>
      </x:c>
    </x:row>
    <x:row r="532">
      <x:c r="A532" s="101" t="str">
        <x:v>C10</x:v>
      </x:c>
      <x:c r="B532" s="102" t="str">
        <x:v>王城罗德尔</x:v>
      </x:c>
      <x:c r="C532" s="102" t="str">
        <x:v>王城矿井</x:v>
      </x:c>
      <x:c r="D532" s="102" t="n">
        <x:v>1</x:v>
      </x:c>
      <x:c r="E532" s="102" t="str">
        <x:v>普通</x:v>
      </x:c>
      <x:c r="F532" s="102" t="str">
        <x:v>王矿负灯鼹</x:v>
      </x:c>
      <x:c r="G532" s="102" t="str">
        <x:v>负灯探脉靴</x:v>
      </x:c>
      <x:c r="H532" s="102" t="str">
        <x:v>鞋子</x:v>
      </x:c>
      <x:c r="I532" s="147" t="n">
        <x:v>150</x:v>
      </x:c>
      <x:c r="J532" s="102" t="str">
        <x:v>否（材料数量固定）</x:v>
      </x:c>
      <x:c r="K532" s="102" t="str">
        <x:v>仅手动分解；默认不勾选；二次确认</x:v>
      </x:c>
      <x:c r="L532" s="103" t="str">
        <x:v>一怪一专属；专属来源跟随本行准确地图号</x:v>
      </x:c>
    </x:row>
    <x:row r="533">
      <x:c r="A533" s="101" t="str">
        <x:v>C10</x:v>
      </x:c>
      <x:c r="B533" s="102" t="str">
        <x:v>王城罗德尔</x:v>
      </x:c>
      <x:c r="C533" s="102" t="str">
        <x:v>王城矿井</x:v>
      </x:c>
      <x:c r="D533" s="102" t="n">
        <x:v>2</x:v>
      </x:c>
      <x:c r="E533" s="102" t="str">
        <x:v>普通</x:v>
      </x:c>
      <x:c r="F533" s="102" t="str">
        <x:v>崩轨拖链卒</x:v>
      </x:c>
      <x:c r="G533" s="102" t="str">
        <x:v>崩轨拖链盾</x:v>
      </x:c>
      <x:c r="H533" s="102" t="str">
        <x:v>盾牌</x:v>
      </x:c>
      <x:c r="I533" s="147" t="n">
        <x:v>150</x:v>
      </x:c>
      <x:c r="J533" s="102" t="str">
        <x:v>否（材料数量固定）</x:v>
      </x:c>
      <x:c r="K533" s="102" t="str">
        <x:v>仅手动分解；默认不勾选；二次确认</x:v>
      </x:c>
      <x:c r="L533" s="103" t="str">
        <x:v>一怪一专属；专属来源跟随本行准确地图号</x:v>
      </x:c>
    </x:row>
    <x:row r="534">
      <x:c r="A534" s="101" t="str">
        <x:v>C10</x:v>
      </x:c>
      <x:c r="B534" s="102" t="str">
        <x:v>王城罗德尔</x:v>
      </x:c>
      <x:c r="C534" s="102" t="str">
        <x:v>王城矿井</x:v>
      </x:c>
      <x:c r="D534" s="102" t="n">
        <x:v>3</x:v>
      </x:c>
      <x:c r="E534" s="102" t="str">
        <x:v>普通</x:v>
      </x:c>
      <x:c r="F534" s="102" t="str">
        <x:v>冷砧铆甲匠</x:v>
      </x:c>
      <x:c r="G534" s="102" t="str">
        <x:v>冷砧铆甲衣</x:v>
      </x:c>
      <x:c r="H534" s="102" t="str">
        <x:v>衣服</x:v>
      </x:c>
      <x:c r="I534" s="147" t="n">
        <x:v>150</x:v>
      </x:c>
      <x:c r="J534" s="102" t="str">
        <x:v>否（材料数量固定）</x:v>
      </x:c>
      <x:c r="K534" s="102" t="str">
        <x:v>仅手动分解；默认不勾选；二次确认</x:v>
      </x:c>
      <x:c r="L534" s="103" t="str">
        <x:v>一怪一专属；专属来源跟随本行准确地图号</x:v>
      </x:c>
    </x:row>
    <x:row r="535">
      <x:c r="A535" s="101" t="str">
        <x:v>C10</x:v>
      </x:c>
      <x:c r="B535" s="102" t="str">
        <x:v>王城罗德尔</x:v>
      </x:c>
      <x:c r="C535" s="102" t="str">
        <x:v>王城矿井</x:v>
      </x:c>
      <x:c r="D535" s="102" t="n">
        <x:v>4</x:v>
      </x:c>
      <x:c r="E535" s="102" t="str">
        <x:v>普通</x:v>
      </x:c>
      <x:c r="F535" s="102" t="str">
        <x:v>裂晶钻颚兽</x:v>
      </x:c>
      <x:c r="G535" s="102" t="str">
        <x:v>裂晶钻颚刃</x:v>
      </x:c>
      <x:c r="H535" s="102" t="str">
        <x:v>武器</x:v>
      </x:c>
      <x:c r="I535" s="147" t="n">
        <x:v>150</x:v>
      </x:c>
      <x:c r="J535" s="102" t="str">
        <x:v>否（材料数量固定）</x:v>
      </x:c>
      <x:c r="K535" s="102" t="str">
        <x:v>仅手动分解；默认不勾选；二次确认</x:v>
      </x:c>
      <x:c r="L535" s="103" t="str">
        <x:v>一怪一专属；专属来源跟随本行准确地图号</x:v>
      </x:c>
    </x:row>
    <x:row r="536">
      <x:c r="A536" s="101" t="str">
        <x:v>C10</x:v>
      </x:c>
      <x:c r="B536" s="102" t="str">
        <x:v>王城罗德尔</x:v>
      </x:c>
      <x:c r="C536" s="102" t="str">
        <x:v>王城矿井</x:v>
      </x:c>
      <x:c r="D536" s="102" t="n">
        <x:v>5</x:v>
      </x:c>
      <x:c r="E536" s="102" t="str">
        <x:v>普通</x:v>
      </x:c>
      <x:c r="F536" s="102" t="str">
        <x:v>矿脉听金虫</x:v>
      </x:c>
      <x:c r="G536" s="102" t="str">
        <x:v>听金矿纹坠</x:v>
      </x:c>
      <x:c r="H536" s="102" t="str">
        <x:v>项链</x:v>
      </x:c>
      <x:c r="I536" s="147" t="n">
        <x:v>150</x:v>
      </x:c>
      <x:c r="J536" s="102" t="str">
        <x:v>否（材料数量固定）</x:v>
      </x:c>
      <x:c r="K536" s="102" t="str">
        <x:v>仅手动分解；默认不勾选；二次确认</x:v>
      </x:c>
      <x:c r="L536" s="103" t="str">
        <x:v>一怪一专属；专属来源跟随本行准确地图号</x:v>
      </x:c>
    </x:row>
    <x:row r="537">
      <x:c r="A537" s="101" t="str">
        <x:v>C10</x:v>
      </x:c>
      <x:c r="B537" s="102" t="str">
        <x:v>王城罗德尔</x:v>
      </x:c>
      <x:c r="C537" s="102" t="str">
        <x:v>王城矿井</x:v>
      </x:c>
      <x:c r="D537" s="102" t="n">
        <x:v>1</x:v>
      </x:c>
      <x:c r="E537" s="102" t="str">
        <x:v>稀有</x:v>
      </x:c>
      <x:c r="F537" s="102" t="str">
        <x:v>监坑鎏面骑</x:v>
      </x:c>
      <x:c r="G537" s="102" t="str">
        <x:v>鎏面监坑腰封</x:v>
      </x:c>
      <x:c r="H537" s="102" t="str">
        <x:v>腰带</x:v>
      </x:c>
      <x:c r="I537" s="147" t="n">
        <x:v>300</x:v>
      </x:c>
      <x:c r="J537" s="102" t="str">
        <x:v>否（材料数量固定）</x:v>
      </x:c>
      <x:c r="K537" s="102" t="str">
        <x:v>仅手动分解；默认不勾选；二次确认</x:v>
      </x:c>
      <x:c r="L537" s="103" t="str">
        <x:v>一怪一专属；专属来源跟随本行准确地图号</x:v>
      </x:c>
    </x:row>
    <x:row r="538">
      <x:c r="A538" s="101" t="str">
        <x:v>C10</x:v>
      </x:c>
      <x:c r="B538" s="102" t="str">
        <x:v>王城罗德尔</x:v>
      </x:c>
      <x:c r="C538" s="102" t="str">
        <x:v>王城矿井</x:v>
      </x:c>
      <x:c r="D538" s="102" t="n">
        <x:v>3</x:v>
      </x:c>
      <x:c r="E538" s="102" t="str">
        <x:v>稀有</x:v>
      </x:c>
      <x:c r="F538" s="102" t="str">
        <x:v>空炉吐渣鬼</x:v>
      </x:c>
      <x:c r="G538" s="102" t="str">
        <x:v>空炉渣火镯</x:v>
      </x:c>
      <x:c r="H538" s="102" t="str">
        <x:v>手镯</x:v>
      </x:c>
      <x:c r="I538" s="147" t="n">
        <x:v>300</x:v>
      </x:c>
      <x:c r="J538" s="102" t="str">
        <x:v>否（材料数量固定）</x:v>
      </x:c>
      <x:c r="K538" s="102" t="str">
        <x:v>仅手动分解；默认不勾选；二次确认</x:v>
      </x:c>
      <x:c r="L538" s="103" t="str">
        <x:v>一怪一专属；专属来源跟随本行准确地图号</x:v>
      </x:c>
    </x:row>
    <x:row r="539">
      <x:c r="A539" s="101" t="str">
        <x:v>C10</x:v>
      </x:c>
      <x:c r="B539" s="102" t="str">
        <x:v>王城罗德尔</x:v>
      </x:c>
      <x:c r="C539" s="102" t="str">
        <x:v>王城矿井</x:v>
      </x:c>
      <x:c r="D539" s="102" t="n">
        <x:v>4</x:v>
      </x:c>
      <x:c r="E539" s="102" t="str">
        <x:v>稀有</x:v>
      </x:c>
      <x:c r="F539" s="102" t="str">
        <x:v>黑晶凿梦师</x:v>
      </x:c>
      <x:c r="G539" s="102" t="str">
        <x:v>黑晶凿梦戒</x:v>
      </x:c>
      <x:c r="H539" s="102" t="str">
        <x:v>戒指</x:v>
      </x:c>
      <x:c r="I539" s="147" t="n">
        <x:v>300</x:v>
      </x:c>
      <x:c r="J539" s="102" t="str">
        <x:v>否（材料数量固定）</x:v>
      </x:c>
      <x:c r="K539" s="102" t="str">
        <x:v>仅手动分解；默认不勾选；二次确认</x:v>
      </x:c>
      <x:c r="L539" s="103" t="str">
        <x:v>一怪一专属；专属来源跟随本行准确地图号</x:v>
      </x:c>
    </x:row>
    <x:row r="540">
      <x:c r="A540" s="101" t="str">
        <x:v>C10</x:v>
      </x:c>
      <x:c r="B540" s="102" t="str">
        <x:v>王城罗德尔</x:v>
      </x:c>
      <x:c r="C540" s="102" t="str">
        <x:v>王城矿井</x:v>
      </x:c>
      <x:c r="D540" s="102" t="n">
        <x:v>5</x:v>
      </x:c>
      <x:c r="E540" s="102" t="str">
        <x:v>稀有</x:v>
      </x:c>
      <x:c r="F540" s="102" t="str">
        <x:v>王脉封勘使</x:v>
      </x:c>
      <x:c r="G540" s="102" t="str">
        <x:v>封勘金衡章</x:v>
      </x:c>
      <x:c r="H540" s="102" t="str">
        <x:v>勋章</x:v>
      </x:c>
      <x:c r="I540" s="147" t="n">
        <x:v>300</x:v>
      </x:c>
      <x:c r="J540" s="102" t="str">
        <x:v>否（材料数量固定）</x:v>
      </x:c>
      <x:c r="K540" s="102" t="str">
        <x:v>仅手动分解；默认不勾选；二次确认</x:v>
      </x:c>
      <x:c r="L540" s="103" t="str">
        <x:v>一怪一专属；专属来源跟随本行准确地图号</x:v>
      </x:c>
    </x:row>
    <x:row r="541">
      <x:c r="A541" s="101" t="str">
        <x:v>C10</x:v>
      </x:c>
      <x:c r="B541" s="102" t="str">
        <x:v>王城罗德尔</x:v>
      </x:c>
      <x:c r="C541" s="102" t="str">
        <x:v>王城矿井</x:v>
      </x:c>
      <x:c r="D541" s="102" t="n">
        <x:v>4</x:v>
      </x:c>
      <x:c r="E541" s="102" t="str">
        <x:v>地图BOSS</x:v>
      </x:c>
      <x:c r="F541" s="102" t="str">
        <x:v>深井百臂掘王</x:v>
      </x:c>
      <x:c r="G541" s="102" t="str">
        <x:v>深井百臂灯笠</x:v>
      </x:c>
      <x:c r="H541" s="102" t="str">
        <x:v>斗笠</x:v>
      </x:c>
      <x:c r="I541" s="147" t="n">
        <x:v>600</x:v>
      </x:c>
      <x:c r="J541" s="102" t="str">
        <x:v>否（材料数量固定）</x:v>
      </x:c>
      <x:c r="K541" s="102" t="str">
        <x:v>仅手动分解；默认不勾选；二次确认</x:v>
      </x:c>
      <x:c r="L541" s="103" t="str">
        <x:v>一怪一专属；专属来源跟随本行准确地图号</x:v>
      </x:c>
    </x:row>
    <x:row r="542">
      <x:c r="A542" s="101" t="str">
        <x:v>C10</x:v>
      </x:c>
      <x:c r="B542" s="102" t="str">
        <x:v>王城罗德尔</x:v>
      </x:c>
      <x:c r="C542" s="102" t="str">
        <x:v>王城矿井</x:v>
      </x:c>
      <x:c r="D542" s="102" t="n">
        <x:v>5</x:v>
      </x:c>
      <x:c r="E542" s="102" t="str">
        <x:v>地图BOSS</x:v>
      </x:c>
      <x:c r="F542" s="102" t="str">
        <x:v>地脉熔冠巨像</x:v>
      </x:c>
      <x:c r="G542" s="102" t="str">
        <x:v>熔冠镇脉巨锤</x:v>
      </x:c>
      <x:c r="H542" s="102" t="str">
        <x:v>武器</x:v>
      </x:c>
      <x:c r="I542" s="147" t="n">
        <x:v>600</x:v>
      </x:c>
      <x:c r="J542" s="102" t="str">
        <x:v>否（材料数量固定）</x:v>
      </x:c>
      <x:c r="K542" s="102" t="str">
        <x:v>仅手动分解；默认不勾选；二次确认</x:v>
      </x:c>
      <x:c r="L542" s="103" t="str">
        <x:v>一怪一专属；专属来源跟随本行准确地图号</x:v>
      </x:c>
    </x:row>
    <x:row r="543">
      <x:c r="A543" s="101" t="str">
        <x:v>C10</x:v>
      </x:c>
      <x:c r="B543" s="102" t="str">
        <x:v>王城罗德尔</x:v>
      </x:c>
      <x:c r="C543" s="102" t="str">
        <x:v>王城地穴</x:v>
      </x:c>
      <x:c r="D543" s="102" t="n">
        <x:v>1</x:v>
      </x:c>
      <x:c r="E543" s="102" t="str">
        <x:v>普通</x:v>
      </x:c>
      <x:c r="F543" s="102" t="str">
        <x:v>石棺刮蜡侍</x:v>
      </x:c>
      <x:c r="G543" s="102" t="str">
        <x:v>刮蜡墓烛匕</x:v>
      </x:c>
      <x:c r="H543" s="102" t="str">
        <x:v>武器</x:v>
      </x:c>
      <x:c r="I543" s="147" t="n">
        <x:v>150</x:v>
      </x:c>
      <x:c r="J543" s="102" t="str">
        <x:v>否（材料数量固定）</x:v>
      </x:c>
      <x:c r="K543" s="102" t="str">
        <x:v>仅手动分解；默认不勾选；二次确认</x:v>
      </x:c>
      <x:c r="L543" s="103" t="str">
        <x:v>一怪一专属；专属来源跟随本行准确地图号</x:v>
      </x:c>
    </x:row>
    <x:row r="544">
      <x:c r="A544" s="101" t="str">
        <x:v>C10</x:v>
      </x:c>
      <x:c r="B544" s="102" t="str">
        <x:v>王城罗德尔</x:v>
      </x:c>
      <x:c r="C544" s="102" t="str">
        <x:v>王城地穴</x:v>
      </x:c>
      <x:c r="D544" s="102" t="n">
        <x:v>1</x:v>
      </x:c>
      <x:c r="E544" s="102" t="str">
        <x:v>普通</x:v>
      </x:c>
      <x:c r="F544" s="102" t="str">
        <x:v>眠碑缝尸媪</x:v>
      </x:c>
      <x:c r="G544" s="102" t="str">
        <x:v>眠碑缝尸衣</x:v>
      </x:c>
      <x:c r="H544" s="102" t="str">
        <x:v>衣服</x:v>
      </x:c>
      <x:c r="I544" s="147" t="n">
        <x:v>150</x:v>
      </x:c>
      <x:c r="J544" s="102" t="str">
        <x:v>否（材料数量固定）</x:v>
      </x:c>
      <x:c r="K544" s="102" t="str">
        <x:v>仅手动分解；默认不勾选；二次确认</x:v>
      </x:c>
      <x:c r="L544" s="103" t="str">
        <x:v>一怪一专属；专属来源跟随本行准确地图号</x:v>
      </x:c>
    </x:row>
    <x:row r="545">
      <x:c r="A545" s="101" t="str">
        <x:v>C10</x:v>
      </x:c>
      <x:c r="B545" s="102" t="str">
        <x:v>王城罗德尔</x:v>
      </x:c>
      <x:c r="C545" s="102" t="str">
        <x:v>王城地穴</x:v>
      </x:c>
      <x:c r="D545" s="102" t="n">
        <x:v>2</x:v>
      </x:c>
      <x:c r="E545" s="102" t="str">
        <x:v>普通</x:v>
      </x:c>
      <x:c r="F545" s="102" t="str">
        <x:v>墓王执幡骨卫</x:v>
      </x:c>
      <x:c r="G545" s="102" t="str">
        <x:v>执幡骨纹盔</x:v>
      </x:c>
      <x:c r="H545" s="102" t="str">
        <x:v>头盔</x:v>
      </x:c>
      <x:c r="I545" s="147" t="n">
        <x:v>150</x:v>
      </x:c>
      <x:c r="J545" s="102" t="str">
        <x:v>否（材料数量固定）</x:v>
      </x:c>
      <x:c r="K545" s="102" t="str">
        <x:v>仅手动分解；默认不勾选；二次确认</x:v>
      </x:c>
      <x:c r="L545" s="103" t="str">
        <x:v>一怪一专属；专属来源跟随本行准确地图号</x:v>
      </x:c>
    </x:row>
    <x:row r="546">
      <x:c r="A546" s="101" t="str">
        <x:v>C10</x:v>
      </x:c>
      <x:c r="B546" s="102" t="str">
        <x:v>王城罗德尔</x:v>
      </x:c>
      <x:c r="C546" s="102" t="str">
        <x:v>王城地穴</x:v>
      </x:c>
      <x:c r="D546" s="102" t="n">
        <x:v>2</x:v>
      </x:c>
      <x:c r="E546" s="102" t="str">
        <x:v>普通</x:v>
      </x:c>
      <x:c r="F546" s="102" t="str">
        <x:v>甬道噤歌蛾</x:v>
      </x:c>
      <x:c r="G546" s="102" t="str">
        <x:v>噤歌幽绡坠</x:v>
      </x:c>
      <x:c r="H546" s="102" t="str">
        <x:v>项链</x:v>
      </x:c>
      <x:c r="I546" s="147" t="n">
        <x:v>150</x:v>
      </x:c>
      <x:c r="J546" s="102" t="str">
        <x:v>否（材料数量固定）</x:v>
      </x:c>
      <x:c r="K546" s="102" t="str">
        <x:v>仅手动分解；默认不勾选；二次确认</x:v>
      </x:c>
      <x:c r="L546" s="103" t="str">
        <x:v>一怪一专属；专属来源跟随本行准确地图号</x:v>
      </x:c>
    </x:row>
    <x:row r="547">
      <x:c r="A547" s="101" t="str">
        <x:v>C10</x:v>
      </x:c>
      <x:c r="B547" s="102" t="str">
        <x:v>王城罗德尔</x:v>
      </x:c>
      <x:c r="C547" s="102" t="str">
        <x:v>王城地穴</x:v>
      </x:c>
      <x:c r="D547" s="102" t="n">
        <x:v>3</x:v>
      </x:c>
      <x:c r="E547" s="102" t="str">
        <x:v>普通</x:v>
      </x:c>
      <x:c r="F547" s="102" t="str">
        <x:v>寝室抱瓮童</x:v>
      </x:c>
      <x:c r="G547" s="102" t="str">
        <x:v>抱瓮缚灵镯</x:v>
      </x:c>
      <x:c r="H547" s="102" t="str">
        <x:v>手镯</x:v>
      </x:c>
      <x:c r="I547" s="147" t="n">
        <x:v>150</x:v>
      </x:c>
      <x:c r="J547" s="102" t="str">
        <x:v>否（材料数量固定）</x:v>
      </x:c>
      <x:c r="K547" s="102" t="str">
        <x:v>仅手动分解；默认不勾选；二次确认</x:v>
      </x:c>
      <x:c r="L547" s="103" t="str">
        <x:v>一怪一专属；专属来源跟随本行准确地图号</x:v>
      </x:c>
    </x:row>
    <x:row r="548">
      <x:c r="A548" s="101" t="str">
        <x:v>C10</x:v>
      </x:c>
      <x:c r="B548" s="102" t="str">
        <x:v>王城罗德尔</x:v>
      </x:c>
      <x:c r="C548" s="102" t="str">
        <x:v>王城地穴</x:v>
      </x:c>
      <x:c r="D548" s="102" t="n">
        <x:v>3</x:v>
      </x:c>
      <x:c r="E548" s="102" t="str">
        <x:v>普通</x:v>
      </x:c>
      <x:c r="F548" s="102" t="str">
        <x:v>枕陵掘指尸</x:v>
      </x:c>
      <x:c r="G548" s="102" t="str">
        <x:v>枕陵掘痕靴</x:v>
      </x:c>
      <x:c r="H548" s="102" t="str">
        <x:v>鞋子</x:v>
      </x:c>
      <x:c r="I548" s="147" t="n">
        <x:v>150</x:v>
      </x:c>
      <x:c r="J548" s="102" t="str">
        <x:v>否（材料数量固定）</x:v>
      </x:c>
      <x:c r="K548" s="102" t="str">
        <x:v>仅手动分解；默认不勾选；二次确认</x:v>
      </x:c>
      <x:c r="L548" s="103" t="str">
        <x:v>一怪一专属；专属来源跟随本行准确地图号</x:v>
      </x:c>
    </x:row>
    <x:row r="549">
      <x:c r="A549" s="101" t="str">
        <x:v>C10</x:v>
      </x:c>
      <x:c r="B549" s="102" t="str">
        <x:v>王城罗德尔</x:v>
      </x:c>
      <x:c r="C549" s="102" t="str">
        <x:v>王城地穴</x:v>
      </x:c>
      <x:c r="D549" s="102" t="n">
        <x:v>1</x:v>
      </x:c>
      <x:c r="E549" s="102" t="str">
        <x:v>稀有</x:v>
      </x:c>
      <x:c r="F549" s="102" t="str">
        <x:v>无烛守丧女</x:v>
      </x:c>
      <x:c r="G549" s="102" t="str">
        <x:v>无烛哀誓戒</x:v>
      </x:c>
      <x:c r="H549" s="102" t="str">
        <x:v>戒指</x:v>
      </x:c>
      <x:c r="I549" s="147" t="n">
        <x:v>300</x:v>
      </x:c>
      <x:c r="J549" s="102" t="str">
        <x:v>否（材料数量固定）</x:v>
      </x:c>
      <x:c r="K549" s="102" t="str">
        <x:v>仅手动分解；默认不勾选；二次确认</x:v>
      </x:c>
      <x:c r="L549" s="103" t="str">
        <x:v>一怪一专属；专属来源跟随本行准确地图号</x:v>
      </x:c>
    </x:row>
    <x:row r="550">
      <x:c r="A550" s="101" t="str">
        <x:v>C10</x:v>
      </x:c>
      <x:c r="B550" s="102" t="str">
        <x:v>王城罗德尔</x:v>
      </x:c>
      <x:c r="C550" s="102" t="str">
        <x:v>王城地穴</x:v>
      </x:c>
      <x:c r="D550" s="102" t="n">
        <x:v>2</x:v>
      </x:c>
      <x:c r="E550" s="102" t="str">
        <x:v>稀有</x:v>
      </x:c>
      <x:c r="F550" s="102" t="str">
        <x:v>断碑驮棺兽</x:v>
      </x:c>
      <x:c r="G550" s="102" t="str">
        <x:v>断碑驮棺带</x:v>
      </x:c>
      <x:c r="H550" s="102" t="str">
        <x:v>腰带</x:v>
      </x:c>
      <x:c r="I550" s="147" t="n">
        <x:v>300</x:v>
      </x:c>
      <x:c r="J550" s="102" t="str">
        <x:v>否（材料数量固定）</x:v>
      </x:c>
      <x:c r="K550" s="102" t="str">
        <x:v>仅手动分解；默认不勾选；二次确认</x:v>
      </x:c>
      <x:c r="L550" s="103" t="str">
        <x:v>一怪一专属；专属来源跟随本行准确地图号</x:v>
      </x:c>
    </x:row>
    <x:row r="551">
      <x:c r="A551" s="101" t="str">
        <x:v>C10</x:v>
      </x:c>
      <x:c r="B551" s="102" t="str">
        <x:v>王城罗德尔</x:v>
      </x:c>
      <x:c r="C551" s="102" t="str">
        <x:v>王城地穴</x:v>
      </x:c>
      <x:c r="D551" s="102" t="n">
        <x:v>2</x:v>
      </x:c>
      <x:c r="E551" s="102" t="str">
        <x:v>稀有</x:v>
      </x:c>
      <x:c r="F551" s="102" t="str">
        <x:v>王甬秤罪官</x:v>
      </x:c>
      <x:c r="G551" s="102" t="str">
        <x:v>秤罪墓律章</x:v>
      </x:c>
      <x:c r="H551" s="102" t="str">
        <x:v>勋章</x:v>
      </x:c>
      <x:c r="I551" s="147" t="n">
        <x:v>300</x:v>
      </x:c>
      <x:c r="J551" s="102" t="str">
        <x:v>否（材料数量固定）</x:v>
      </x:c>
      <x:c r="K551" s="102" t="str">
        <x:v>仅手动分解；默认不勾选；二次确认</x:v>
      </x:c>
      <x:c r="L551" s="103" t="str">
        <x:v>一怪一专属；专属来源跟随本行准确地图号</x:v>
      </x:c>
    </x:row>
    <x:row r="552">
      <x:c r="A552" s="101" t="str">
        <x:v>C10</x:v>
      </x:c>
      <x:c r="B552" s="102" t="str">
        <x:v>王城罗德尔</x:v>
      </x:c>
      <x:c r="C552" s="102" t="str">
        <x:v>王城地穴</x:v>
      </x:c>
      <x:c r="D552" s="102" t="n">
        <x:v>3</x:v>
      </x:c>
      <x:c r="E552" s="102" t="str">
        <x:v>稀有</x:v>
      </x:c>
      <x:c r="F552" s="102" t="str">
        <x:v>寝门返魂甲</x:v>
      </x:c>
      <x:c r="G552" s="102" t="str">
        <x:v>返魂寝门盾</x:v>
      </x:c>
      <x:c r="H552" s="102" t="str">
        <x:v>盾牌</x:v>
      </x:c>
      <x:c r="I552" s="147" t="n">
        <x:v>300</x:v>
      </x:c>
      <x:c r="J552" s="102" t="str">
        <x:v>否（材料数量固定）</x:v>
      </x:c>
      <x:c r="K552" s="102" t="str">
        <x:v>仅手动分解；默认不勾选；二次确认</x:v>
      </x:c>
      <x:c r="L552" s="103" t="str">
        <x:v>一怪一专属；专属来源跟随本行准确地图号</x:v>
      </x:c>
    </x:row>
    <x:row r="553">
      <x:c r="A553" s="101" t="str">
        <x:v>C10</x:v>
      </x:c>
      <x:c r="B553" s="102" t="str">
        <x:v>王城罗德尔</x:v>
      </x:c>
      <x:c r="C553" s="102" t="str">
        <x:v>王城地穴</x:v>
      </x:c>
      <x:c r="D553" s="102" t="n">
        <x:v>2</x:v>
      </x:c>
      <x:c r="E553" s="102" t="str">
        <x:v>地图BOSS</x:v>
      </x:c>
      <x:c r="F553" s="102" t="str">
        <x:v>不葬的甬道王妃</x:v>
      </x:c>
      <x:c r="G553" s="102" t="str">
        <x:v>不葬王妃冥笠</x:v>
      </x:c>
      <x:c r="H553" s="102" t="str">
        <x:v>斗笠</x:v>
      </x:c>
      <x:c r="I553" s="147" t="n">
        <x:v>600</x:v>
      </x:c>
      <x:c r="J553" s="102" t="str">
        <x:v>否（材料数量固定）</x:v>
      </x:c>
      <x:c r="K553" s="102" t="str">
        <x:v>仅手动分解；默认不勾选；二次确认</x:v>
      </x:c>
      <x:c r="L553" s="103" t="str">
        <x:v>一怪一专属；专属来源跟随本行准确地图号</x:v>
      </x:c>
    </x:row>
    <x:row r="554">
      <x:c r="A554" s="101" t="str">
        <x:v>C10</x:v>
      </x:c>
      <x:c r="B554" s="102" t="str">
        <x:v>王城罗德尔</x:v>
      </x:c>
      <x:c r="C554" s="102" t="str">
        <x:v>王城地穴</x:v>
      </x:c>
      <x:c r="D554" s="102" t="n">
        <x:v>3</x:v>
      </x:c>
      <x:c r="E554" s="102" t="str">
        <x:v>地图BOSS</x:v>
      </x:c>
      <x:c r="F554" s="102" t="str">
        <x:v>枯寝吞碑王</x:v>
      </x:c>
      <x:c r="G554" s="102" t="str">
        <x:v>吞碑枯寝大氅</x:v>
      </x:c>
      <x:c r="H554" s="102" t="str">
        <x:v>衣服</x:v>
      </x:c>
      <x:c r="I554" s="147" t="n">
        <x:v>600</x:v>
      </x:c>
      <x:c r="J554" s="102" t="str">
        <x:v>否（材料数量固定）</x:v>
      </x:c>
      <x:c r="K554" s="102" t="str">
        <x:v>仅手动分解；默认不勾选；二次确认</x:v>
      </x:c>
      <x:c r="L554" s="103" t="str">
        <x:v>一怪一专属；专属来源跟随本行准确地图号</x:v>
      </x:c>
    </x:row>
    <x:row r="555">
      <x:c r="A555" s="101" t="str">
        <x:v>C10</x:v>
      </x:c>
      <x:c r="B555" s="102" t="str">
        <x:v>王城罗德尔</x:v>
      </x:c>
      <x:c r="C555" s="102" t="str">
        <x:v>黄金王宫</x:v>
      </x:c>
      <x:c r="D555" s="102" t="n">
        <x:v>1</x:v>
      </x:c>
      <x:c r="E555" s="102" t="str">
        <x:v>普通</x:v>
      </x:c>
      <x:c r="F555" s="102" t="str">
        <x:v>日轮扫阶侍</x:v>
      </x:c>
      <x:c r="G555" s="102" t="str">
        <x:v>扫阶日轮刃</x:v>
      </x:c>
      <x:c r="H555" s="102" t="str">
        <x:v>武器</x:v>
      </x:c>
      <x:c r="I555" s="147" t="n">
        <x:v>150</x:v>
      </x:c>
      <x:c r="J555" s="102" t="str">
        <x:v>否（材料数量固定）</x:v>
      </x:c>
      <x:c r="K555" s="102" t="str">
        <x:v>仅手动分解；默认不勾选；二次确认</x:v>
      </x:c>
      <x:c r="L555" s="103" t="str">
        <x:v>一怪一专属；专属来源跟随本行准确地图号</x:v>
      </x:c>
    </x:row>
    <x:row r="556">
      <x:c r="A556" s="101" t="str">
        <x:v>C10</x:v>
      </x:c>
      <x:c r="B556" s="102" t="str">
        <x:v>王城罗德尔</x:v>
      </x:c>
      <x:c r="C556" s="102" t="str">
        <x:v>黄金王宫</x:v>
      </x:c>
      <x:c r="D556" s="102" t="n">
        <x:v>1</x:v>
      </x:c>
      <x:c r="E556" s="102" t="str">
        <x:v>普通</x:v>
      </x:c>
      <x:c r="F556" s="102" t="str">
        <x:v>金桂驯狮吏</x:v>
      </x:c>
      <x:c r="G556" s="102" t="str">
        <x:v>金桂驯狮腕</x:v>
      </x:c>
      <x:c r="H556" s="102" t="str">
        <x:v>手镯</x:v>
      </x:c>
      <x:c r="I556" s="147" t="n">
        <x:v>150</x:v>
      </x:c>
      <x:c r="J556" s="102" t="str">
        <x:v>否（材料数量固定）</x:v>
      </x:c>
      <x:c r="K556" s="102" t="str">
        <x:v>仅手动分解；默认不勾选；二次确认</x:v>
      </x:c>
      <x:c r="L556" s="103" t="str">
        <x:v>一怪一专属；专属来源跟随本行准确地图号</x:v>
      </x:c>
    </x:row>
    <x:row r="557">
      <x:c r="A557" s="101" t="str">
        <x:v>C10</x:v>
      </x:c>
      <x:c r="B557" s="102" t="str">
        <x:v>王城罗德尔</x:v>
      </x:c>
      <x:c r="C557" s="102" t="str">
        <x:v>黄金王宫</x:v>
      </x:c>
      <x:c r="D557" s="102" t="n">
        <x:v>2</x:v>
      </x:c>
      <x:c r="E557" s="102" t="str">
        <x:v>普通</x:v>
      </x:c>
      <x:c r="F557" s="102" t="str">
        <x:v>垂纱持香女</x:v>
      </x:c>
      <x:c r="G557" s="102" t="str">
        <x:v>垂纱持香衣</x:v>
      </x:c>
      <x:c r="H557" s="102" t="str">
        <x:v>衣服</x:v>
      </x:c>
      <x:c r="I557" s="147" t="n">
        <x:v>150</x:v>
      </x:c>
      <x:c r="J557" s="102" t="str">
        <x:v>否（材料数量固定）</x:v>
      </x:c>
      <x:c r="K557" s="102" t="str">
        <x:v>仅手动分解；默认不勾选；二次确认</x:v>
      </x:c>
      <x:c r="L557" s="103" t="str">
        <x:v>一怪一专属；专属来源跟随本行准确地图号</x:v>
      </x:c>
    </x:row>
    <x:row r="558">
      <x:c r="A558" s="101" t="str">
        <x:v>C10</x:v>
      </x:c>
      <x:c r="B558" s="102" t="str">
        <x:v>王城罗德尔</x:v>
      </x:c>
      <x:c r="C558" s="102" t="str">
        <x:v>黄金王宫</x:v>
      </x:c>
      <x:c r="D558" s="102" t="n">
        <x:v>3</x:v>
      </x:c>
      <x:c r="E558" s="102" t="str">
        <x:v>普通</x:v>
      </x:c>
      <x:c r="F558" s="102" t="str">
        <x:v>律烛诵壁僧</x:v>
      </x:c>
      <x:c r="G558" s="102" t="str">
        <x:v>律烛诵壁冠</x:v>
      </x:c>
      <x:c r="H558" s="102" t="str">
        <x:v>头盔</x:v>
      </x:c>
      <x:c r="I558" s="147" t="n">
        <x:v>150</x:v>
      </x:c>
      <x:c r="J558" s="102" t="str">
        <x:v>否（材料数量固定）</x:v>
      </x:c>
      <x:c r="K558" s="102" t="str">
        <x:v>仅手动分解；默认不勾选；二次确认</x:v>
      </x:c>
      <x:c r="L558" s="103" t="str">
        <x:v>一怪一专属；专属来源跟随本行准确地图号</x:v>
      </x:c>
    </x:row>
    <x:row r="559">
      <x:c r="A559" s="101" t="str">
        <x:v>C10</x:v>
      </x:c>
      <x:c r="B559" s="102" t="str">
        <x:v>王城罗德尔</x:v>
      </x:c>
      <x:c r="C559" s="102" t="str">
        <x:v>黄金王宫</x:v>
      </x:c>
      <x:c r="D559" s="102" t="n">
        <x:v>4</x:v>
      </x:c>
      <x:c r="E559" s="102" t="str">
        <x:v>普通</x:v>
      </x:c>
      <x:c r="F559" s="102" t="str">
        <x:v>前厅捧剑灵</x:v>
      </x:c>
      <x:c r="G559" s="102" t="str">
        <x:v>捧剑护座盾</x:v>
      </x:c>
      <x:c r="H559" s="102" t="str">
        <x:v>盾牌</x:v>
      </x:c>
      <x:c r="I559" s="147" t="n">
        <x:v>150</x:v>
      </x:c>
      <x:c r="J559" s="102" t="str">
        <x:v>否（材料数量固定）</x:v>
      </x:c>
      <x:c r="K559" s="102" t="str">
        <x:v>仅手动分解；默认不勾选；二次确认</x:v>
      </x:c>
      <x:c r="L559" s="103" t="str">
        <x:v>一怪一专属；专属来源跟随本行准确地图号</x:v>
      </x:c>
    </x:row>
    <x:row r="560">
      <x:c r="A560" s="101" t="str">
        <x:v>C10</x:v>
      </x:c>
      <x:c r="B560" s="102" t="str">
        <x:v>王城罗德尔</x:v>
      </x:c>
      <x:c r="C560" s="102" t="str">
        <x:v>黄金王宫</x:v>
      </x:c>
      <x:c r="D560" s="102" t="n">
        <x:v>5</x:v>
      </x:c>
      <x:c r="E560" s="102" t="str">
        <x:v>普通</x:v>
      </x:c>
      <x:c r="F560" s="102" t="str">
        <x:v>王座拾辉甲</x:v>
      </x:c>
      <x:c r="G560" s="102" t="str">
        <x:v>拾辉登阶靴</x:v>
      </x:c>
      <x:c r="H560" s="102" t="str">
        <x:v>鞋子</x:v>
      </x:c>
      <x:c r="I560" s="147" t="n">
        <x:v>150</x:v>
      </x:c>
      <x:c r="J560" s="102" t="str">
        <x:v>否（材料数量固定）</x:v>
      </x:c>
      <x:c r="K560" s="102" t="str">
        <x:v>仅手动分解；默认不勾选；二次确认</x:v>
      </x:c>
      <x:c r="L560" s="103" t="str">
        <x:v>一怪一专属；专属来源跟随本行准确地图号</x:v>
      </x:c>
    </x:row>
    <x:row r="561">
      <x:c r="A561" s="101" t="str">
        <x:v>C10</x:v>
      </x:c>
      <x:c r="B561" s="102" t="str">
        <x:v>王城罗德尔</x:v>
      </x:c>
      <x:c r="C561" s="102" t="str">
        <x:v>黄金王宫</x:v>
      </x:c>
      <x:c r="D561" s="102" t="n">
        <x:v>1</x:v>
      </x:c>
      <x:c r="E561" s="102" t="str">
        <x:v>稀有</x:v>
      </x:c>
      <x:c r="F561" s="102" t="str">
        <x:v>外庭熔桂狮</x:v>
      </x:c>
      <x:c r="G561" s="102" t="str">
        <x:v>熔桂狮鬃坠</x:v>
      </x:c>
      <x:c r="H561" s="102" t="str">
        <x:v>项链</x:v>
      </x:c>
      <x:c r="I561" s="147" t="n">
        <x:v>300</x:v>
      </x:c>
      <x:c r="J561" s="102" t="str">
        <x:v>否（材料数量固定）</x:v>
      </x:c>
      <x:c r="K561" s="102" t="str">
        <x:v>仅手动分解；默认不勾选；二次确认</x:v>
      </x:c>
      <x:c r="L561" s="103" t="str">
        <x:v>一怪一专属；专属来源跟随本行准确地图号</x:v>
      </x:c>
    </x:row>
    <x:row r="562">
      <x:c r="A562" s="101" t="str">
        <x:v>C10</x:v>
      </x:c>
      <x:c r="B562" s="102" t="str">
        <x:v>王城罗德尔</x:v>
      </x:c>
      <x:c r="C562" s="102" t="str">
        <x:v>黄金王宫</x:v>
      </x:c>
      <x:c r="D562" s="102" t="n">
        <x:v>2</x:v>
      </x:c>
      <x:c r="E562" s="102" t="str">
        <x:v>稀有</x:v>
      </x:c>
      <x:c r="F562" s="102" t="str">
        <x:v>内庭七帷掌仪</x:v>
      </x:c>
      <x:c r="G562" s="102" t="str">
        <x:v>七帷掌仪腰封</x:v>
      </x:c>
      <x:c r="H562" s="102" t="str">
        <x:v>腰带</x:v>
      </x:c>
      <x:c r="I562" s="147" t="n">
        <x:v>300</x:v>
      </x:c>
      <x:c r="J562" s="102" t="str">
        <x:v>否（材料数量固定）</x:v>
      </x:c>
      <x:c r="K562" s="102" t="str">
        <x:v>仅手动分解；默认不勾选；二次确认</x:v>
      </x:c>
      <x:c r="L562" s="103" t="str">
        <x:v>一怪一专属；专属来源跟随本行准确地图号</x:v>
      </x:c>
    </x:row>
    <x:row r="563">
      <x:c r="A563" s="101" t="str">
        <x:v>C10</x:v>
      </x:c>
      <x:c r="B563" s="102" t="str">
        <x:v>王城罗德尔</x:v>
      </x:c>
      <x:c r="C563" s="102" t="str">
        <x:v>黄金王宫</x:v>
      </x:c>
      <x:c r="D563" s="102" t="n">
        <x:v>3</x:v>
      </x:c>
      <x:c r="E563" s="102" t="str">
        <x:v>稀有</x:v>
      </x:c>
      <x:c r="F563" s="102" t="str">
        <x:v>深殿缄律书记</x:v>
      </x:c>
      <x:c r="G563" s="102" t="str">
        <x:v>缄律书记戒</x:v>
      </x:c>
      <x:c r="H563" s="102" t="str">
        <x:v>戒指</x:v>
      </x:c>
      <x:c r="I563" s="147" t="n">
        <x:v>300</x:v>
      </x:c>
      <x:c r="J563" s="102" t="str">
        <x:v>否（材料数量固定）</x:v>
      </x:c>
      <x:c r="K563" s="102" t="str">
        <x:v>仅手动分解；默认不勾选；二次确认</x:v>
      </x:c>
      <x:c r="L563" s="103" t="str">
        <x:v>一怪一专属；专属来源跟随本行准确地图号</x:v>
      </x:c>
    </x:row>
    <x:row r="564">
      <x:c r="A564" s="101" t="str">
        <x:v>C10</x:v>
      </x:c>
      <x:c r="B564" s="102" t="str">
        <x:v>王城罗德尔</x:v>
      </x:c>
      <x:c r="C564" s="102" t="str">
        <x:v>黄金王宫</x:v>
      </x:c>
      <x:c r="D564" s="102" t="n">
        <x:v>4</x:v>
      </x:c>
      <x:c r="E564" s="102" t="str">
        <x:v>稀有</x:v>
      </x:c>
      <x:c r="F564" s="102" t="str">
        <x:v>前厅无声执冠官</x:v>
      </x:c>
      <x:c r="G564" s="102" t="str">
        <x:v>无声执冠勋章</x:v>
      </x:c>
      <x:c r="H564" s="102" t="str">
        <x:v>勋章</x:v>
      </x:c>
      <x:c r="I564" s="147" t="n">
        <x:v>300</x:v>
      </x:c>
      <x:c r="J564" s="102" t="str">
        <x:v>否（材料数量固定）</x:v>
      </x:c>
      <x:c r="K564" s="102" t="str">
        <x:v>仅手动分解；默认不勾选；二次确认</x:v>
      </x:c>
      <x:c r="L564" s="103" t="str">
        <x:v>一怪一专属；专属来源跟随本行准确地图号</x:v>
      </x:c>
    </x:row>
    <x:row r="565">
      <x:c r="A565" s="101" t="str">
        <x:v>C10</x:v>
      </x:c>
      <x:c r="B565" s="102" t="str">
        <x:v>王城罗德尔</x:v>
      </x:c>
      <x:c r="C565" s="102" t="str">
        <x:v>黄金王宫</x:v>
      </x:c>
      <x:c r="D565" s="102" t="n">
        <x:v>4</x:v>
      </x:c>
      <x:c r="E565" s="102" t="str">
        <x:v>地图BOSS</x:v>
      </x:c>
      <x:c r="F565" s="102" t="str">
        <x:v>碎日门的黄金禁卫</x:v>
      </x:c>
      <x:c r="G565" s="102" t="str">
        <x:v>碎日禁卫斗笠</x:v>
      </x:c>
      <x:c r="H565" s="102" t="str">
        <x:v>斗笠</x:v>
      </x:c>
      <x:c r="I565" s="147" t="n">
        <x:v>600</x:v>
      </x:c>
      <x:c r="J565" s="102" t="str">
        <x:v>否（材料数量固定）</x:v>
      </x:c>
      <x:c r="K565" s="102" t="str">
        <x:v>仅手动分解；默认不勾选；二次确认</x:v>
      </x:c>
      <x:c r="L565" s="103" t="str">
        <x:v>一怪一专属；专属来源跟随本行准确地图号</x:v>
      </x:c>
    </x:row>
    <x:row r="566">
      <x:c r="A566" s="101" t="str">
        <x:v>C10</x:v>
      </x:c>
      <x:c r="B566" s="102" t="str">
        <x:v>王城罗德尔</x:v>
      </x:c>
      <x:c r="C566" s="102" t="str">
        <x:v>黄金王宫</x:v>
      </x:c>
      <x:c r="D566" s="102" t="n">
        <x:v>5</x:v>
      </x:c>
      <x:c r="E566" s="102" t="str">
        <x:v>地图BOSS</x:v>
      </x:c>
      <x:c r="F566" s="102" t="str">
        <x:v>永辉帷后的空王</x:v>
      </x:c>
      <x:c r="G566" s="102" t="str">
        <x:v>永辉空王礼服</x:v>
      </x:c>
      <x:c r="H566" s="102" t="str">
        <x:v>衣服</x:v>
      </x:c>
      <x:c r="I566" s="147" t="n">
        <x:v>600</x:v>
      </x:c>
      <x:c r="J566" s="102" t="str">
        <x:v>否（材料数量固定）</x:v>
      </x:c>
      <x:c r="K566" s="102" t="str">
        <x:v>仅手动分解；默认不勾选；二次确认</x:v>
      </x:c>
      <x:c r="L566" s="103" t="str">
        <x:v>一怪一专属；专属来源跟随本行准确地图号</x:v>
      </x:c>
    </x:row>
    <x:row r="567">
      <x:c r="A567" s="104" t="str">
        <x:v>C10</x:v>
      </x:c>
      <x:c r="B567" s="105" t="str">
        <x:v>王城罗德尔</x:v>
      </x:c>
      <x:c r="C567" s="105" t="str">
        <x:v>黄金王宫</x:v>
      </x:c>
      <x:c r="D567" s="105" t="n">
        <x:v>5</x:v>
      </x:c>
      <x:c r="E567" s="105" t="str">
        <x:v>守关BOSS</x:v>
      </x:c>
      <x:c r="F567" s="105" t="str">
        <x:v>万冠终审者·萨洛恩</x:v>
      </x:c>
      <x:c r="G567" s="105" t="str">
        <x:v>万冠终律圣刃</x:v>
      </x:c>
      <x:c r="H567" s="105" t="str">
        <x:v>武器</x:v>
      </x:c>
      <x:c r="I567" s="148" t="n">
        <x:v>600</x:v>
      </x:c>
      <x:c r="J567" s="105" t="str">
        <x:v>否（材料数量固定）</x:v>
      </x:c>
      <x:c r="K567" s="105" t="str">
        <x:v>仅手动分解；默认不勾选；二次确认</x:v>
      </x:c>
      <x:c r="L567" s="106" t="str">
        <x:v>大陆最终守关；本表不填属性、爆率和货币</x:v>
      </x:c>
    </x:row>
  </x:sheetData>
  <x:mergeCells>
    <x:mergeCell ref="A1:L1"/>
    <x:mergeCell ref="A2:L2"/>
  </x:mergeCells>
  <x:conditionalFormatting sqref="I5:I567">
    <x:cfRule type="dataBar" priority="1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{40F1C901-AA8C-4DE1-B67A-A243F9C429D4}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676e04658cf494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0F1C901-AA8C-4DE1-B67A-A243F9C429D4}">
            <x14:dataBar gradient="1">
              <x14:cfvo type="min"/>
              <x14:cfvo type="max"/>
              <x14:fillColor rgb="FF4EA72E"/>
            </x14:dataBar>
          </x14:cfRule>
          <xm:sqref>I5:I567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4" hidden="0" customWidth="1"/>
    <x:col min="5" max="5" width="26" hidden="0" customWidth="1"/>
    <x:col min="6" max="6" width="2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30" hidden="0" customWidth="1"/>
    <x:col min="12" max="12" width="14" hidden="0" customWidth="1"/>
    <x:col min="13" max="13" width="44" hidden="0" customWidth="1"/>
  </x:cols>
  <x:sheetData>
    <x:row r="1" ht="28" customHeight="1">
      <x:c r="A1" s="5" t="str">
        <x:v>任务物品、称号卷与追梦神器回收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4" t="str">
        <x:v>这些物品均可回收，但因低爆、高需求、通常供不应求，全部排除在小时产出模型之外。默认不勾选，防止误回收。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 ht="32" customHeight="1">
      <x:c r="A4" s="63" t="str">
        <x:v>大类</x:v>
      </x:c>
      <x:c r="B4" s="64" t="str">
        <x:v>大陆ID</x:v>
      </x:c>
      <x:c r="C4" s="64" t="str">
        <x:v>大陆</x:v>
      </x:c>
      <x:c r="D4" s="64" t="str">
        <x:v>来源类型</x:v>
      </x:c>
      <x:c r="E4" s="64" t="str">
        <x:v>来源怪物</x:v>
      </x:c>
      <x:c r="F4" s="64" t="str">
        <x:v>物品名称</x:v>
      </x:c>
      <x:c r="G4" s="64" t="str">
        <x:v>基础金币</x:v>
      </x:c>
      <x:c r="H4" s="64" t="str">
        <x:v>基础元宝</x:v>
      </x:c>
      <x:c r="I4" s="64" t="str">
        <x:v>50%加成后金币</x:v>
      </x:c>
      <x:c r="J4" s="64" t="str">
        <x:v>50%加成后元宝</x:v>
      </x:c>
      <x:c r="K4" s="64" t="str">
        <x:v>回收方式</x:v>
      </x:c>
      <x:c r="L4" s="64" t="str">
        <x:v>计入产出模型</x:v>
      </x:c>
      <x:c r="M4" s="65" t="str">
        <x:v>备注</x:v>
      </x:c>
    </x:row>
    <x:row r="5">
      <x:c r="A5" s="98" t="str">
        <x:v>任务/魂魄</x:v>
      </x:c>
      <x:c r="B5" s="99" t="str">
        <x:v>C01</x:v>
      </x:c>
      <x:c r="C5" s="99" t="str">
        <x:v>漂流群岛</x:v>
      </x:c>
      <x:c r="D5" s="99" t="str">
        <x:v>稀有</x:v>
      </x:c>
      <x:c r="E5" s="99" t="str">
        <x:v>铁锚行刑者</x:v>
      </x:c>
      <x:c r="F5" s="99" t="str">
        <x:v>锈锚魂魄</x:v>
      </x:c>
      <x:c r="G5" s="158" t="n">
        <x:v>50000000</x:v>
      </x:c>
      <x:c r="H5" s="158" t="n">
        <x:v>500000</x:v>
      </x:c>
      <x:c r="I5" s="158" t="n">
        <x:v>75000000</x:v>
      </x:c>
      <x:c r="J5" s="158" t="n">
        <x:v>750000</x:v>
      </x:c>
      <x:c r="K5" s="99" t="str">
        <x:v>仅手动；默认不勾选</x:v>
      </x:c>
      <x:c r="L5" s="99" t="str">
        <x:v>否</x:v>
      </x:c>
      <x:c r="M5" s="100" t="str">
        <x:v>任务需求优先，回收只作已完成后的兜底</x:v>
      </x:c>
    </x:row>
    <x:row r="6">
      <x:c r="A6" s="101" t="str">
        <x:v>任务/魂魄</x:v>
      </x:c>
      <x:c r="B6" s="102" t="str">
        <x:v>C01</x:v>
      </x:c>
      <x:c r="C6" s="102" t="str">
        <x:v>漂流群岛</x:v>
      </x:c>
      <x:c r="D6" s="102" t="str">
        <x:v>稀有</x:v>
      </x:c>
      <x:c r="E6" s="102" t="str">
        <x:v>沉船守财者</x:v>
      </x:c>
      <x:c r="F6" s="102" t="str">
        <x:v>沉金魂魄</x:v>
      </x:c>
      <x:c r="G6" s="159" t="n">
        <x:v>50000000</x:v>
      </x:c>
      <x:c r="H6" s="159" t="n">
        <x:v>500000</x:v>
      </x:c>
      <x:c r="I6" s="159" t="n">
        <x:v>75000000</x:v>
      </x:c>
      <x:c r="J6" s="159" t="n">
        <x:v>750000</x:v>
      </x:c>
      <x:c r="K6" s="102" t="str">
        <x:v>仅手动；默认不勾选</x:v>
      </x:c>
      <x:c r="L6" s="102" t="str">
        <x:v>否</x:v>
      </x:c>
      <x:c r="M6" s="103" t="str">
        <x:v>任务需求优先，回收只作已完成后的兜底</x:v>
      </x:c>
    </x:row>
    <x:row r="7">
      <x:c r="A7" s="101" t="str">
        <x:v>任务/魂魄</x:v>
      </x:c>
      <x:c r="B7" s="102" t="str">
        <x:v>C01</x:v>
      </x:c>
      <x:c r="C7" s="102" t="str">
        <x:v>漂流群岛</x:v>
      </x:c>
      <x:c r="D7" s="102" t="str">
        <x:v>BOSS</x:v>
      </x:c>
      <x:c r="E7" s="102" t="str">
        <x:v>断桅船长·赫恩</x:v>
      </x:c>
      <x:c r="F7" s="102" t="str">
        <x:v>船长残魂</x:v>
      </x:c>
      <x:c r="G7" s="159" t="n">
        <x:v>150000000</x:v>
      </x:c>
      <x:c r="H7" s="159" t="n">
        <x:v>1500000</x:v>
      </x:c>
      <x:c r="I7" s="159" t="n">
        <x:v>225000000</x:v>
      </x:c>
      <x:c r="J7" s="159" t="n">
        <x:v>2250000</x:v>
      </x:c>
      <x:c r="K7" s="102" t="str">
        <x:v>仅手动；默认不勾选</x:v>
      </x:c>
      <x:c r="L7" s="102" t="str">
        <x:v>否</x:v>
      </x:c>
      <x:c r="M7" s="103" t="str">
        <x:v>任务需求优先，回收只作已完成后的兜底</x:v>
      </x:c>
    </x:row>
    <x:row r="8">
      <x:c r="A8" s="101" t="str">
        <x:v>任务/魂魄</x:v>
      </x:c>
      <x:c r="B8" s="102" t="str">
        <x:v>C01</x:v>
      </x:c>
      <x:c r="C8" s="102" t="str">
        <x:v>漂流群岛</x:v>
      </x:c>
      <x:c r="D8" s="102" t="str">
        <x:v>BOSS</x:v>
      </x:c>
      <x:c r="E8" s="102" t="str">
        <x:v>吞岸巨兽·格拉姆</x:v>
      </x:c>
      <x:c r="F8" s="102" t="str">
        <x:v>吞岸王魂</x:v>
      </x:c>
      <x:c r="G8" s="159" t="n">
        <x:v>150000000</x:v>
      </x:c>
      <x:c r="H8" s="159" t="n">
        <x:v>1500000</x:v>
      </x:c>
      <x:c r="I8" s="159" t="n">
        <x:v>225000000</x:v>
      </x:c>
      <x:c r="J8" s="159" t="n">
        <x:v>2250000</x:v>
      </x:c>
      <x:c r="K8" s="102" t="str">
        <x:v>仅手动；默认不勾选</x:v>
      </x:c>
      <x:c r="L8" s="102" t="str">
        <x:v>否</x:v>
      </x:c>
      <x:c r="M8" s="103" t="str">
        <x:v>任务需求优先，回收只作已完成后的兜底</x:v>
      </x:c>
    </x:row>
    <x:row r="9">
      <x:c r="A9" s="101" t="str">
        <x:v>任务/魂魄</x:v>
      </x:c>
      <x:c r="B9" s="102" t="str">
        <x:v>C01</x:v>
      </x:c>
      <x:c r="C9" s="102" t="str">
        <x:v>漂流群岛</x:v>
      </x:c>
      <x:c r="D9" s="102" t="str">
        <x:v>稀有</x:v>
      </x:c>
      <x:c r="E9" s="102" t="str">
        <x:v>逐雷骑士</x:v>
      </x:c>
      <x:c r="F9" s="102" t="str">
        <x:v>逐雷魂印</x:v>
      </x:c>
      <x:c r="G9" s="159" t="n">
        <x:v>50000000</x:v>
      </x:c>
      <x:c r="H9" s="159" t="n">
        <x:v>500000</x:v>
      </x:c>
      <x:c r="I9" s="159" t="n">
        <x:v>75000000</x:v>
      </x:c>
      <x:c r="J9" s="159" t="n">
        <x:v>750000</x:v>
      </x:c>
      <x:c r="K9" s="102" t="str">
        <x:v>仅手动；默认不勾选</x:v>
      </x:c>
      <x:c r="L9" s="102" t="str">
        <x:v>否</x:v>
      </x:c>
      <x:c r="M9" s="103" t="str">
        <x:v>任务需求优先，回收只作已完成后的兜底</x:v>
      </x:c>
    </x:row>
    <x:row r="10">
      <x:c r="A10" s="101" t="str">
        <x:v>任务/魂魄</x:v>
      </x:c>
      <x:c r="B10" s="102" t="str">
        <x:v>C01</x:v>
      </x:c>
      <x:c r="C10" s="102" t="str">
        <x:v>漂流群岛</x:v>
      </x:c>
      <x:c r="D10" s="102" t="str">
        <x:v>稀有</x:v>
      </x:c>
      <x:c r="E10" s="102" t="str">
        <x:v>裂岩巨人</x:v>
      </x:c>
      <x:c r="F10" s="102" t="str">
        <x:v>裂岩之心</x:v>
      </x:c>
      <x:c r="G10" s="159" t="n">
        <x:v>50000000</x:v>
      </x:c>
      <x:c r="H10" s="159" t="n">
        <x:v>500000</x:v>
      </x:c>
      <x:c r="I10" s="159" t="n">
        <x:v>75000000</x:v>
      </x:c>
      <x:c r="J10" s="159" t="n">
        <x:v>750000</x:v>
      </x:c>
      <x:c r="K10" s="102" t="str">
        <x:v>仅手动；默认不勾选</x:v>
      </x:c>
      <x:c r="L10" s="102" t="str">
        <x:v>否</x:v>
      </x:c>
      <x:c r="M10" s="103" t="str">
        <x:v>任务需求优先，回收只作已完成后的兜底</x:v>
      </x:c>
    </x:row>
    <x:row r="11">
      <x:c r="A11" s="101" t="str">
        <x:v>任务/魂魄</x:v>
      </x:c>
      <x:c r="B11" s="102" t="str">
        <x:v>C01</x:v>
      </x:c>
      <x:c r="C11" s="102" t="str">
        <x:v>漂流群岛</x:v>
      </x:c>
      <x:c r="D11" s="102" t="str">
        <x:v>BOSS</x:v>
      </x:c>
      <x:c r="E11" s="102" t="str">
        <x:v>风暴执刑官·巴鲁克</x:v>
      </x:c>
      <x:c r="F11" s="102" t="str">
        <x:v>执刑官残魂</x:v>
      </x:c>
      <x:c r="G11" s="159" t="n">
        <x:v>150000000</x:v>
      </x:c>
      <x:c r="H11" s="159" t="n">
        <x:v>1500000</x:v>
      </x:c>
      <x:c r="I11" s="159" t="n">
        <x:v>225000000</x:v>
      </x:c>
      <x:c r="J11" s="159" t="n">
        <x:v>2250000</x:v>
      </x:c>
      <x:c r="K11" s="102" t="str">
        <x:v>仅手动；默认不勾选</x:v>
      </x:c>
      <x:c r="L11" s="102" t="str">
        <x:v>否</x:v>
      </x:c>
      <x:c r="M11" s="103" t="str">
        <x:v>任务需求优先，回收只作已完成后的兜底</x:v>
      </x:c>
    </x:row>
    <x:row r="12">
      <x:c r="A12" s="101" t="str">
        <x:v>任务/魂魄</x:v>
      </x:c>
      <x:c r="B12" s="102" t="str">
        <x:v>C01</x:v>
      </x:c>
      <x:c r="C12" s="102" t="str">
        <x:v>漂流群岛</x:v>
      </x:c>
      <x:c r="D12" s="102" t="str">
        <x:v>BOSS</x:v>
      </x:c>
      <x:c r="E12" s="102" t="str">
        <x:v>断崖古龙·赛尔</x:v>
      </x:c>
      <x:c r="F12" s="102" t="str">
        <x:v>古龙逆鳞</x:v>
      </x:c>
      <x:c r="G12" s="159" t="n">
        <x:v>150000000</x:v>
      </x:c>
      <x:c r="H12" s="159" t="n">
        <x:v>1500000</x:v>
      </x:c>
      <x:c r="I12" s="159" t="n">
        <x:v>225000000</x:v>
      </x:c>
      <x:c r="J12" s="159" t="n">
        <x:v>2250000</x:v>
      </x:c>
      <x:c r="K12" s="102" t="str">
        <x:v>仅手动；默认不勾选</x:v>
      </x:c>
      <x:c r="L12" s="102" t="str">
        <x:v>否</x:v>
      </x:c>
      <x:c r="M12" s="103" t="str">
        <x:v>任务需求优先，回收只作已完成后的兜底</x:v>
      </x:c>
    </x:row>
    <x:row r="13">
      <x:c r="A13" s="101" t="str">
        <x:v>任务/魂魄</x:v>
      </x:c>
      <x:c r="B13" s="102" t="str">
        <x:v>C01</x:v>
      </x:c>
      <x:c r="C13" s="102" t="str">
        <x:v>漂流群岛</x:v>
      </x:c>
      <x:c r="D13" s="102" t="str">
        <x:v>稀有</x:v>
      </x:c>
      <x:c r="E13" s="102" t="str">
        <x:v>失冠王子</x:v>
      </x:c>
      <x:c r="F13" s="102" t="str">
        <x:v>失冠徽记</x:v>
      </x:c>
      <x:c r="G13" s="159" t="n">
        <x:v>50000000</x:v>
      </x:c>
      <x:c r="H13" s="159" t="n">
        <x:v>500000</x:v>
      </x:c>
      <x:c r="I13" s="159" t="n">
        <x:v>75000000</x:v>
      </x:c>
      <x:c r="J13" s="159" t="n">
        <x:v>750000</x:v>
      </x:c>
      <x:c r="K13" s="102" t="str">
        <x:v>仅手动；默认不勾选</x:v>
      </x:c>
      <x:c r="L13" s="102" t="str">
        <x:v>否</x:v>
      </x:c>
      <x:c r="M13" s="103" t="str">
        <x:v>任务需求优先，回收只作已完成后的兜底</x:v>
      </x:c>
    </x:row>
    <x:row r="14">
      <x:c r="A14" s="101" t="str">
        <x:v>任务/魂魄</x:v>
      </x:c>
      <x:c r="B14" s="102" t="str">
        <x:v>C01</x:v>
      </x:c>
      <x:c r="C14" s="102" t="str">
        <x:v>漂流群岛</x:v>
      </x:c>
      <x:c r="D14" s="102" t="str">
        <x:v>稀有</x:v>
      </x:c>
      <x:c r="E14" s="102" t="str">
        <x:v>沉默女祭司</x:v>
      </x:c>
      <x:c r="F14" s="102" t="str">
        <x:v>沉默祷文</x:v>
      </x:c>
      <x:c r="G14" s="159" t="n">
        <x:v>50000000</x:v>
      </x:c>
      <x:c r="H14" s="159" t="n">
        <x:v>500000</x:v>
      </x:c>
      <x:c r="I14" s="159" t="n">
        <x:v>75000000</x:v>
      </x:c>
      <x:c r="J14" s="159" t="n">
        <x:v>750000</x:v>
      </x:c>
      <x:c r="K14" s="102" t="str">
        <x:v>仅手动；默认不勾选</x:v>
      </x:c>
      <x:c r="L14" s="102" t="str">
        <x:v>否</x:v>
      </x:c>
      <x:c r="M14" s="103" t="str">
        <x:v>任务需求优先，回收只作已完成后的兜底</x:v>
      </x:c>
    </x:row>
    <x:row r="15">
      <x:c r="A15" s="101" t="str">
        <x:v>任务/魂魄</x:v>
      </x:c>
      <x:c r="B15" s="102" t="str">
        <x:v>C01</x:v>
      </x:c>
      <x:c r="C15" s="102" t="str">
        <x:v>漂流群岛</x:v>
      </x:c>
      <x:c r="D15" s="102" t="str">
        <x:v>BOSS</x:v>
      </x:c>
      <x:c r="E15" s="102" t="str">
        <x:v>溺王亲卫长·萨恩</x:v>
      </x:c>
      <x:c r="F15" s="102" t="str">
        <x:v>亲卫长残魂</x:v>
      </x:c>
      <x:c r="G15" s="159" t="n">
        <x:v>150000000</x:v>
      </x:c>
      <x:c r="H15" s="159" t="n">
        <x:v>1500000</x:v>
      </x:c>
      <x:c r="I15" s="159" t="n">
        <x:v>225000000</x:v>
      </x:c>
      <x:c r="J15" s="159" t="n">
        <x:v>2250000</x:v>
      </x:c>
      <x:c r="K15" s="102" t="str">
        <x:v>仅手动；默认不勾选</x:v>
      </x:c>
      <x:c r="L15" s="102" t="str">
        <x:v>否</x:v>
      </x:c>
      <x:c r="M15" s="103" t="str">
        <x:v>任务需求优先，回收只作已完成后的兜底</x:v>
      </x:c>
    </x:row>
    <x:row r="16">
      <x:c r="A16" s="101" t="str">
        <x:v>任务/魂魄</x:v>
      </x:c>
      <x:c r="B16" s="102" t="str">
        <x:v>C01</x:v>
      </x:c>
      <x:c r="C16" s="102" t="str">
        <x:v>漂流群岛</x:v>
      </x:c>
      <x:c r="D16" s="102" t="str">
        <x:v>BOSS</x:v>
      </x:c>
      <x:c r="E16" s="102" t="str">
        <x:v>深潮大祭司·伊莱娜</x:v>
      </x:c>
      <x:c r="F16" s="102" t="str">
        <x:v>深潮祭冠</x:v>
      </x:c>
      <x:c r="G16" s="159" t="n">
        <x:v>150000000</x:v>
      </x:c>
      <x:c r="H16" s="159" t="n">
        <x:v>1500000</x:v>
      </x:c>
      <x:c r="I16" s="159" t="n">
        <x:v>225000000</x:v>
      </x:c>
      <x:c r="J16" s="159" t="n">
        <x:v>2250000</x:v>
      </x:c>
      <x:c r="K16" s="102" t="str">
        <x:v>仅手动；默认不勾选</x:v>
      </x:c>
      <x:c r="L16" s="102" t="str">
        <x:v>否</x:v>
      </x:c>
      <x:c r="M16" s="103" t="str">
        <x:v>任务需求优先，回收只作已完成后的兜底</x:v>
      </x:c>
    </x:row>
    <x:row r="17">
      <x:c r="A17" s="101" t="str">
        <x:v>任务/魂魄</x:v>
      </x:c>
      <x:c r="B17" s="102" t="str">
        <x:v>C01</x:v>
      </x:c>
      <x:c r="C17" s="102" t="str">
        <x:v>漂流群岛</x:v>
      </x:c>
      <x:c r="D17" s="102" t="str">
        <x:v>守关BOSS</x:v>
      </x:c>
      <x:c r="E17" s="102" t="str">
        <x:v>沉没之王·奥德里安</x:v>
      </x:c>
      <x:c r="F17" s="102" t="str">
        <x:v>沉王魂核</x:v>
      </x:c>
      <x:c r="G17" s="159" t="n">
        <x:v>500000000</x:v>
      </x:c>
      <x:c r="H17" s="159" t="n">
        <x:v>5000000</x:v>
      </x:c>
      <x:c r="I17" s="159" t="n">
        <x:v>750000000</x:v>
      </x:c>
      <x:c r="J17" s="159" t="n">
        <x:v>7500000</x:v>
      </x:c>
      <x:c r="K17" s="102" t="str">
        <x:v>仅手动；默认不勾选</x:v>
      </x:c>
      <x:c r="L17" s="102" t="str">
        <x:v>否</x:v>
      </x:c>
      <x:c r="M17" s="103" t="str">
        <x:v>任务需求优先，回收只作已完成后的兜底</x:v>
      </x:c>
    </x:row>
    <x:row r="18">
      <x:c r="A18" s="101" t="str">
        <x:v>任务/魂魄</x:v>
      </x:c>
      <x:c r="B18" s="102" t="str">
        <x:v>C02</x:v>
      </x:c>
      <x:c r="C18" s="102" t="str">
        <x:v>宁姆格福</x:v>
      </x:c>
      <x:c r="D18" s="102" t="str">
        <x:v>稀有</x:v>
      </x:c>
      <x:c r="E18" s="102" t="str">
        <x:v>归树看门犬</x:v>
      </x:c>
      <x:c r="F18" s="102" t="str">
        <x:v>看门犬石心</x:v>
      </x:c>
      <x:c r="G18" s="159" t="n">
        <x:v>100000000</x:v>
      </x:c>
      <x:c r="H18" s="159" t="n">
        <x:v>1000000</x:v>
      </x:c>
      <x:c r="I18" s="159" t="n">
        <x:v>150000000</x:v>
      </x:c>
      <x:c r="J18" s="159" t="n">
        <x:v>1500000</x:v>
      </x:c>
      <x:c r="K18" s="102" t="str">
        <x:v>仅手动；默认不勾选</x:v>
      </x:c>
      <x:c r="L18" s="102" t="str">
        <x:v>否</x:v>
      </x:c>
      <x:c r="M18" s="103" t="str">
        <x:v>任务“墓火归乡”需求2件；完成后才建议回收</x:v>
      </x:c>
    </x:row>
    <x:row r="19">
      <x:c r="A19" s="101" t="str">
        <x:v>任务/魂魄</x:v>
      </x:c>
      <x:c r="B19" s="102" t="str">
        <x:v>C02</x:v>
      </x:c>
      <x:c r="C19" s="102" t="str">
        <x:v>宁姆格福</x:v>
      </x:c>
      <x:c r="D19" s="102" t="str">
        <x:v>稀有</x:v>
      </x:c>
      <x:c r="E19" s="102" t="str">
        <x:v>腐败树根兽</x:v>
      </x:c>
      <x:c r="F19" s="102" t="str">
        <x:v>腐根魂结</x:v>
      </x:c>
      <x:c r="G19" s="159" t="n">
        <x:v>100000000</x:v>
      </x:c>
      <x:c r="H19" s="159" t="n">
        <x:v>1000000</x:v>
      </x:c>
      <x:c r="I19" s="159" t="n">
        <x:v>150000000</x:v>
      </x:c>
      <x:c r="J19" s="159" t="n">
        <x:v>1500000</x:v>
      </x:c>
      <x:c r="K19" s="102" t="str">
        <x:v>仅手动；默认不勾选</x:v>
      </x:c>
      <x:c r="L19" s="102" t="str">
        <x:v>否</x:v>
      </x:c>
      <x:c r="M19" s="103" t="str">
        <x:v>任务“墓火归乡”需求2件；完成后才建议回收</x:v>
      </x:c>
    </x:row>
    <x:row r="20">
      <x:c r="A20" s="101" t="str">
        <x:v>任务/魂魄</x:v>
      </x:c>
      <x:c r="B20" s="102" t="str">
        <x:v>C02</x:v>
      </x:c>
      <x:c r="C20" s="102" t="str">
        <x:v>宁姆格福</x:v>
      </x:c>
      <x:c r="D20" s="102" t="str">
        <x:v>BOSS</x:v>
      </x:c>
      <x:c r="E20" s="102" t="str">
        <x:v>溃烂树灵·乌尔德</x:v>
      </x:c>
      <x:c r="F20" s="102" t="str">
        <x:v>溃烂树核</x:v>
      </x:c>
      <x:c r="G20" s="159" t="n">
        <x:v>300000000</x:v>
      </x:c>
      <x:c r="H20" s="159" t="n">
        <x:v>3000000</x:v>
      </x:c>
      <x:c r="I20" s="159" t="n">
        <x:v>450000000</x:v>
      </x:c>
      <x:c r="J20" s="159" t="n">
        <x:v>4500000</x:v>
      </x:c>
      <x:c r="K20" s="102" t="str">
        <x:v>仅手动；默认不勾选</x:v>
      </x:c>
      <x:c r="L20" s="102" t="str">
        <x:v>否</x:v>
      </x:c>
      <x:c r="M20" s="103" t="str">
        <x:v>任务“墓火归乡”需求1件；完成后才建议回收</x:v>
      </x:c>
    </x:row>
    <x:row r="21">
      <x:c r="A21" s="101" t="str">
        <x:v>任务/魂魄</x:v>
      </x:c>
      <x:c r="B21" s="102" t="str">
        <x:v>C02</x:v>
      </x:c>
      <x:c r="C21" s="102" t="str">
        <x:v>宁姆格福</x:v>
      </x:c>
      <x:c r="D21" s="102" t="str">
        <x:v>BOSS</x:v>
      </x:c>
      <x:c r="E21" s="102" t="str">
        <x:v>接肢贵胄·格雷姆</x:v>
      </x:c>
      <x:c r="F21" s="102" t="str">
        <x:v>贵胄断指</x:v>
      </x:c>
      <x:c r="G21" s="159" t="n">
        <x:v>300000000</x:v>
      </x:c>
      <x:c r="H21" s="159" t="n">
        <x:v>3000000</x:v>
      </x:c>
      <x:c r="I21" s="159" t="n">
        <x:v>450000000</x:v>
      </x:c>
      <x:c r="J21" s="159" t="n">
        <x:v>4500000</x:v>
      </x:c>
      <x:c r="K21" s="102" t="str">
        <x:v>仅手动；默认不勾选</x:v>
      </x:c>
      <x:c r="L21" s="102" t="str">
        <x:v>否</x:v>
      </x:c>
      <x:c r="M21" s="103" t="str">
        <x:v>任务“墓火归乡”需求1件；完成后才建议回收</x:v>
      </x:c>
    </x:row>
    <x:row r="22">
      <x:c r="A22" s="101" t="str">
        <x:v>任务/魂魄</x:v>
      </x:c>
      <x:c r="B22" s="102" t="str">
        <x:v>C02</x:v>
      </x:c>
      <x:c r="C22" s="102" t="str">
        <x:v>宁姆格福</x:v>
      </x:c>
      <x:c r="D22" s="102" t="str">
        <x:v>稀有</x:v>
      </x:c>
      <x:c r="E22" s="102" t="str">
        <x:v>黄金重骑</x:v>
      </x:c>
      <x:c r="F22" s="102" t="str">
        <x:v>黄金骑徽</x:v>
      </x:c>
      <x:c r="G22" s="159" t="n">
        <x:v>100000000</x:v>
      </x:c>
      <x:c r="H22" s="159" t="n">
        <x:v>1000000</x:v>
      </x:c>
      <x:c r="I22" s="159" t="n">
        <x:v>150000000</x:v>
      </x:c>
      <x:c r="J22" s="159" t="n">
        <x:v>1500000</x:v>
      </x:c>
      <x:c r="K22" s="102" t="str">
        <x:v>仅手动；默认不勾选</x:v>
      </x:c>
      <x:c r="L22" s="102" t="str">
        <x:v>否</x:v>
      </x:c>
      <x:c r="M22" s="103" t="str">
        <x:v>任务“关隘断旗”需求2件；完成后才建议回收</x:v>
      </x:c>
    </x:row>
    <x:row r="23">
      <x:c r="A23" s="101" t="str">
        <x:v>任务/魂魄</x:v>
      </x:c>
      <x:c r="B23" s="102" t="str">
        <x:v>C02</x:v>
      </x:c>
      <x:c r="C23" s="102" t="str">
        <x:v>宁姆格福</x:v>
      </x:c>
      <x:c r="D23" s="102" t="str">
        <x:v>稀有</x:v>
      </x:c>
      <x:c r="E23" s="102" t="str">
        <x:v>失乡骑士</x:v>
      </x:c>
      <x:c r="F23" s="102" t="str">
        <x:v>失乡军令</x:v>
      </x:c>
      <x:c r="G23" s="159" t="n">
        <x:v>100000000</x:v>
      </x:c>
      <x:c r="H23" s="159" t="n">
        <x:v>1000000</x:v>
      </x:c>
      <x:c r="I23" s="159" t="n">
        <x:v>150000000</x:v>
      </x:c>
      <x:c r="J23" s="159" t="n">
        <x:v>1500000</x:v>
      </x:c>
      <x:c r="K23" s="102" t="str">
        <x:v>仅手动；默认不勾选</x:v>
      </x:c>
      <x:c r="L23" s="102" t="str">
        <x:v>否</x:v>
      </x:c>
      <x:c r="M23" s="103" t="str">
        <x:v>任务“关隘断旗”需求2件；完成后才建议回收</x:v>
      </x:c>
    </x:row>
    <x:row r="24">
      <x:c r="A24" s="101" t="str">
        <x:v>任务/魂魄</x:v>
      </x:c>
      <x:c r="B24" s="102" t="str">
        <x:v>C02</x:v>
      </x:c>
      <x:c r="C24" s="102" t="str">
        <x:v>宁姆格福</x:v>
      </x:c>
      <x:c r="D24" s="102" t="str">
        <x:v>BOSS</x:v>
      </x:c>
      <x:c r="E24" s="102" t="str">
        <x:v>大树守卫·罗兰</x:v>
      </x:c>
      <x:c r="F24" s="102" t="str">
        <x:v>树卫枪穗</x:v>
      </x:c>
      <x:c r="G24" s="159" t="n">
        <x:v>300000000</x:v>
      </x:c>
      <x:c r="H24" s="159" t="n">
        <x:v>3000000</x:v>
      </x:c>
      <x:c r="I24" s="159" t="n">
        <x:v>450000000</x:v>
      </x:c>
      <x:c r="J24" s="159" t="n">
        <x:v>4500000</x:v>
      </x:c>
      <x:c r="K24" s="102" t="str">
        <x:v>仅手动；默认不勾选</x:v>
      </x:c>
      <x:c r="L24" s="102" t="str">
        <x:v>否</x:v>
      </x:c>
      <x:c r="M24" s="103" t="str">
        <x:v>任务“关隘断旗”需求1件；完成后才建议回收</x:v>
      </x:c>
    </x:row>
    <x:row r="25">
      <x:c r="A25" s="101" t="str">
        <x:v>任务/魂魄</x:v>
      </x:c>
      <x:c r="B25" s="102" t="str">
        <x:v>C02</x:v>
      </x:c>
      <x:c r="C25" s="102" t="str">
        <x:v>宁姆格福</x:v>
      </x:c>
      <x:c r="D25" s="102" t="str">
        <x:v>BOSS</x:v>
      </x:c>
      <x:c r="E25" s="102" t="str">
        <x:v>黑夜骑兵·莫尔</x:v>
      </x:c>
      <x:c r="F25" s="102" t="str">
        <x:v>夜骑黑印</x:v>
      </x:c>
      <x:c r="G25" s="159" t="n">
        <x:v>300000000</x:v>
      </x:c>
      <x:c r="H25" s="159" t="n">
        <x:v>3000000</x:v>
      </x:c>
      <x:c r="I25" s="159" t="n">
        <x:v>450000000</x:v>
      </x:c>
      <x:c r="J25" s="159" t="n">
        <x:v>4500000</x:v>
      </x:c>
      <x:c r="K25" s="102" t="str">
        <x:v>仅手动；默认不勾选</x:v>
      </x:c>
      <x:c r="L25" s="102" t="str">
        <x:v>否</x:v>
      </x:c>
      <x:c r="M25" s="103" t="str">
        <x:v>任务“关隘断旗”需求1件；完成后才建议回收</x:v>
      </x:c>
    </x:row>
    <x:row r="26">
      <x:c r="A26" s="101" t="str">
        <x:v>任务/魂魄</x:v>
      </x:c>
      <x:c r="B26" s="102" t="str">
        <x:v>C02</x:v>
      </x:c>
      <x:c r="C26" s="102" t="str">
        <x:v>宁姆格福</x:v>
      </x:c>
      <x:c r="D26" s="102" t="str">
        <x:v>稀有</x:v>
      </x:c>
      <x:c r="E26" s="102" t="str">
        <x:v>卢恩熊王</x:v>
      </x:c>
      <x:c r="F26" s="102" t="str">
        <x:v>熊王心脏</x:v>
      </x:c>
      <x:c r="G26" s="159" t="n">
        <x:v>100000000</x:v>
      </x:c>
      <x:c r="H26" s="159" t="n">
        <x:v>1000000</x:v>
      </x:c>
      <x:c r="I26" s="159" t="n">
        <x:v>150000000</x:v>
      </x:c>
      <x:c r="J26" s="159" t="n">
        <x:v>1500000</x:v>
      </x:c>
      <x:c r="K26" s="102" t="str">
        <x:v>仅手动；默认不勾选</x:v>
      </x:c>
      <x:c r="L26" s="102" t="str">
        <x:v>否</x:v>
      </x:c>
      <x:c r="M26" s="103" t="str">
        <x:v>任务“雾林祖魂”需求2件；完成后才建议回收</x:v>
      </x:c>
    </x:row>
    <x:row r="27">
      <x:c r="A27" s="101" t="str">
        <x:v>任务/魂魄</x:v>
      </x:c>
      <x:c r="B27" s="102" t="str">
        <x:v>C02</x:v>
      </x:c>
      <x:c r="C27" s="102" t="str">
        <x:v>宁姆格福</x:v>
      </x:c>
      <x:c r="D27" s="102" t="str">
        <x:v>稀有</x:v>
      </x:c>
      <x:c r="E27" s="102" t="str">
        <x:v>小黄金树化身</x:v>
      </x:c>
      <x:c r="F27" s="102" t="str">
        <x:v>黄金树碎核</x:v>
      </x:c>
      <x:c r="G27" s="159" t="n">
        <x:v>100000000</x:v>
      </x:c>
      <x:c r="H27" s="159" t="n">
        <x:v>1000000</x:v>
      </x:c>
      <x:c r="I27" s="159" t="n">
        <x:v>150000000</x:v>
      </x:c>
      <x:c r="J27" s="159" t="n">
        <x:v>1500000</x:v>
      </x:c>
      <x:c r="K27" s="102" t="str">
        <x:v>仅手动；默认不勾选</x:v>
      </x:c>
      <x:c r="L27" s="102" t="str">
        <x:v>否</x:v>
      </x:c>
      <x:c r="M27" s="103" t="str">
        <x:v>任务“雾林祖魂”需求2件；完成后才建议回收</x:v>
      </x:c>
    </x:row>
    <x:row r="28">
      <x:c r="A28" s="101" t="str">
        <x:v>任务/魂魄</x:v>
      </x:c>
      <x:c r="B28" s="102" t="str">
        <x:v>C02</x:v>
      </x:c>
      <x:c r="C28" s="102" t="str">
        <x:v>宁姆格福</x:v>
      </x:c>
      <x:c r="D28" s="102" t="str">
        <x:v>BOSS</x:v>
      </x:c>
      <x:c r="E28" s="102" t="str">
        <x:v>提比亚唤船人·赫洛</x:v>
      </x:c>
      <x:c r="F28" s="102" t="str">
        <x:v>唤船骨铃</x:v>
      </x:c>
      <x:c r="G28" s="159" t="n">
        <x:v>300000000</x:v>
      </x:c>
      <x:c r="H28" s="159" t="n">
        <x:v>3000000</x:v>
      </x:c>
      <x:c r="I28" s="159" t="n">
        <x:v>450000000</x:v>
      </x:c>
      <x:c r="J28" s="159" t="n">
        <x:v>4500000</x:v>
      </x:c>
      <x:c r="K28" s="102" t="str">
        <x:v>仅手动；默认不勾选</x:v>
      </x:c>
      <x:c r="L28" s="102" t="str">
        <x:v>否</x:v>
      </x:c>
      <x:c r="M28" s="103" t="str">
        <x:v>任务“雾林祖魂”需求1件；完成后才建议回收</x:v>
      </x:c>
    </x:row>
    <x:row r="29">
      <x:c r="A29" s="101" t="str">
        <x:v>任务/魂魄</x:v>
      </x:c>
      <x:c r="B29" s="102" t="str">
        <x:v>C02</x:v>
      </x:c>
      <x:c r="C29" s="102" t="str">
        <x:v>宁姆格福</x:v>
      </x:c>
      <x:c r="D29" s="102" t="str">
        <x:v>BOSS</x:v>
      </x:c>
      <x:c r="E29" s="102" t="str">
        <x:v>雾林熔炉骑士·奥德</x:v>
      </x:c>
      <x:c r="F29" s="102" t="str">
        <x:v>熔炉角片</x:v>
      </x:c>
      <x:c r="G29" s="159" t="n">
        <x:v>300000000</x:v>
      </x:c>
      <x:c r="H29" s="159" t="n">
        <x:v>3000000</x:v>
      </x:c>
      <x:c r="I29" s="159" t="n">
        <x:v>450000000</x:v>
      </x:c>
      <x:c r="J29" s="159" t="n">
        <x:v>4500000</x:v>
      </x:c>
      <x:c r="K29" s="102" t="str">
        <x:v>仅手动；默认不勾选</x:v>
      </x:c>
      <x:c r="L29" s="102" t="str">
        <x:v>否</x:v>
      </x:c>
      <x:c r="M29" s="103" t="str">
        <x:v>任务“雾林祖魂”需求1件；完成后才建议回收</x:v>
      </x:c>
    </x:row>
    <x:row r="30">
      <x:c r="A30" s="101" t="str">
        <x:v>任务/魂魄</x:v>
      </x:c>
      <x:c r="B30" s="102" t="str">
        <x:v>C02</x:v>
      </x:c>
      <x:c r="C30" s="102" t="str">
        <x:v>宁姆格福</x:v>
      </x:c>
      <x:c r="D30" s="102" t="str">
        <x:v>稀有</x:v>
      </x:c>
      <x:c r="E30" s="102" t="str">
        <x:v>山妖统领</x:v>
      </x:c>
      <x:c r="F30" s="102" t="str">
        <x:v>山妖王角</x:v>
      </x:c>
      <x:c r="G30" s="159" t="n">
        <x:v>100000000</x:v>
      </x:c>
      <x:c r="H30" s="159" t="n">
        <x:v>1000000</x:v>
      </x:c>
      <x:c r="I30" s="159" t="n">
        <x:v>150000000</x:v>
      </x:c>
      <x:c r="J30" s="159" t="n">
        <x:v>1500000</x:v>
      </x:c>
      <x:c r="K30" s="102" t="str">
        <x:v>仅手动；默认不勾选</x:v>
      </x:c>
      <x:c r="L30" s="102" t="str">
        <x:v>否</x:v>
      </x:c>
      <x:c r="M30" s="103" t="str">
        <x:v>任务“踏碎风暴”需求2件；完成后才建议回收</x:v>
      </x:c>
    </x:row>
    <x:row r="31">
      <x:c r="A31" s="101" t="str">
        <x:v>任务/魂魄</x:v>
      </x:c>
      <x:c r="B31" s="102" t="str">
        <x:v>C02</x:v>
      </x:c>
      <x:c r="C31" s="102" t="str">
        <x:v>宁姆格福</x:v>
      </x:c>
      <x:c r="D31" s="102" t="str">
        <x:v>稀有</x:v>
      </x:c>
      <x:c r="E31" s="102" t="str">
        <x:v>死亡仪鸟</x:v>
      </x:c>
      <x:c r="F31" s="102" t="str">
        <x:v>死亡仪羽</x:v>
      </x:c>
      <x:c r="G31" s="159" t="n">
        <x:v>100000000</x:v>
      </x:c>
      <x:c r="H31" s="159" t="n">
        <x:v>1000000</x:v>
      </x:c>
      <x:c r="I31" s="159" t="n">
        <x:v>150000000</x:v>
      </x:c>
      <x:c r="J31" s="159" t="n">
        <x:v>1500000</x:v>
      </x:c>
      <x:c r="K31" s="102" t="str">
        <x:v>仅手动；默认不勾选</x:v>
      </x:c>
      <x:c r="L31" s="102" t="str">
        <x:v>否</x:v>
      </x:c>
      <x:c r="M31" s="103" t="str">
        <x:v>任务“踏碎风暴”需求2件；完成后才建议回收</x:v>
      </x:c>
    </x:row>
    <x:row r="32">
      <x:c r="A32" s="101" t="str">
        <x:v>任务/魂魄</x:v>
      </x:c>
      <x:c r="B32" s="102" t="str">
        <x:v>C02</x:v>
      </x:c>
      <x:c r="C32" s="102" t="str">
        <x:v>宁姆格福</x:v>
      </x:c>
      <x:c r="D32" s="102" t="str">
        <x:v>BOSS</x:v>
      </x:c>
      <x:c r="E32" s="102" t="str">
        <x:v>风暴君王·奥雷格</x:v>
      </x:c>
      <x:c r="F32" s="102" t="str">
        <x:v>风暴王核</x:v>
      </x:c>
      <x:c r="G32" s="159" t="n">
        <x:v>300000000</x:v>
      </x:c>
      <x:c r="H32" s="159" t="n">
        <x:v>3000000</x:v>
      </x:c>
      <x:c r="I32" s="159" t="n">
        <x:v>450000000</x:v>
      </x:c>
      <x:c r="J32" s="159" t="n">
        <x:v>4500000</x:v>
      </x:c>
      <x:c r="K32" s="102" t="str">
        <x:v>仅手动；默认不勾选</x:v>
      </x:c>
      <x:c r="L32" s="102" t="str">
        <x:v>否</x:v>
      </x:c>
      <x:c r="M32" s="103" t="str">
        <x:v>任务“踏碎风暴”需求1件；完成后才建议回收</x:v>
      </x:c>
    </x:row>
    <x:row r="33">
      <x:c r="A33" s="101" t="str">
        <x:v>任务/魂魄</x:v>
      </x:c>
      <x:c r="B33" s="102" t="str">
        <x:v>C02</x:v>
      </x:c>
      <x:c r="C33" s="102" t="str">
        <x:v>宁姆格福</x:v>
      </x:c>
      <x:c r="D33" s="102" t="str">
        <x:v>BOSS</x:v>
      </x:c>
      <x:c r="E33" s="102" t="str">
        <x:v>恶兆妖鬼·玛尔基特</x:v>
      </x:c>
      <x:c r="F33" s="102" t="str">
        <x:v>恶兆残角</x:v>
      </x:c>
      <x:c r="G33" s="159" t="n">
        <x:v>300000000</x:v>
      </x:c>
      <x:c r="H33" s="159" t="n">
        <x:v>3000000</x:v>
      </x:c>
      <x:c r="I33" s="159" t="n">
        <x:v>450000000</x:v>
      </x:c>
      <x:c r="J33" s="159" t="n">
        <x:v>4500000</x:v>
      </x:c>
      <x:c r="K33" s="102" t="str">
        <x:v>仅手动；默认不勾选</x:v>
      </x:c>
      <x:c r="L33" s="102" t="str">
        <x:v>否</x:v>
      </x:c>
      <x:c r="M33" s="103" t="str">
        <x:v>任务“踏碎风暴”需求1件；完成后才建议回收</x:v>
      </x:c>
    </x:row>
    <x:row r="34">
      <x:c r="A34" s="101" t="str">
        <x:v>任务/魂魄</x:v>
      </x:c>
      <x:c r="B34" s="102" t="str">
        <x:v>C02</x:v>
      </x:c>
      <x:c r="C34" s="102" t="str">
        <x:v>宁姆格福</x:v>
      </x:c>
      <x:c r="D34" s="102" t="str">
        <x:v>稀有</x:v>
      </x:c>
      <x:c r="E34" s="102" t="str">
        <x:v>失乡骑士长</x:v>
      </x:c>
      <x:c r="F34" s="102" t="str">
        <x:v>失乡统帅徽</x:v>
      </x:c>
      <x:c r="G34" s="159" t="n">
        <x:v>100000000</x:v>
      </x:c>
      <x:c r="H34" s="159" t="n">
        <x:v>1000000</x:v>
      </x:c>
      <x:c r="I34" s="159" t="n">
        <x:v>150000000</x:v>
      </x:c>
      <x:c r="J34" s="159" t="n">
        <x:v>1500000</x:v>
      </x:c>
      <x:c r="K34" s="102" t="str">
        <x:v>仅手动；默认不勾选</x:v>
      </x:c>
      <x:c r="L34" s="102" t="str">
        <x:v>否</x:v>
      </x:c>
      <x:c r="M34" s="103" t="str">
        <x:v>任务“接肢王座的终结”需求2件；完成后才建议回收</x:v>
      </x:c>
    </x:row>
    <x:row r="35">
      <x:c r="A35" s="101" t="str">
        <x:v>任务/魂魄</x:v>
      </x:c>
      <x:c r="B35" s="102" t="str">
        <x:v>C02</x:v>
      </x:c>
      <x:c r="C35" s="102" t="str">
        <x:v>宁姆格福</x:v>
      </x:c>
      <x:c r="D35" s="102" t="str">
        <x:v>稀有</x:v>
      </x:c>
      <x:c r="E35" s="102" t="str">
        <x:v>接肢狮卫</x:v>
      </x:c>
      <x:c r="F35" s="102" t="str">
        <x:v>接肢兽心</x:v>
      </x:c>
      <x:c r="G35" s="159" t="n">
        <x:v>100000000</x:v>
      </x:c>
      <x:c r="H35" s="159" t="n">
        <x:v>1000000</x:v>
      </x:c>
      <x:c r="I35" s="159" t="n">
        <x:v>150000000</x:v>
      </x:c>
      <x:c r="J35" s="159" t="n">
        <x:v>1500000</x:v>
      </x:c>
      <x:c r="K35" s="102" t="str">
        <x:v>仅手动；默认不勾选</x:v>
      </x:c>
      <x:c r="L35" s="102" t="str">
        <x:v>否</x:v>
      </x:c>
      <x:c r="M35" s="103" t="str">
        <x:v>任务“接肢王座的终结”需求2件；完成后才建议回收</x:v>
      </x:c>
    </x:row>
    <x:row r="36">
      <x:c r="A36" s="101" t="str">
        <x:v>任务/魂魄</x:v>
      </x:c>
      <x:c r="B36" s="102" t="str">
        <x:v>C02</x:v>
      </x:c>
      <x:c r="C36" s="102" t="str">
        <x:v>宁姆格福</x:v>
      </x:c>
      <x:c r="D36" s="102" t="str">
        <x:v>BOSS</x:v>
      </x:c>
      <x:c r="E36" s="102" t="str">
        <x:v>接肢兽将·戈德温</x:v>
      </x:c>
      <x:c r="F36" s="102" t="str">
        <x:v>兽将脊骨</x:v>
      </x:c>
      <x:c r="G36" s="159" t="n">
        <x:v>300000000</x:v>
      </x:c>
      <x:c r="H36" s="159" t="n">
        <x:v>3000000</x:v>
      </x:c>
      <x:c r="I36" s="159" t="n">
        <x:v>450000000</x:v>
      </x:c>
      <x:c r="J36" s="159" t="n">
        <x:v>4500000</x:v>
      </x:c>
      <x:c r="K36" s="102" t="str">
        <x:v>仅手动；默认不勾选</x:v>
      </x:c>
      <x:c r="L36" s="102" t="str">
        <x:v>否</x:v>
      </x:c>
      <x:c r="M36" s="103" t="str">
        <x:v>任务“接肢王座的终结”需求1件；完成后才建议回收</x:v>
      </x:c>
    </x:row>
    <x:row r="37">
      <x:c r="A37" s="101" t="str">
        <x:v>任务/魂魄</x:v>
      </x:c>
      <x:c r="B37" s="102" t="str">
        <x:v>C02</x:v>
      </x:c>
      <x:c r="C37" s="102" t="str">
        <x:v>宁姆格福</x:v>
      </x:c>
      <x:c r="D37" s="102" t="str">
        <x:v>BOSS</x:v>
      </x:c>
      <x:c r="E37" s="102" t="str">
        <x:v>失乡统帅·欧尼尔</x:v>
      </x:c>
      <x:c r="F37" s="102" t="str">
        <x:v>王城军印</x:v>
      </x:c>
      <x:c r="G37" s="159" t="n">
        <x:v>300000000</x:v>
      </x:c>
      <x:c r="H37" s="159" t="n">
        <x:v>3000000</x:v>
      </x:c>
      <x:c r="I37" s="159" t="n">
        <x:v>450000000</x:v>
      </x:c>
      <x:c r="J37" s="159" t="n">
        <x:v>4500000</x:v>
      </x:c>
      <x:c r="K37" s="102" t="str">
        <x:v>仅手动；默认不勾选</x:v>
      </x:c>
      <x:c r="L37" s="102" t="str">
        <x:v>否</x:v>
      </x:c>
      <x:c r="M37" s="103" t="str">
        <x:v>任务“接肢王座的终结”需求1件；完成后才建议回收</x:v>
      </x:c>
    </x:row>
    <x:row r="38">
      <x:c r="A38" s="101" t="str">
        <x:v>任务/魂魄</x:v>
      </x:c>
      <x:c r="B38" s="102" t="str">
        <x:v>C02</x:v>
      </x:c>
      <x:c r="C38" s="102" t="str">
        <x:v>宁姆格福</x:v>
      </x:c>
      <x:c r="D38" s="102" t="str">
        <x:v>守关BOSS</x:v>
      </x:c>
      <x:c r="E38" s="102" t="str">
        <x:v>接肢君王·葛瑞克</x:v>
      </x:c>
      <x:c r="F38" s="102" t="str">
        <x:v>接肢王魂</x:v>
      </x:c>
      <x:c r="G38" s="159" t="n">
        <x:v>1000000000</x:v>
      </x:c>
      <x:c r="H38" s="159" t="n">
        <x:v>10000000</x:v>
      </x:c>
      <x:c r="I38" s="159" t="n">
        <x:v>1500000000</x:v>
      </x:c>
      <x:c r="J38" s="159" t="n">
        <x:v>15000000</x:v>
      </x:c>
      <x:c r="K38" s="102" t="str">
        <x:v>仅手动；默认不勾选</x:v>
      </x:c>
      <x:c r="L38" s="102" t="str">
        <x:v>否</x:v>
      </x:c>
      <x:c r="M38" s="103" t="str">
        <x:v>任务“接肢王座的终结”需求1件；完成后才建议回收</x:v>
      </x:c>
    </x:row>
    <x:row r="39">
      <x:c r="A39" s="101" t="str">
        <x:v>称号卷</x:v>
      </x:c>
      <x:c r="B39" s="102" t="str">
        <x:v>C02</x:v>
      </x:c>
      <x:c r="C39" s="102" t="str">
        <x:v>宁姆格福</x:v>
      </x:c>
      <x:c r="D39" s="102" t="str">
        <x:v>稀有</x:v>
      </x:c>
      <x:c r="E39" s="102" t="str">
        <x:v>归树看门犬</x:v>
      </x:c>
      <x:c r="F39" s="102" t="str">
        <x:v>[称号]墓门守誓</x:v>
      </x:c>
      <x:c r="G39" s="159" t="n">
        <x:v>500000000</x:v>
      </x:c>
      <x:c r="H39" s="159" t="n">
        <x:v>5000000</x:v>
      </x:c>
      <x:c r="I39" s="159" t="n">
        <x:v>750000000</x:v>
      </x:c>
      <x:c r="J39" s="159" t="n">
        <x:v>7500000</x:v>
      </x:c>
      <x:c r="K39" s="102" t="str">
        <x:v>仅手动；默认不勾选</x:v>
      </x:c>
      <x:c r="L39" s="102" t="str">
        <x:v>否</x:v>
      </x:c>
      <x:c r="M39" s="103" t="str">
        <x:v>称号未激活时绝不建议回收；已激活重复卷作为高价值兜底</x:v>
      </x:c>
    </x:row>
    <x:row r="40">
      <x:c r="A40" s="101" t="str">
        <x:v>称号卷</x:v>
      </x:c>
      <x:c r="B40" s="102" t="str">
        <x:v>C02</x:v>
      </x:c>
      <x:c r="C40" s="102" t="str">
        <x:v>宁姆格福</x:v>
      </x:c>
      <x:c r="D40" s="102" t="str">
        <x:v>BOSS</x:v>
      </x:c>
      <x:c r="E40" s="102" t="str">
        <x:v>溃烂树灵·乌尔德</x:v>
      </x:c>
      <x:c r="F40" s="102" t="str">
        <x:v>[称号]腐根不眠</x:v>
      </x:c>
      <x:c r="G40" s="159" t="n">
        <x:v>1500000000</x:v>
      </x:c>
      <x:c r="H40" s="159" t="n">
        <x:v>15000000</x:v>
      </x:c>
      <x:c r="I40" s="159" t="n">
        <x:v>2250000000</x:v>
      </x:c>
      <x:c r="J40" s="159" t="n">
        <x:v>22500000</x:v>
      </x:c>
      <x:c r="K40" s="102" t="str">
        <x:v>仅手动；默认不勾选</x:v>
      </x:c>
      <x:c r="L40" s="102" t="str">
        <x:v>否</x:v>
      </x:c>
      <x:c r="M40" s="103" t="str">
        <x:v>称号未激活时绝不建议回收；已激活重复卷作为高价值兜底</x:v>
      </x:c>
    </x:row>
    <x:row r="41">
      <x:c r="A41" s="101" t="str">
        <x:v>称号卷</x:v>
      </x:c>
      <x:c r="B41" s="102" t="str">
        <x:v>C02</x:v>
      </x:c>
      <x:c r="C41" s="102" t="str">
        <x:v>宁姆格福</x:v>
      </x:c>
      <x:c r="D41" s="102" t="str">
        <x:v>BOSS</x:v>
      </x:c>
      <x:c r="E41" s="102" t="str">
        <x:v>接肢贵胄·格雷姆</x:v>
      </x:c>
      <x:c r="F41" s="102" t="str">
        <x:v>[称号]百臂遗嗣</x:v>
      </x:c>
      <x:c r="G41" s="159" t="n">
        <x:v>1500000000</x:v>
      </x:c>
      <x:c r="H41" s="159" t="n">
        <x:v>15000000</x:v>
      </x:c>
      <x:c r="I41" s="159" t="n">
        <x:v>2250000000</x:v>
      </x:c>
      <x:c r="J41" s="159" t="n">
        <x:v>22500000</x:v>
      </x:c>
      <x:c r="K41" s="102" t="str">
        <x:v>仅手动；默认不勾选</x:v>
      </x:c>
      <x:c r="L41" s="102" t="str">
        <x:v>否</x:v>
      </x:c>
      <x:c r="M41" s="103" t="str">
        <x:v>称号未激活时绝不建议回收；已激活重复卷作为高价值兜底</x:v>
      </x:c>
    </x:row>
    <x:row r="42">
      <x:c r="A42" s="101" t="str">
        <x:v>称号卷</x:v>
      </x:c>
      <x:c r="B42" s="102" t="str">
        <x:v>C02</x:v>
      </x:c>
      <x:c r="C42" s="102" t="str">
        <x:v>宁姆格福</x:v>
      </x:c>
      <x:c r="D42" s="102" t="str">
        <x:v>稀有</x:v>
      </x:c>
      <x:c r="E42" s="102" t="str">
        <x:v>黄金重骑</x:v>
      </x:c>
      <x:c r="F42" s="102" t="str">
        <x:v>[称号]金甲破阵</x:v>
      </x:c>
      <x:c r="G42" s="159" t="n">
        <x:v>500000000</x:v>
      </x:c>
      <x:c r="H42" s="159" t="n">
        <x:v>5000000</x:v>
      </x:c>
      <x:c r="I42" s="159" t="n">
        <x:v>750000000</x:v>
      </x:c>
      <x:c r="J42" s="159" t="n">
        <x:v>7500000</x:v>
      </x:c>
      <x:c r="K42" s="102" t="str">
        <x:v>仅手动；默认不勾选</x:v>
      </x:c>
      <x:c r="L42" s="102" t="str">
        <x:v>否</x:v>
      </x:c>
      <x:c r="M42" s="103" t="str">
        <x:v>称号未激活时绝不建议回收；已激活重复卷作为高价值兜底</x:v>
      </x:c>
    </x:row>
    <x:row r="43">
      <x:c r="A43" s="101" t="str">
        <x:v>称号卷</x:v>
      </x:c>
      <x:c r="B43" s="102" t="str">
        <x:v>C02</x:v>
      </x:c>
      <x:c r="C43" s="102" t="str">
        <x:v>宁姆格福</x:v>
      </x:c>
      <x:c r="D43" s="102" t="str">
        <x:v>BOSS</x:v>
      </x:c>
      <x:c r="E43" s="102" t="str">
        <x:v>大树守卫·罗兰</x:v>
      </x:c>
      <x:c r="F43" s="102" t="str">
        <x:v>[称号]黄金长戟</x:v>
      </x:c>
      <x:c r="G43" s="159" t="n">
        <x:v>1500000000</x:v>
      </x:c>
      <x:c r="H43" s="159" t="n">
        <x:v>15000000</x:v>
      </x:c>
      <x:c r="I43" s="159" t="n">
        <x:v>2250000000</x:v>
      </x:c>
      <x:c r="J43" s="159" t="n">
        <x:v>22500000</x:v>
      </x:c>
      <x:c r="K43" s="102" t="str">
        <x:v>仅手动；默认不勾选</x:v>
      </x:c>
      <x:c r="L43" s="102" t="str">
        <x:v>否</x:v>
      </x:c>
      <x:c r="M43" s="103" t="str">
        <x:v>称号未激活时绝不建议回收；已激活重复卷作为高价值兜底</x:v>
      </x:c>
    </x:row>
    <x:row r="44">
      <x:c r="A44" s="101" t="str">
        <x:v>称号卷</x:v>
      </x:c>
      <x:c r="B44" s="102" t="str">
        <x:v>C02</x:v>
      </x:c>
      <x:c r="C44" s="102" t="str">
        <x:v>宁姆格福</x:v>
      </x:c>
      <x:c r="D44" s="102" t="str">
        <x:v>BOSS</x:v>
      </x:c>
      <x:c r="E44" s="102" t="str">
        <x:v>黑夜骑兵·莫尔</x:v>
      </x:c>
      <x:c r="F44" s="102" t="str">
        <x:v>[称号]无月追猎</x:v>
      </x:c>
      <x:c r="G44" s="159" t="n">
        <x:v>1500000000</x:v>
      </x:c>
      <x:c r="H44" s="159" t="n">
        <x:v>15000000</x:v>
      </x:c>
      <x:c r="I44" s="159" t="n">
        <x:v>2250000000</x:v>
      </x:c>
      <x:c r="J44" s="159" t="n">
        <x:v>22500000</x:v>
      </x:c>
      <x:c r="K44" s="102" t="str">
        <x:v>仅手动；默认不勾选</x:v>
      </x:c>
      <x:c r="L44" s="102" t="str">
        <x:v>否</x:v>
      </x:c>
      <x:c r="M44" s="103" t="str">
        <x:v>称号未激活时绝不建议回收；已激活重复卷作为高价值兜底</x:v>
      </x:c>
    </x:row>
    <x:row r="45">
      <x:c r="A45" s="101" t="str">
        <x:v>称号卷</x:v>
      </x:c>
      <x:c r="B45" s="102" t="str">
        <x:v>C02</x:v>
      </x:c>
      <x:c r="C45" s="102" t="str">
        <x:v>宁姆格福</x:v>
      </x:c>
      <x:c r="D45" s="102" t="str">
        <x:v>稀有</x:v>
      </x:c>
      <x:c r="E45" s="102" t="str">
        <x:v>卢恩熊王</x:v>
      </x:c>
      <x:c r="F45" s="102" t="str">
        <x:v>[称号]雾林暴君</x:v>
      </x:c>
      <x:c r="G45" s="159" t="n">
        <x:v>500000000</x:v>
      </x:c>
      <x:c r="H45" s="159" t="n">
        <x:v>5000000</x:v>
      </x:c>
      <x:c r="I45" s="159" t="n">
        <x:v>750000000</x:v>
      </x:c>
      <x:c r="J45" s="159" t="n">
        <x:v>7500000</x:v>
      </x:c>
      <x:c r="K45" s="102" t="str">
        <x:v>仅手动；默认不勾选</x:v>
      </x:c>
      <x:c r="L45" s="102" t="str">
        <x:v>否</x:v>
      </x:c>
      <x:c r="M45" s="103" t="str">
        <x:v>称号未激活时绝不建议回收；已激活重复卷作为高价值兜底</x:v>
      </x:c>
    </x:row>
    <x:row r="46">
      <x:c r="A46" s="101" t="str">
        <x:v>称号卷</x:v>
      </x:c>
      <x:c r="B46" s="102" t="str">
        <x:v>C02</x:v>
      </x:c>
      <x:c r="C46" s="102" t="str">
        <x:v>宁姆格福</x:v>
      </x:c>
      <x:c r="D46" s="102" t="str">
        <x:v>BOSS</x:v>
      </x:c>
      <x:c r="E46" s="102" t="str">
        <x:v>提比亚唤船人·赫洛</x:v>
      </x:c>
      <x:c r="F46" s="102" t="str">
        <x:v>[称号]死水引魂</x:v>
      </x:c>
      <x:c r="G46" s="159" t="n">
        <x:v>1500000000</x:v>
      </x:c>
      <x:c r="H46" s="159" t="n">
        <x:v>15000000</x:v>
      </x:c>
      <x:c r="I46" s="159" t="n">
        <x:v>2250000000</x:v>
      </x:c>
      <x:c r="J46" s="159" t="n">
        <x:v>22500000</x:v>
      </x:c>
      <x:c r="K46" s="102" t="str">
        <x:v>仅手动；默认不勾选</x:v>
      </x:c>
      <x:c r="L46" s="102" t="str">
        <x:v>否</x:v>
      </x:c>
      <x:c r="M46" s="103" t="str">
        <x:v>称号未激活时绝不建议回收；已激活重复卷作为高价值兜底</x:v>
      </x:c>
    </x:row>
    <x:row r="47">
      <x:c r="A47" s="101" t="str">
        <x:v>称号卷</x:v>
      </x:c>
      <x:c r="B47" s="102" t="str">
        <x:v>C02</x:v>
      </x:c>
      <x:c r="C47" s="102" t="str">
        <x:v>宁姆格福</x:v>
      </x:c>
      <x:c r="D47" s="102" t="str">
        <x:v>BOSS</x:v>
      </x:c>
      <x:c r="E47" s="102" t="str">
        <x:v>雾林熔炉骑士·奥德</x:v>
      </x:c>
      <x:c r="F47" s="102" t="str">
        <x:v>[称号]初火铸身</x:v>
      </x:c>
      <x:c r="G47" s="159" t="n">
        <x:v>1500000000</x:v>
      </x:c>
      <x:c r="H47" s="159" t="n">
        <x:v>15000000</x:v>
      </x:c>
      <x:c r="I47" s="159" t="n">
        <x:v>2250000000</x:v>
      </x:c>
      <x:c r="J47" s="159" t="n">
        <x:v>22500000</x:v>
      </x:c>
      <x:c r="K47" s="102" t="str">
        <x:v>仅手动；默认不勾选</x:v>
      </x:c>
      <x:c r="L47" s="102" t="str">
        <x:v>否</x:v>
      </x:c>
      <x:c r="M47" s="103" t="str">
        <x:v>称号未激活时绝不建议回收；已激活重复卷作为高价值兜底</x:v>
      </x:c>
    </x:row>
    <x:row r="48">
      <x:c r="A48" s="101" t="str">
        <x:v>称号卷</x:v>
      </x:c>
      <x:c r="B48" s="102" t="str">
        <x:v>C02</x:v>
      </x:c>
      <x:c r="C48" s="102" t="str">
        <x:v>宁姆格福</x:v>
      </x:c>
      <x:c r="D48" s="102" t="str">
        <x:v>稀有</x:v>
      </x:c>
      <x:c r="E48" s="102" t="str">
        <x:v>死亡仪鸟</x:v>
      </x:c>
      <x:c r="F48" s="102" t="str">
        <x:v>[称号]黑翼葬日</x:v>
      </x:c>
      <x:c r="G48" s="159" t="n">
        <x:v>500000000</x:v>
      </x:c>
      <x:c r="H48" s="159" t="n">
        <x:v>5000000</x:v>
      </x:c>
      <x:c r="I48" s="159" t="n">
        <x:v>750000000</x:v>
      </x:c>
      <x:c r="J48" s="159" t="n">
        <x:v>7500000</x:v>
      </x:c>
      <x:c r="K48" s="102" t="str">
        <x:v>仅手动；默认不勾选</x:v>
      </x:c>
      <x:c r="L48" s="102" t="str">
        <x:v>否</x:v>
      </x:c>
      <x:c r="M48" s="103" t="str">
        <x:v>称号未激活时绝不建议回收；已激活重复卷作为高价值兜底</x:v>
      </x:c>
    </x:row>
    <x:row r="49">
      <x:c r="A49" s="101" t="str">
        <x:v>称号卷</x:v>
      </x:c>
      <x:c r="B49" s="102" t="str">
        <x:v>C02</x:v>
      </x:c>
      <x:c r="C49" s="102" t="str">
        <x:v>宁姆格福</x:v>
      </x:c>
      <x:c r="D49" s="102" t="str">
        <x:v>BOSS</x:v>
      </x:c>
      <x:c r="E49" s="102" t="str">
        <x:v>风暴君王·奥雷格</x:v>
      </x:c>
      <x:c r="F49" s="102" t="str">
        <x:v>[称号]雷冠之主</x:v>
      </x:c>
      <x:c r="G49" s="159" t="n">
        <x:v>1500000000</x:v>
      </x:c>
      <x:c r="H49" s="159" t="n">
        <x:v>15000000</x:v>
      </x:c>
      <x:c r="I49" s="159" t="n">
        <x:v>2250000000</x:v>
      </x:c>
      <x:c r="J49" s="159" t="n">
        <x:v>22500000</x:v>
      </x:c>
      <x:c r="K49" s="102" t="str">
        <x:v>仅手动；默认不勾选</x:v>
      </x:c>
      <x:c r="L49" s="102" t="str">
        <x:v>否</x:v>
      </x:c>
      <x:c r="M49" s="103" t="str">
        <x:v>称号未激活时绝不建议回收；已激活重复卷作为高价值兜底</x:v>
      </x:c>
    </x:row>
    <x:row r="50">
      <x:c r="A50" s="101" t="str">
        <x:v>称号卷</x:v>
      </x:c>
      <x:c r="B50" s="102" t="str">
        <x:v>C02</x:v>
      </x:c>
      <x:c r="C50" s="102" t="str">
        <x:v>宁姆格福</x:v>
      </x:c>
      <x:c r="D50" s="102" t="str">
        <x:v>BOSS</x:v>
      </x:c>
      <x:c r="E50" s="102" t="str">
        <x:v>恶兆妖鬼·玛尔基特</x:v>
      </x:c>
      <x:c r="F50" s="102" t="str">
        <x:v>[称号]恶兆之印</x:v>
      </x:c>
      <x:c r="G50" s="159" t="n">
        <x:v>1500000000</x:v>
      </x:c>
      <x:c r="H50" s="159" t="n">
        <x:v>15000000</x:v>
      </x:c>
      <x:c r="I50" s="159" t="n">
        <x:v>2250000000</x:v>
      </x:c>
      <x:c r="J50" s="159" t="n">
        <x:v>22500000</x:v>
      </x:c>
      <x:c r="K50" s="102" t="str">
        <x:v>仅手动；默认不勾选</x:v>
      </x:c>
      <x:c r="L50" s="102" t="str">
        <x:v>否</x:v>
      </x:c>
      <x:c r="M50" s="103" t="str">
        <x:v>称号未激活时绝不建议回收；已激活重复卷作为高价值兜底</x:v>
      </x:c>
    </x:row>
    <x:row r="51">
      <x:c r="A51" s="101" t="str">
        <x:v>称号卷</x:v>
      </x:c>
      <x:c r="B51" s="102" t="str">
        <x:v>C02</x:v>
      </x:c>
      <x:c r="C51" s="102" t="str">
        <x:v>宁姆格福</x:v>
      </x:c>
      <x:c r="D51" s="102" t="str">
        <x:v>稀有</x:v>
      </x:c>
      <x:c r="E51" s="102" t="str">
        <x:v>失乡骑士长</x:v>
      </x:c>
      <x:c r="F51" s="102" t="str">
        <x:v>[称号]失乡统帅</x:v>
      </x:c>
      <x:c r="G51" s="159" t="n">
        <x:v>500000000</x:v>
      </x:c>
      <x:c r="H51" s="159" t="n">
        <x:v>5000000</x:v>
      </x:c>
      <x:c r="I51" s="159" t="n">
        <x:v>750000000</x:v>
      </x:c>
      <x:c r="J51" s="159" t="n">
        <x:v>7500000</x:v>
      </x:c>
      <x:c r="K51" s="102" t="str">
        <x:v>仅手动；默认不勾选</x:v>
      </x:c>
      <x:c r="L51" s="102" t="str">
        <x:v>否</x:v>
      </x:c>
      <x:c r="M51" s="103" t="str">
        <x:v>称号未激活时绝不建议回收；已激活重复卷作为高价值兜底</x:v>
      </x:c>
    </x:row>
    <x:row r="52">
      <x:c r="A52" s="101" t="str">
        <x:v>称号卷</x:v>
      </x:c>
      <x:c r="B52" s="102" t="str">
        <x:v>C02</x:v>
      </x:c>
      <x:c r="C52" s="102" t="str">
        <x:v>宁姆格福</x:v>
      </x:c>
      <x:c r="D52" s="102" t="str">
        <x:v>BOSS</x:v>
      </x:c>
      <x:c r="E52" s="102" t="str">
        <x:v>接肢兽将·戈德温</x:v>
      </x:c>
      <x:c r="F52" s="102" t="str">
        <x:v>[称号]百骸兽王</x:v>
      </x:c>
      <x:c r="G52" s="159" t="n">
        <x:v>1500000000</x:v>
      </x:c>
      <x:c r="H52" s="159" t="n">
        <x:v>15000000</x:v>
      </x:c>
      <x:c r="I52" s="159" t="n">
        <x:v>2250000000</x:v>
      </x:c>
      <x:c r="J52" s="159" t="n">
        <x:v>22500000</x:v>
      </x:c>
      <x:c r="K52" s="102" t="str">
        <x:v>仅手动；默认不勾选</x:v>
      </x:c>
      <x:c r="L52" s="102" t="str">
        <x:v>否</x:v>
      </x:c>
      <x:c r="M52" s="103" t="str">
        <x:v>称号未激活时绝不建议回收；已激活重复卷作为高价值兜底</x:v>
      </x:c>
    </x:row>
    <x:row r="53">
      <x:c r="A53" s="101" t="str">
        <x:v>称号卷</x:v>
      </x:c>
      <x:c r="B53" s="102" t="str">
        <x:v>C02</x:v>
      </x:c>
      <x:c r="C53" s="102" t="str">
        <x:v>宁姆格福</x:v>
      </x:c>
      <x:c r="D53" s="102" t="str">
        <x:v>BOSS</x:v>
      </x:c>
      <x:c r="E53" s="102" t="str">
        <x:v>失乡统帅·欧尼尔</x:v>
      </x:c>
      <x:c r="F53" s="102" t="str">
        <x:v>[称号]王城战魂</x:v>
      </x:c>
      <x:c r="G53" s="159" t="n">
        <x:v>1500000000</x:v>
      </x:c>
      <x:c r="H53" s="159" t="n">
        <x:v>15000000</x:v>
      </x:c>
      <x:c r="I53" s="159" t="n">
        <x:v>2250000000</x:v>
      </x:c>
      <x:c r="J53" s="159" t="n">
        <x:v>22500000</x:v>
      </x:c>
      <x:c r="K53" s="102" t="str">
        <x:v>仅手动；默认不勾选</x:v>
      </x:c>
      <x:c r="L53" s="102" t="str">
        <x:v>否</x:v>
      </x:c>
      <x:c r="M53" s="103" t="str">
        <x:v>称号未激活时绝不建议回收；已激活重复卷作为高价值兜底</x:v>
      </x:c>
    </x:row>
    <x:row r="54">
      <x:c r="A54" s="101" t="str">
        <x:v>称号卷</x:v>
      </x:c>
      <x:c r="B54" s="102" t="str">
        <x:v>C02</x:v>
      </x:c>
      <x:c r="C54" s="102" t="str">
        <x:v>宁姆格福</x:v>
      </x:c>
      <x:c r="D54" s="102" t="str">
        <x:v>守关BOSS</x:v>
      </x:c>
      <x:c r="E54" s="102" t="str">
        <x:v>接肢君王·葛瑞克</x:v>
      </x:c>
      <x:c r="F54" s="102" t="str">
        <x:v>[称号]接肢弑王</x:v>
      </x:c>
      <x:c r="G54" s="159" t="n">
        <x:v>5000000000</x:v>
      </x:c>
      <x:c r="H54" s="159" t="n">
        <x:v>50000000</x:v>
      </x:c>
      <x:c r="I54" s="159" t="n">
        <x:v>7500000000</x:v>
      </x:c>
      <x:c r="J54" s="159" t="n">
        <x:v>75000000</x:v>
      </x:c>
      <x:c r="K54" s="102" t="str">
        <x:v>仅手动；默认不勾选</x:v>
      </x:c>
      <x:c r="L54" s="102" t="str">
        <x:v>否</x:v>
      </x:c>
      <x:c r="M54" s="103" t="str">
        <x:v>称号未激活时绝不建议回收；已激活重复卷作为高价值兜底</x:v>
      </x:c>
    </x:row>
    <x:row r="55">
      <x:c r="A55" s="101" t="str">
        <x:v>称号卷</x:v>
      </x:c>
      <x:c r="B55" s="102" t="str">
        <x:v>C01</x:v>
      </x:c>
      <x:c r="C55" s="102" t="str">
        <x:v>漂流群岛</x:v>
      </x:c>
      <x:c r="D55" s="102" t="str">
        <x:v>守关BOSS</x:v>
      </x:c>
      <x:c r="E55" s="102" t="str">
        <x:v>沉没之王·奥德里安</x:v>
      </x:c>
      <x:c r="F55" s="102" t="str">
        <x:v>[称号]沉没王权</x:v>
      </x:c>
      <x:c r="G55" s="159" t="n">
        <x:v>530000000</x:v>
      </x:c>
      <x:c r="H55" s="159" t="n">
        <x:v>5100000</x:v>
      </x:c>
      <x:c r="I55" s="159" t="n">
        <x:v>795000000</x:v>
      </x:c>
      <x:c r="J55" s="159" t="n">
        <x:v>7650000</x:v>
      </x:c>
      <x:c r="K55" s="102" t="str">
        <x:v>仅手动；默认不勾选</x:v>
      </x:c>
      <x:c r="L55" s="102" t="str">
        <x:v>否</x:v>
      </x:c>
      <x:c r="M55" s="103" t="str">
        <x:v>守关称号卷；物品名需与现有称号卷脚本逐字一致，数值已定</x:v>
      </x:c>
    </x:row>
    <x:row r="56">
      <x:c r="A56" s="101" t="str">
        <x:v>称号卷</x:v>
      </x:c>
      <x:c r="B56" s="102" t="str">
        <x:v>C03</x:v>
      </x:c>
      <x:c r="C56" s="102" t="str">
        <x:v>宁姆格福西域</x:v>
      </x:c>
      <x:c r="D56" s="102" t="str">
        <x:v>守关BOSS</x:v>
      </x:c>
      <x:c r="E56" s="102" t="str">
        <x:v>西境征服者·戈德里安</x:v>
      </x:c>
      <x:c r="F56" s="102" t="str">
        <x:v>[称号]西境征服者</x:v>
      </x:c>
      <x:c r="G56" s="159" t="n">
        <x:v>5300000000</x:v>
      </x:c>
      <x:c r="H56" s="159" t="n">
        <x:v>38000000</x:v>
      </x:c>
      <x:c r="I56" s="159" t="n">
        <x:v>7950000000</x:v>
      </x:c>
      <x:c r="J56" s="159" t="n">
        <x:v>57000000</x:v>
      </x:c>
      <x:c r="K56" s="102" t="str">
        <x:v>仅手动；默认不勾选</x:v>
      </x:c>
      <x:c r="L56" s="102" t="str">
        <x:v>否</x:v>
      </x:c>
      <x:c r="M56" s="103" t="str">
        <x:v>守关称号卷；物品名需与现有称号卷脚本逐字一致，数值已定</x:v>
      </x:c>
    </x:row>
    <x:row r="57">
      <x:c r="A57" s="101" t="str">
        <x:v>称号卷</x:v>
      </x:c>
      <x:c r="B57" s="102" t="str">
        <x:v>C04</x:v>
      </x:c>
      <x:c r="C57" s="102" t="str">
        <x:v>利耶尼亚海域</x:v>
      </x:c>
      <x:c r="D57" s="102" t="str">
        <x:v>守关BOSS</x:v>
      </x:c>
      <x:c r="E57" s="102" t="str">
        <x:v>闭潮王·莱弥恩</x:v>
      </x:c>
      <x:c r="F57" s="102" t="str">
        <x:v>[称号]闭潮之王</x:v>
      </x:c>
      <x:c r="G57" s="159" t="n">
        <x:v>6700000000</x:v>
      </x:c>
      <x:c r="H57" s="159" t="n">
        <x:v>58500000</x:v>
      </x:c>
      <x:c r="I57" s="159" t="n">
        <x:v>10050000000</x:v>
      </x:c>
      <x:c r="J57" s="159" t="n">
        <x:v>87750000</x:v>
      </x:c>
      <x:c r="K57" s="102" t="str">
        <x:v>仅手动；默认不勾选</x:v>
      </x:c>
      <x:c r="L57" s="102" t="str">
        <x:v>否</x:v>
      </x:c>
      <x:c r="M57" s="103" t="str">
        <x:v>守关称号卷；物品名需与现有称号卷脚本逐字一致，数值已定</x:v>
      </x:c>
    </x:row>
    <x:row r="58">
      <x:c r="A58" s="101" t="str">
        <x:v>称号卷</x:v>
      </x:c>
      <x:c r="B58" s="102" t="str">
        <x:v>C05</x:v>
      </x:c>
      <x:c r="C58" s="102" t="str">
        <x:v>湖之利耶尼亚</x:v>
      </x:c>
      <x:c r="D58" s="102" t="str">
        <x:v>守关BOSS</x:v>
      </x:c>
      <x:c r="E58" s="102" t="str">
        <x:v>寒镜终誓王</x:v>
      </x:c>
      <x:c r="F58" s="102" t="str">
        <x:v>[称号]寒镜终誓</x:v>
      </x:c>
      <x:c r="G58" s="159" t="n">
        <x:v>11500000000</x:v>
      </x:c>
      <x:c r="H58" s="159" t="n">
        <x:v>124000000</x:v>
      </x:c>
      <x:c r="I58" s="159" t="n">
        <x:v>17250000000</x:v>
      </x:c>
      <x:c r="J58" s="159" t="n">
        <x:v>186000000</x:v>
      </x:c>
      <x:c r="K58" s="102" t="str">
        <x:v>仅手动；默认不勾选</x:v>
      </x:c>
      <x:c r="L58" s="102" t="str">
        <x:v>否</x:v>
      </x:c>
      <x:c r="M58" s="103" t="str">
        <x:v>守关称号卷；物品名需与现有称号卷脚本逐字一致，数值已定</x:v>
      </x:c>
    </x:row>
    <x:row r="59">
      <x:c r="A59" s="101" t="str">
        <x:v>称号卷</x:v>
      </x:c>
      <x:c r="B59" s="102" t="str">
        <x:v>C06</x:v>
      </x:c>
      <x:c r="C59" s="102" t="str">
        <x:v>盖利德</x:v>
      </x:c>
      <x:c r="D59" s="102" t="str">
        <x:v>守关BOSS</x:v>
      </x:c>
      <x:c r="E59" s="102" t="str">
        <x:v>碎星狮王·拉塔恩</x:v>
      </x:c>
      <x:c r="F59" s="102" t="str">
        <x:v>[称号]碎星狮王</x:v>
      </x:c>
      <x:c r="G59" s="159" t="n">
        <x:v>16000000000</x:v>
      </x:c>
      <x:c r="H59" s="159" t="n">
        <x:v>135000000</x:v>
      </x:c>
      <x:c r="I59" s="159" t="n">
        <x:v>24000000000</x:v>
      </x:c>
      <x:c r="J59" s="159" t="n">
        <x:v>202500000</x:v>
      </x:c>
      <x:c r="K59" s="102" t="str">
        <x:v>仅手动；默认不勾选</x:v>
      </x:c>
      <x:c r="L59" s="102" t="str">
        <x:v>否</x:v>
      </x:c>
      <x:c r="M59" s="103" t="str">
        <x:v>守关称号卷；物品名需与现有称号卷脚本逐字一致，数值已定</x:v>
      </x:c>
    </x:row>
    <x:row r="60">
      <x:c r="A60" s="101" t="str">
        <x:v>称号卷</x:v>
      </x:c>
      <x:c r="B60" s="102" t="str">
        <x:v>C07</x:v>
      </x:c>
      <x:c r="C60" s="102" t="str">
        <x:v>化圣雪原</x:v>
      </x:c>
      <x:c r="D60" s="102" t="str">
        <x:v>守关BOSS</x:v>
      </x:c>
      <x:c r="E60" s="102" t="str">
        <x:v>化圣霜王·埃琉斯</x:v>
      </x:c>
      <x:c r="F60" s="102" t="str">
        <x:v>[称号]化圣霜王</x:v>
      </x:c>
      <x:c r="G60" s="159" t="n">
        <x:v>27500000000</x:v>
      </x:c>
      <x:c r="H60" s="159" t="n">
        <x:v>268000000</x:v>
      </x:c>
      <x:c r="I60" s="159" t="n">
        <x:v>41250000000</x:v>
      </x:c>
      <x:c r="J60" s="159" t="n">
        <x:v>402000000</x:v>
      </x:c>
      <x:c r="K60" s="102" t="str">
        <x:v>仅手动；默认不勾选</x:v>
      </x:c>
      <x:c r="L60" s="102" t="str">
        <x:v>否</x:v>
      </x:c>
      <x:c r="M60" s="103" t="str">
        <x:v>守关称号卷；物品名需与现有称号卷脚本逐字一致，数值已定</x:v>
      </x:c>
    </x:row>
    <x:row r="61">
      <x:c r="A61" s="101" t="str">
        <x:v>称号卷</x:v>
      </x:c>
      <x:c r="B61" s="102" t="str">
        <x:v>C08</x:v>
      </x:c>
      <x:c r="C61" s="102" t="str">
        <x:v>巨人山顶</x:v>
      </x:c>
      <x:c r="D61" s="102" t="str">
        <x:v>守关BOSS</x:v>
      </x:c>
      <x:c r="E61" s="102" t="str">
        <x:v>吞日霜王·乌尔迈</x:v>
      </x:c>
      <x:c r="F61" s="102" t="str">
        <x:v>[称号]吞日霜王</x:v>
      </x:c>
      <x:c r="G61" s="159" t="n">
        <x:v>33000000000</x:v>
      </x:c>
      <x:c r="H61" s="159" t="n">
        <x:v>283000000</x:v>
      </x:c>
      <x:c r="I61" s="159" t="n">
        <x:v>49500000000</x:v>
      </x:c>
      <x:c r="J61" s="159" t="n">
        <x:v>424500000</x:v>
      </x:c>
      <x:c r="K61" s="102" t="str">
        <x:v>仅手动；默认不勾选</x:v>
      </x:c>
      <x:c r="L61" s="102" t="str">
        <x:v>否</x:v>
      </x:c>
      <x:c r="M61" s="103" t="str">
        <x:v>守关称号卷；物品名需与现有称号卷脚本逐字一致，数值已定</x:v>
      </x:c>
    </x:row>
    <x:row r="62">
      <x:c r="A62" s="101" t="str">
        <x:v>称号卷</x:v>
      </x:c>
      <x:c r="B62" s="102" t="str">
        <x:v>C09</x:v>
      </x:c>
      <x:c r="C62" s="102" t="str">
        <x:v>亚坛高原</x:v>
      </x:c>
      <x:c r="D62" s="102" t="str">
        <x:v>守关BOSS</x:v>
      </x:c>
      <x:c r="E62" s="102" t="str">
        <x:v>鎏日王城之影·阿尔维萨</x:v>
      </x:c>
      <x:c r="F62" s="102" t="str">
        <x:v>[称号]鎏日王城之影</x:v>
      </x:c>
      <x:c r="G62" s="159" t="n">
        <x:v>51500000000</x:v>
      </x:c>
      <x:c r="H62" s="159" t="n">
        <x:v>710000000</x:v>
      </x:c>
      <x:c r="I62" s="159" t="n">
        <x:v>77250000000</x:v>
      </x:c>
      <x:c r="J62" s="159" t="n">
        <x:v>1065000000</x:v>
      </x:c>
      <x:c r="K62" s="102" t="str">
        <x:v>仅手动；默认不勾选</x:v>
      </x:c>
      <x:c r="L62" s="102" t="str">
        <x:v>否</x:v>
      </x:c>
      <x:c r="M62" s="103" t="str">
        <x:v>守关称号卷；物品名需与现有称号卷脚本逐字一致，数值已定</x:v>
      </x:c>
    </x:row>
    <x:row r="63">
      <x:c r="A63" s="101" t="str">
        <x:v>称号卷</x:v>
      </x:c>
      <x:c r="B63" s="102" t="str">
        <x:v>C10</x:v>
      </x:c>
      <x:c r="C63" s="102" t="str">
        <x:v>王城罗德尔</x:v>
      </x:c>
      <x:c r="D63" s="102" t="str">
        <x:v>守关BOSS</x:v>
      </x:c>
      <x:c r="E63" s="102" t="str">
        <x:v>万冠终审者·萨洛恩</x:v>
      </x:c>
      <x:c r="F63" s="102" t="str">
        <x:v>[称号]万冠终审</x:v>
      </x:c>
      <x:c r="G63" s="159" t="n">
        <x:v>62000000000</x:v>
      </x:c>
      <x:c r="H63" s="159" t="n">
        <x:v>738000000</x:v>
      </x:c>
      <x:c r="I63" s="159" t="n">
        <x:v>93000000000</x:v>
      </x:c>
      <x:c r="J63" s="159" t="n">
        <x:v>1107000000</x:v>
      </x:c>
      <x:c r="K63" s="102" t="str">
        <x:v>仅手动；默认不勾选</x:v>
      </x:c>
      <x:c r="L63" s="102" t="str">
        <x:v>否</x:v>
      </x:c>
      <x:c r="M63" s="103" t="str">
        <x:v>守关称号卷；物品名需与现有称号卷脚本逐字一致，数值已定</x:v>
      </x:c>
    </x:row>
    <x:row r="64">
      <x:c r="A64" s="101" t="str">
        <x:v>追梦神器</x:v>
      </x:c>
      <x:c r="B64" s="102" t="str">
        <x:v>全服</x:v>
      </x:c>
      <x:c r="C64" s="102" t="str">
        <x:v>第二大陆以后全服</x:v>
      </x:c>
      <x:c r="D64" s="102" t="str">
        <x:v>追梦神器</x:v>
      </x:c>
      <x:c r="E64" s="102" t="str">
        <x:v>公共追梦奖池</x:v>
      </x:c>
      <x:c r="F64" s="102" t="str">
        <x:v>玛莲妮亚的大卢恩</x:v>
      </x:c>
      <x:c r="G64" s="159" t="n">
        <x:v>125000000000</x:v>
      </x:c>
      <x:c r="H64" s="159" t="n">
        <x:v>1500000000</x:v>
      </x:c>
      <x:c r="I64" s="159" t="n">
        <x:v>187500000000</x:v>
      </x:c>
      <x:c r="J64" s="159" t="n">
        <x:v>2250000000</x:v>
      </x:c>
      <x:c r="K64" s="102" t="str">
        <x:v>仅手动；默认不勾选；三次确认建议</x:v>
      </x:c>
      <x:c r="L64" s="102" t="str">
        <x:v>否</x:v>
      </x:c>
      <x:c r="M64" s="103" t="str">
        <x:v>供不应求时不会回收；仅重复且不交易时作为终极兜底</x:v>
      </x:c>
    </x:row>
    <x:row r="65">
      <x:c r="A65" s="101" t="str">
        <x:v>追梦神器</x:v>
      </x:c>
      <x:c r="B65" s="102" t="str">
        <x:v>全服</x:v>
      </x:c>
      <x:c r="C65" s="102" t="str">
        <x:v>第二大陆以后全服</x:v>
      </x:c>
      <x:c r="D65" s="102" t="str">
        <x:v>追梦神器</x:v>
      </x:c>
      <x:c r="E65" s="102" t="str">
        <x:v>公共追梦奖池</x:v>
      </x:c>
      <x:c r="F65" s="102" t="str">
        <x:v>拉塔恩的大卢恩</x:v>
      </x:c>
      <x:c r="G65" s="159" t="n">
        <x:v>125000000000</x:v>
      </x:c>
      <x:c r="H65" s="159" t="n">
        <x:v>1500000000</x:v>
      </x:c>
      <x:c r="I65" s="159" t="n">
        <x:v>187500000000</x:v>
      </x:c>
      <x:c r="J65" s="159" t="n">
        <x:v>2250000000</x:v>
      </x:c>
      <x:c r="K65" s="102" t="str">
        <x:v>仅手动；默认不勾选；三次确认建议</x:v>
      </x:c>
      <x:c r="L65" s="102" t="str">
        <x:v>否</x:v>
      </x:c>
      <x:c r="M65" s="103" t="str">
        <x:v>供不应求时不会回收；仅重复且不交易时作为终极兜底</x:v>
      </x:c>
    </x:row>
    <x:row r="66">
      <x:c r="A66" s="101" t="str">
        <x:v>追梦神器</x:v>
      </x:c>
      <x:c r="B66" s="102" t="str">
        <x:v>全服</x:v>
      </x:c>
      <x:c r="C66" s="102" t="str">
        <x:v>第二大陆以后全服</x:v>
      </x:c>
      <x:c r="D66" s="102" t="str">
        <x:v>追梦神器</x:v>
      </x:c>
      <x:c r="E66" s="102" t="str">
        <x:v>公共追梦奖池</x:v>
      </x:c>
      <x:c r="F66" s="102" t="str">
        <x:v>蒙葛特的大卢恩</x:v>
      </x:c>
      <x:c r="G66" s="159" t="n">
        <x:v>125000000000</x:v>
      </x:c>
      <x:c r="H66" s="159" t="n">
        <x:v>1500000000</x:v>
      </x:c>
      <x:c r="I66" s="159" t="n">
        <x:v>187500000000</x:v>
      </x:c>
      <x:c r="J66" s="159" t="n">
        <x:v>2250000000</x:v>
      </x:c>
      <x:c r="K66" s="102" t="str">
        <x:v>仅手动；默认不勾选；三次确认建议</x:v>
      </x:c>
      <x:c r="L66" s="102" t="str">
        <x:v>否</x:v>
      </x:c>
      <x:c r="M66" s="103" t="str">
        <x:v>供不应求时不会回收；仅重复且不交易时作为终极兜底</x:v>
      </x:c>
    </x:row>
    <x:row r="67">
      <x:c r="A67" s="101" t="str">
        <x:v>追梦神器</x:v>
      </x:c>
      <x:c r="B67" s="102" t="str">
        <x:v>全服</x:v>
      </x:c>
      <x:c r="C67" s="102" t="str">
        <x:v>第二大陆以后全服</x:v>
      </x:c>
      <x:c r="D67" s="102" t="str">
        <x:v>追梦神器</x:v>
      </x:c>
      <x:c r="E67" s="102" t="str">
        <x:v>公共追梦奖池</x:v>
      </x:c>
      <x:c r="F67" s="102" t="str">
        <x:v>蒙格的大卢恩</x:v>
      </x:c>
      <x:c r="G67" s="159" t="n">
        <x:v>125000000000</x:v>
      </x:c>
      <x:c r="H67" s="159" t="n">
        <x:v>1500000000</x:v>
      </x:c>
      <x:c r="I67" s="159" t="n">
        <x:v>187500000000</x:v>
      </x:c>
      <x:c r="J67" s="159" t="n">
        <x:v>2250000000</x:v>
      </x:c>
      <x:c r="K67" s="102" t="str">
        <x:v>仅手动；默认不勾选；三次确认建议</x:v>
      </x:c>
      <x:c r="L67" s="102" t="str">
        <x:v>否</x:v>
      </x:c>
      <x:c r="M67" s="103" t="str">
        <x:v>供不应求时不会回收；仅重复且不交易时作为终极兜底</x:v>
      </x:c>
    </x:row>
    <x:row r="68">
      <x:c r="A68" s="101" t="str">
        <x:v>追梦神器</x:v>
      </x:c>
      <x:c r="B68" s="102" t="str">
        <x:v>全服</x:v>
      </x:c>
      <x:c r="C68" s="102" t="str">
        <x:v>第二大陆以后全服</x:v>
      </x:c>
      <x:c r="D68" s="102" t="str">
        <x:v>追梦神器</x:v>
      </x:c>
      <x:c r="E68" s="102" t="str">
        <x:v>公共追梦奖池</x:v>
      </x:c>
      <x:c r="F68" s="102" t="str">
        <x:v>拉卡德的大卢恩</x:v>
      </x:c>
      <x:c r="G68" s="159" t="n">
        <x:v>125000000000</x:v>
      </x:c>
      <x:c r="H68" s="159" t="n">
        <x:v>1500000000</x:v>
      </x:c>
      <x:c r="I68" s="159" t="n">
        <x:v>187500000000</x:v>
      </x:c>
      <x:c r="J68" s="159" t="n">
        <x:v>2250000000</x:v>
      </x:c>
      <x:c r="K68" s="102" t="str">
        <x:v>仅手动；默认不勾选；三次确认建议</x:v>
      </x:c>
      <x:c r="L68" s="102" t="str">
        <x:v>否</x:v>
      </x:c>
      <x:c r="M68" s="103" t="str">
        <x:v>供不应求时不会回收；仅重复且不交易时作为终极兜底</x:v>
      </x:c>
    </x:row>
    <x:row r="69">
      <x:c r="A69" s="104" t="str">
        <x:v>追梦神器</x:v>
      </x:c>
      <x:c r="B69" s="105" t="str">
        <x:v>全服</x:v>
      </x:c>
      <x:c r="C69" s="105" t="str">
        <x:v>第二大陆以后全服</x:v>
      </x:c>
      <x:c r="D69" s="105" t="str">
        <x:v>追梦神器</x:v>
      </x:c>
      <x:c r="E69" s="105" t="str">
        <x:v>公共追梦奖池</x:v>
      </x:c>
      <x:c r="F69" s="105" t="str">
        <x:v>葛瑞克的大卢恩</x:v>
      </x:c>
      <x:c r="G69" s="160" t="n">
        <x:v>125000000000</x:v>
      </x:c>
      <x:c r="H69" s="160" t="n">
        <x:v>1500000000</x:v>
      </x:c>
      <x:c r="I69" s="160" t="n">
        <x:v>187500000000</x:v>
      </x:c>
      <x:c r="J69" s="160" t="n">
        <x:v>2250000000</x:v>
      </x:c>
      <x:c r="K69" s="105" t="str">
        <x:v>仅手动；默认不勾选；三次确认建议</x:v>
      </x:c>
      <x:c r="L69" s="105" t="str">
        <x:v>否</x:v>
      </x:c>
      <x:c r="M69" s="106" t="str">
        <x:v>供不应求时不会回收；仅重复且不交易时作为终极兜底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e510279450e478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2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36" hidden="0" customWidth="1"/>
    <x:col min="10" max="10" width="14" hidden="0" customWidth="1"/>
    <x:col min="11" max="11" width="45" hidden="0" customWidth="1"/>
  </x:cols>
  <x:sheetData>
    <x:row r="1" ht="28" customHeight="1">
      <x:c r="A1" s="5" t="str">
        <x:v>38件合成穿戴物残值回收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4" t="str">
        <x:v>用户最新规则允许高价值物回收。本表取消旧“一律不可回收”，改为只返还基础货币成本20%，且不返还任何材料；50%加成后实际返还约30%。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32" customHeight="1">
      <x:c r="A4" s="63" t="str">
        <x:v>大陆ID</x:v>
      </x:c>
      <x:c r="B4" s="64" t="str">
        <x:v>大陆</x:v>
      </x:c>
      <x:c r="C4" s="64" t="str">
        <x:v>类别</x:v>
      </x:c>
      <x:c r="D4" s="64" t="str">
        <x:v>物品名称</x:v>
      </x:c>
      <x:c r="E4" s="64" t="str">
        <x:v>基础金币</x:v>
      </x:c>
      <x:c r="F4" s="64" t="str">
        <x:v>基础元宝</x:v>
      </x:c>
      <x:c r="G4" s="64" t="str">
        <x:v>50%加成后金币</x:v>
      </x:c>
      <x:c r="H4" s="64" t="str">
        <x:v>50%加成后元宝</x:v>
      </x:c>
      <x:c r="I4" s="64" t="str">
        <x:v>回收方式</x:v>
      </x:c>
      <x:c r="J4" s="64" t="str">
        <x:v>计入产出模型</x:v>
      </x:c>
      <x:c r="K4" s="65" t="str">
        <x:v>备注</x:v>
      </x:c>
    </x:row>
    <x:row r="5">
      <x:c r="A5" s="98" t="str">
        <x:v>C01</x:v>
      </x:c>
      <x:c r="B5" s="99" t="str">
        <x:v>漂流群岛</x:v>
      </x:c>
      <x:c r="C5" s="99" t="str">
        <x:v>装备合成</x:v>
      </x:c>
      <x:c r="D5" s="99" t="str">
        <x:v>潮归秘戒</x:v>
      </x:c>
      <x:c r="E5" s="158" t="n">
        <x:v>320000000</x:v>
      </x:c>
      <x:c r="F5" s="158" t="n">
        <x:v>0</x:v>
      </x:c>
      <x:c r="G5" s="158" t="n">
        <x:v>480000000</x:v>
      </x:c>
      <x:c r="H5" s="158" t="n">
        <x:v>0</x:v>
      </x:c>
      <x:c r="I5" s="99" t="str">
        <x:v>仅手动；默认不勾选；不返还任何材料</x:v>
      </x:c>
      <x:c r="J5" s="99" t="str">
        <x:v>否</x:v>
      </x:c>
      <x:c r="K5" s="100" t="str">
        <x:v>基础回收价=合成货币成本20%；50%加成后实际返还约30%，阻断合成套利</x:v>
      </x:c>
    </x:row>
    <x:row r="6">
      <x:c r="A6" s="101" t="str">
        <x:v>C02</x:v>
      </x:c>
      <x:c r="B6" s="102" t="str">
        <x:v>宁姆格福</x:v>
      </x:c>
      <x:c r="C6" s="102" t="str">
        <x:v>装备合成</x:v>
      </x:c>
      <x:c r="D6" s="102" t="str">
        <x:v>风暴王庭链</x:v>
      </x:c>
      <x:c r="E6" s="159" t="n">
        <x:v>0</x:v>
      </x:c>
      <x:c r="F6" s="159" t="n">
        <x:v>11500000</x:v>
      </x:c>
      <x:c r="G6" s="159" t="n">
        <x:v>0</x:v>
      </x:c>
      <x:c r="H6" s="159" t="n">
        <x:v>17250000</x:v>
      </x:c>
      <x:c r="I6" s="102" t="str">
        <x:v>仅手动；默认不勾选；不返还任何材料</x:v>
      </x:c>
      <x:c r="J6" s="102" t="str">
        <x:v>否</x:v>
      </x:c>
      <x:c r="K6" s="103" t="str">
        <x:v>基础回收价=合成货币成本20%；50%加成后实际返还约30%，阻断合成套利</x:v>
      </x:c>
    </x:row>
    <x:row r="7">
      <x:c r="A7" s="101" t="str">
        <x:v>C02</x:v>
      </x:c>
      <x:c r="B7" s="102" t="str">
        <x:v>宁姆格福</x:v>
      </x:c>
      <x:c r="C7" s="102" t="str">
        <x:v>装备合成</x:v>
      </x:c>
      <x:c r="D7" s="102" t="str">
        <x:v>百指接肢腕</x:v>
      </x:c>
      <x:c r="E7" s="159" t="n">
        <x:v>980000000</x:v>
      </x:c>
      <x:c r="F7" s="159" t="n">
        <x:v>6300000</x:v>
      </x:c>
      <x:c r="G7" s="159" t="n">
        <x:v>1470000000</x:v>
      </x:c>
      <x:c r="H7" s="159" t="n">
        <x:v>9450000</x:v>
      </x:c>
      <x:c r="I7" s="102" t="str">
        <x:v>仅手动；默认不勾选；不返还任何材料</x:v>
      </x:c>
      <x:c r="J7" s="102" t="str">
        <x:v>否</x:v>
      </x:c>
      <x:c r="K7" s="103" t="str">
        <x:v>基础回收价=合成货币成本20%；50%加成后实际返还约30%，阻断合成套利</x:v>
      </x:c>
    </x:row>
    <x:row r="8">
      <x:c r="A8" s="101" t="str">
        <x:v>C03</x:v>
      </x:c>
      <x:c r="B8" s="102" t="str">
        <x:v>宁姆格福西域</x:v>
      </x:c>
      <x:c r="C8" s="102" t="str">
        <x:v>装备合成</x:v>
      </x:c>
      <x:c r="D8" s="102" t="str">
        <x:v>断途战冠</x:v>
      </x:c>
      <x:c r="E8" s="159" t="n">
        <x:v>3200000000</x:v>
      </x:c>
      <x:c r="F8" s="159" t="n">
        <x:v>0</x:v>
      </x:c>
      <x:c r="G8" s="159" t="n">
        <x:v>4800000000</x:v>
      </x:c>
      <x:c r="H8" s="159" t="n">
        <x:v>0</x:v>
      </x:c>
      <x:c r="I8" s="102" t="str">
        <x:v>仅手动；默认不勾选；不返还任何材料</x:v>
      </x:c>
      <x:c r="J8" s="102" t="str">
        <x:v>否</x:v>
      </x:c>
      <x:c r="K8" s="103" t="str">
        <x:v>基础回收价=合成货币成本20%；50%加成后实际返还约30%，阻断合成套利</x:v>
      </x:c>
    </x:row>
    <x:row r="9">
      <x:c r="A9" s="101" t="str">
        <x:v>C03</x:v>
      </x:c>
      <x:c r="B9" s="102" t="str">
        <x:v>宁姆格福西域</x:v>
      </x:c>
      <x:c r="C9" s="102" t="str">
        <x:v>装备合成</x:v>
      </x:c>
      <x:c r="D9" s="102" t="str">
        <x:v>逐风征靴</x:v>
      </x:c>
      <x:c r="E9" s="159" t="n">
        <x:v>3200000000</x:v>
      </x:c>
      <x:c r="F9" s="159" t="n">
        <x:v>0</x:v>
      </x:c>
      <x:c r="G9" s="159" t="n">
        <x:v>4800000000</x:v>
      </x:c>
      <x:c r="H9" s="159" t="n">
        <x:v>0</x:v>
      </x:c>
      <x:c r="I9" s="102" t="str">
        <x:v>仅手动；默认不勾选；不返还任何材料</x:v>
      </x:c>
      <x:c r="J9" s="102" t="str">
        <x:v>否</x:v>
      </x:c>
      <x:c r="K9" s="103" t="str">
        <x:v>基础回收价=合成货币成本20%；50%加成后实际返还约30%，阻断合成套利</x:v>
      </x:c>
    </x:row>
    <x:row r="10">
      <x:c r="A10" s="101" t="str">
        <x:v>C04</x:v>
      </x:c>
      <x:c r="B10" s="102" t="str">
        <x:v>利耶尼亚海域</x:v>
      </x:c>
      <x:c r="C10" s="102" t="str">
        <x:v>装备合成</x:v>
      </x:c>
      <x:c r="D10" s="102" t="str">
        <x:v>闭潮王带</x:v>
      </x:c>
      <x:c r="E10" s="159" t="n">
        <x:v>2200000000</x:v>
      </x:c>
      <x:c r="F10" s="159" t="n">
        <x:v>19500000</x:v>
      </x:c>
      <x:c r="G10" s="159" t="n">
        <x:v>3300000000</x:v>
      </x:c>
      <x:c r="H10" s="159" t="n">
        <x:v>29250000</x:v>
      </x:c>
      <x:c r="I10" s="102" t="str">
        <x:v>仅手动；默认不勾选；不返还任何材料</x:v>
      </x:c>
      <x:c r="J10" s="102" t="str">
        <x:v>否</x:v>
      </x:c>
      <x:c r="K10" s="103" t="str">
        <x:v>基础回收价=合成货币成本20%；50%加成后实际返还约30%，阻断合成套利</x:v>
      </x:c>
    </x:row>
    <x:row r="11">
      <x:c r="A11" s="101" t="str">
        <x:v>C04</x:v>
      </x:c>
      <x:c r="B11" s="102" t="str">
        <x:v>利耶尼亚海域</x:v>
      </x:c>
      <x:c r="C11" s="102" t="str">
        <x:v>装备合成</x:v>
      </x:c>
      <x:c r="D11" s="102" t="str">
        <x:v>月渊秘戒</x:v>
      </x:c>
      <x:c r="E11" s="159" t="n">
        <x:v>2200000000</x:v>
      </x:c>
      <x:c r="F11" s="159" t="n">
        <x:v>19500000</x:v>
      </x:c>
      <x:c r="G11" s="159" t="n">
        <x:v>3300000000</x:v>
      </x:c>
      <x:c r="H11" s="159" t="n">
        <x:v>29250000</x:v>
      </x:c>
      <x:c r="I11" s="102" t="str">
        <x:v>仅手动；默认不勾选；不返还任何材料</x:v>
      </x:c>
      <x:c r="J11" s="102" t="str">
        <x:v>否</x:v>
      </x:c>
      <x:c r="K11" s="103" t="str">
        <x:v>基础回收价=合成货币成本20%；50%加成后实际返还约30%，阻断合成套利</x:v>
      </x:c>
    </x:row>
    <x:row r="12">
      <x:c r="A12" s="101" t="str">
        <x:v>C04</x:v>
      </x:c>
      <x:c r="B12" s="102" t="str">
        <x:v>利耶尼亚海域</x:v>
      </x:c>
      <x:c r="C12" s="102" t="str">
        <x:v>装备合成</x:v>
      </x:c>
      <x:c r="D12" s="102" t="str">
        <x:v>闭潮秘饰</x:v>
      </x:c>
      <x:c r="E12" s="159" t="n">
        <x:v>0</x:v>
      </x:c>
      <x:c r="F12" s="159" t="n">
        <x:v>58500000</x:v>
      </x:c>
      <x:c r="G12" s="159" t="n">
        <x:v>0</x:v>
      </x:c>
      <x:c r="H12" s="159" t="n">
        <x:v>87750000</x:v>
      </x:c>
      <x:c r="I12" s="102" t="str">
        <x:v>仅手动；默认不勾选；不返还任何材料</x:v>
      </x:c>
      <x:c r="J12" s="102" t="str">
        <x:v>否</x:v>
      </x:c>
      <x:c r="K12" s="103" t="str">
        <x:v>基础回收价=合成货币成本20%；50%加成后实际返还约30%，阻断合成套利</x:v>
      </x:c>
    </x:row>
    <x:row r="13">
      <x:c r="A13" s="101" t="str">
        <x:v>C05</x:v>
      </x:c>
      <x:c r="B13" s="102" t="str">
        <x:v>湖之利耶尼亚</x:v>
      </x:c>
      <x:c r="C13" s="102" t="str">
        <x:v>装备合成</x:v>
      </x:c>
      <x:c r="D13" s="102" t="str">
        <x:v>卡利亚月裁长刃</x:v>
      </x:c>
      <x:c r="E13" s="159" t="n">
        <x:v>0</x:v>
      </x:c>
      <x:c r="F13" s="159" t="n">
        <x:v>99000000</x:v>
      </x:c>
      <x:c r="G13" s="159" t="n">
        <x:v>0</x:v>
      </x:c>
      <x:c r="H13" s="159" t="n">
        <x:v>148500000</x:v>
      </x:c>
      <x:c r="I13" s="102" t="str">
        <x:v>仅手动；默认不勾选；不返还任何材料</x:v>
      </x:c>
      <x:c r="J13" s="102" t="str">
        <x:v>否</x:v>
      </x:c>
      <x:c r="K13" s="103" t="str">
        <x:v>基础回收价=合成货币成本20%；50%加成后实际返还约30%，阻断合成套利</x:v>
      </x:c>
    </x:row>
    <x:row r="14">
      <x:c r="A14" s="101" t="str">
        <x:v>C05</x:v>
      </x:c>
      <x:c r="B14" s="102" t="str">
        <x:v>湖之利耶尼亚</x:v>
      </x:c>
      <x:c r="C14" s="102" t="str">
        <x:v>装备合成</x:v>
      </x:c>
      <x:c r="D14" s="102" t="str">
        <x:v>辉月镜戒</x:v>
      </x:c>
      <x:c r="E14" s="159" t="n">
        <x:v>0</x:v>
      </x:c>
      <x:c r="F14" s="159" t="n">
        <x:v>124000000</x:v>
      </x:c>
      <x:c r="G14" s="159" t="n">
        <x:v>0</x:v>
      </x:c>
      <x:c r="H14" s="159" t="n">
        <x:v>186000000</x:v>
      </x:c>
      <x:c r="I14" s="102" t="str">
        <x:v>仅手动；默认不勾选；不返还任何材料</x:v>
      </x:c>
      <x:c r="J14" s="102" t="str">
        <x:v>否</x:v>
      </x:c>
      <x:c r="K14" s="103" t="str">
        <x:v>基础回收价=合成货币成本20%；50%加成后实际返还约30%，阻断合成套利</x:v>
      </x:c>
    </x:row>
    <x:row r="15">
      <x:c r="A15" s="101" t="str">
        <x:v>C06</x:v>
      </x:c>
      <x:c r="B15" s="102" t="str">
        <x:v>盖利德</x:v>
      </x:c>
      <x:c r="C15" s="102" t="str">
        <x:v>装备合成</x:v>
      </x:c>
      <x:c r="D15" s="102" t="str">
        <x:v>碎星红狮战甲</x:v>
      </x:c>
      <x:c r="E15" s="159" t="n">
        <x:v>9700000000</x:v>
      </x:c>
      <x:c r="F15" s="159" t="n">
        <x:v>0</x:v>
      </x:c>
      <x:c r="G15" s="159" t="n">
        <x:v>14550000000</x:v>
      </x:c>
      <x:c r="H15" s="159" t="n">
        <x:v>0</x:v>
      </x:c>
      <x:c r="I15" s="102" t="str">
        <x:v>仅手动；默认不勾选；不返还任何材料</x:v>
      </x:c>
      <x:c r="J15" s="102" t="str">
        <x:v>否</x:v>
      </x:c>
      <x:c r="K15" s="103" t="str">
        <x:v>基础回收价=合成货币成本20%；50%加成后实际返还约30%，阻断合成套利</x:v>
      </x:c>
    </x:row>
    <x:row r="16">
      <x:c r="A16" s="101" t="str">
        <x:v>C06</x:v>
      </x:c>
      <x:c r="B16" s="102" t="str">
        <x:v>盖利德</x:v>
      </x:c>
      <x:c r="C16" s="102" t="str">
        <x:v>装备合成</x:v>
      </x:c>
      <x:c r="D16" s="102" t="str">
        <x:v>龙火刑腕</x:v>
      </x:c>
      <x:c r="E16" s="159" t="n">
        <x:v>9700000000</x:v>
      </x:c>
      <x:c r="F16" s="159" t="n">
        <x:v>0</x:v>
      </x:c>
      <x:c r="G16" s="159" t="n">
        <x:v>14550000000</x:v>
      </x:c>
      <x:c r="H16" s="159" t="n">
        <x:v>0</x:v>
      </x:c>
      <x:c r="I16" s="102" t="str">
        <x:v>仅手动；默认不勾选；不返还任何材料</x:v>
      </x:c>
      <x:c r="J16" s="102" t="str">
        <x:v>否</x:v>
      </x:c>
      <x:c r="K16" s="103" t="str">
        <x:v>基础回收价=合成货币成本20%；50%加成后实际返还约30%，阻断合成套利</x:v>
      </x:c>
    </x:row>
    <x:row r="17">
      <x:c r="A17" s="101" t="str">
        <x:v>C06</x:v>
      </x:c>
      <x:c r="B17" s="102" t="str">
        <x:v>盖利德</x:v>
      </x:c>
      <x:c r="C17" s="102" t="str">
        <x:v>装备合成</x:v>
      </x:c>
      <x:c r="D17" s="102" t="str">
        <x:v>红狮余烬王衣</x:v>
      </x:c>
      <x:c r="E17" s="159" t="n">
        <x:v>8900000000</x:v>
      </x:c>
      <x:c r="F17" s="159" t="n">
        <x:v>74500000</x:v>
      </x:c>
      <x:c r="G17" s="159" t="n">
        <x:v>13350000000</x:v>
      </x:c>
      <x:c r="H17" s="159" t="n">
        <x:v>111750000</x:v>
      </x:c>
      <x:c r="I17" s="102" t="str">
        <x:v>仅手动；默认不勾选；不返还任何材料</x:v>
      </x:c>
      <x:c r="J17" s="102" t="str">
        <x:v>否</x:v>
      </x:c>
      <x:c r="K17" s="103" t="str">
        <x:v>基础回收价=合成货币成本20%；50%加成后实际返还约30%，阻断合成套利</x:v>
      </x:c>
    </x:row>
    <x:row r="18">
      <x:c r="A18" s="101" t="str">
        <x:v>C07</x:v>
      </x:c>
      <x:c r="B18" s="102" t="str">
        <x:v>化圣雪原</x:v>
      </x:c>
      <x:c r="C18" s="102" t="str">
        <x:v>装备合成</x:v>
      </x:c>
      <x:c r="D18" s="102" t="str">
        <x:v>永霜白金刃</x:v>
      </x:c>
      <x:c r="E18" s="159" t="n">
        <x:v>15000000000</x:v>
      </x:c>
      <x:c r="F18" s="159" t="n">
        <x:v>147000000</x:v>
      </x:c>
      <x:c r="G18" s="159" t="n">
        <x:v>22500000000</x:v>
      </x:c>
      <x:c r="H18" s="159" t="n">
        <x:v>220500000</x:v>
      </x:c>
      <x:c r="I18" s="102" t="str">
        <x:v>仅手动；默认不勾选；不返还任何材料</x:v>
      </x:c>
      <x:c r="J18" s="102" t="str">
        <x:v>否</x:v>
      </x:c>
      <x:c r="K18" s="103" t="str">
        <x:v>基础回收价=合成货币成本20%；50%加成后实际返还约30%，阻断合成套利</x:v>
      </x:c>
    </x:row>
    <x:row r="19">
      <x:c r="A19" s="101" t="str">
        <x:v>C07</x:v>
      </x:c>
      <x:c r="B19" s="102" t="str">
        <x:v>化圣雪原</x:v>
      </x:c>
      <x:c r="C19" s="102" t="str">
        <x:v>装备合成</x:v>
      </x:c>
      <x:c r="D19" s="102" t="str">
        <x:v>圣雪无火礼衣</x:v>
      </x:c>
      <x:c r="E19" s="159" t="n">
        <x:v>15000000000</x:v>
      </x:c>
      <x:c r="F19" s="159" t="n">
        <x:v>147000000</x:v>
      </x:c>
      <x:c r="G19" s="159" t="n">
        <x:v>22500000000</x:v>
      </x:c>
      <x:c r="H19" s="159" t="n">
        <x:v>220500000</x:v>
      </x:c>
      <x:c r="I19" s="102" t="str">
        <x:v>仅手动；默认不勾选；不返还任何材料</x:v>
      </x:c>
      <x:c r="J19" s="102" t="str">
        <x:v>否</x:v>
      </x:c>
      <x:c r="K19" s="103" t="str">
        <x:v>基础回收价=合成货币成本20%；50%加成后实际返还约30%，阻断合成套利</x:v>
      </x:c>
    </x:row>
    <x:row r="20">
      <x:c r="A20" s="101" t="str">
        <x:v>C08</x:v>
      </x:c>
      <x:c r="B20" s="102" t="str">
        <x:v>巨人山顶</x:v>
      </x:c>
      <x:c r="C20" s="102" t="str">
        <x:v>装备合成</x:v>
      </x:c>
      <x:c r="D20" s="102" t="str">
        <x:v>巨人炉心颈环</x:v>
      </x:c>
      <x:c r="E20" s="159" t="n">
        <x:v>20000000000</x:v>
      </x:c>
      <x:c r="F20" s="159" t="n">
        <x:v>0</x:v>
      </x:c>
      <x:c r="G20" s="159" t="n">
        <x:v>30000000000</x:v>
      </x:c>
      <x:c r="H20" s="159" t="n">
        <x:v>0</x:v>
      </x:c>
      <x:c r="I20" s="102" t="str">
        <x:v>仅手动；默认不勾选；不返还任何材料</x:v>
      </x:c>
      <x:c r="J20" s="102" t="str">
        <x:v>否</x:v>
      </x:c>
      <x:c r="K20" s="103" t="str">
        <x:v>基础回收价=合成货币成本20%；50%加成后实际返还约30%，阻断合成套利</x:v>
      </x:c>
    </x:row>
    <x:row r="21">
      <x:c r="A21" s="101" t="str">
        <x:v>C08</x:v>
      </x:c>
      <x:c r="B21" s="102" t="str">
        <x:v>巨人山顶</x:v>
      </x:c>
      <x:c r="C21" s="102" t="str">
        <x:v>装备合成</x:v>
      </x:c>
      <x:c r="D21" s="102" t="str">
        <x:v>吞日霜壁</x:v>
      </x:c>
      <x:c r="E21" s="159" t="n">
        <x:v>20000000000</x:v>
      </x:c>
      <x:c r="F21" s="159" t="n">
        <x:v>0</x:v>
      </x:c>
      <x:c r="G21" s="159" t="n">
        <x:v>30000000000</x:v>
      </x:c>
      <x:c r="H21" s="159" t="n">
        <x:v>0</x:v>
      </x:c>
      <x:c r="I21" s="102" t="str">
        <x:v>仅手动；默认不勾选；不返还任何材料</x:v>
      </x:c>
      <x:c r="J21" s="102" t="str">
        <x:v>否</x:v>
      </x:c>
      <x:c r="K21" s="103" t="str">
        <x:v>基础回收价=合成货币成本20%；50%加成后实际返还约30%，阻断合成套利</x:v>
      </x:c>
    </x:row>
    <x:row r="22">
      <x:c r="A22" s="101" t="str">
        <x:v>C08</x:v>
      </x:c>
      <x:c r="B22" s="102" t="str">
        <x:v>巨人山顶</x:v>
      </x:c>
      <x:c r="C22" s="102" t="str">
        <x:v>装备合成</x:v>
      </x:c>
      <x:c r="D22" s="102" t="str">
        <x:v>穹霜炉心秘饰</x:v>
      </x:c>
      <x:c r="E22" s="159" t="n">
        <x:v>18000000000</x:v>
      </x:c>
      <x:c r="F22" s="159" t="n">
        <x:v>156000000</x:v>
      </x:c>
      <x:c r="G22" s="159" t="n">
        <x:v>27000000000</x:v>
      </x:c>
      <x:c r="H22" s="159" t="n">
        <x:v>234000000</x:v>
      </x:c>
      <x:c r="I22" s="102" t="str">
        <x:v>仅手动；默认不勾选；不返还任何材料</x:v>
      </x:c>
      <x:c r="J22" s="102" t="str">
        <x:v>否</x:v>
      </x:c>
      <x:c r="K22" s="103" t="str">
        <x:v>基础回收价=合成货币成本20%；50%加成后实际返还约30%，阻断合成套利</x:v>
      </x:c>
    </x:row>
    <x:row r="23">
      <x:c r="A23" s="101" t="str">
        <x:v>C09</x:v>
      </x:c>
      <x:c r="B23" s="102" t="str">
        <x:v>亚坛高原</x:v>
      </x:c>
      <x:c r="C23" s="102" t="str">
        <x:v>装备合成</x:v>
      </x:c>
      <x:c r="D23" s="102" t="str">
        <x:v>黄金律裁阳刃</x:v>
      </x:c>
      <x:c r="E23" s="159" t="n">
        <x:v>0</x:v>
      </x:c>
      <x:c r="F23" s="159" t="n">
        <x:v>568000000</x:v>
      </x:c>
      <x:c r="G23" s="159" t="n">
        <x:v>0</x:v>
      </x:c>
      <x:c r="H23" s="159" t="n">
        <x:v>852000000</x:v>
      </x:c>
      <x:c r="I23" s="102" t="str">
        <x:v>仅手动；默认不勾选；不返还任何材料</x:v>
      </x:c>
      <x:c r="J23" s="102" t="str">
        <x:v>否</x:v>
      </x:c>
      <x:c r="K23" s="103" t="str">
        <x:v>基础回收价=合成货币成本20%；50%加成后实际返还约30%，阻断合成套利</x:v>
      </x:c>
    </x:row>
    <x:row r="24">
      <x:c r="A24" s="101" t="str">
        <x:v>C09</x:v>
      </x:c>
      <x:c r="B24" s="102" t="str">
        <x:v>亚坛高原</x:v>
      </x:c>
      <x:c r="C24" s="102" t="str">
        <x:v>装备合成</x:v>
      </x:c>
      <x:c r="D24" s="102" t="str">
        <x:v>鎏日王仪战衣</x:v>
      </x:c>
      <x:c r="E24" s="159" t="n">
        <x:v>0</x:v>
      </x:c>
      <x:c r="F24" s="159" t="n">
        <x:v>710000000</x:v>
      </x:c>
      <x:c r="G24" s="159" t="n">
        <x:v>0</x:v>
      </x:c>
      <x:c r="H24" s="159" t="n">
        <x:v>1065000000</x:v>
      </x:c>
      <x:c r="I24" s="102" t="str">
        <x:v>仅手动；默认不勾选；不返还任何材料</x:v>
      </x:c>
      <x:c r="J24" s="102" t="str">
        <x:v>否</x:v>
      </x:c>
      <x:c r="K24" s="103" t="str">
        <x:v>基础回收价=合成货币成本20%；50%加成后实际返还约30%，阻断合成套利</x:v>
      </x:c>
    </x:row>
    <x:row r="25">
      <x:c r="A25" s="101" t="str">
        <x:v>C10</x:v>
      </x:c>
      <x:c r="B25" s="102" t="str">
        <x:v>王城罗德尔</x:v>
      </x:c>
      <x:c r="C25" s="102" t="str">
        <x:v>装备合成</x:v>
      </x:c>
      <x:c r="D25" s="102" t="str">
        <x:v>王座终裁圣刃</x:v>
      </x:c>
      <x:c r="E25" s="159" t="n">
        <x:v>27000000000</x:v>
      </x:c>
      <x:c r="F25" s="159" t="n">
        <x:v>324000000</x:v>
      </x:c>
      <x:c r="G25" s="159" t="n">
        <x:v>40500000000</x:v>
      </x:c>
      <x:c r="H25" s="159" t="n">
        <x:v>486000000</x:v>
      </x:c>
      <x:c r="I25" s="102" t="str">
        <x:v>仅手动；默认不勾选；不返还任何材料</x:v>
      </x:c>
      <x:c r="J25" s="102" t="str">
        <x:v>否</x:v>
      </x:c>
      <x:c r="K25" s="103" t="str">
        <x:v>基础回收价=合成货币成本20%；50%加成后实际返还约30%，阻断合成套利</x:v>
      </x:c>
    </x:row>
    <x:row r="26">
      <x:c r="A26" s="101" t="str">
        <x:v>C10</x:v>
      </x:c>
      <x:c r="B26" s="102" t="str">
        <x:v>王城罗德尔</x:v>
      </x:c>
      <x:c r="C26" s="102" t="str">
        <x:v>装备合成</x:v>
      </x:c>
      <x:c r="D26" s="102" t="str">
        <x:v>艾尔登无冕王衣</x:v>
      </x:c>
      <x:c r="E26" s="159" t="n">
        <x:v>34000000000</x:v>
      </x:c>
      <x:c r="F26" s="159" t="n">
        <x:v>406000000</x:v>
      </x:c>
      <x:c r="G26" s="159" t="n">
        <x:v>51000000000</x:v>
      </x:c>
      <x:c r="H26" s="159" t="n">
        <x:v>609000000</x:v>
      </x:c>
      <x:c r="I26" s="102" t="str">
        <x:v>仅手动；默认不勾选；不返还任何材料</x:v>
      </x:c>
      <x:c r="J26" s="102" t="str">
        <x:v>否</x:v>
      </x:c>
      <x:c r="K26" s="103" t="str">
        <x:v>基础回收价=合成货币成本20%；50%加成后实际返还约30%，阻断合成套利</x:v>
      </x:c>
    </x:row>
    <x:row r="27">
      <x:c r="A27" s="101" t="str">
        <x:v>C10</x:v>
      </x:c>
      <x:c r="B27" s="102" t="str">
        <x:v>王城罗德尔</x:v>
      </x:c>
      <x:c r="C27" s="102" t="str">
        <x:v>装备合成</x:v>
      </x:c>
      <x:c r="D27" s="102" t="str">
        <x:v>无上王徽秘饰</x:v>
      </x:c>
      <x:c r="E27" s="159" t="n">
        <x:v>34000000000</x:v>
      </x:c>
      <x:c r="F27" s="159" t="n">
        <x:v>406000000</x:v>
      </x:c>
      <x:c r="G27" s="159" t="n">
        <x:v>51000000000</x:v>
      </x:c>
      <x:c r="H27" s="159" t="n">
        <x:v>609000000</x:v>
      </x:c>
      <x:c r="I27" s="102" t="str">
        <x:v>仅手动；默认不勾选；不返还任何材料</x:v>
      </x:c>
      <x:c r="J27" s="102" t="str">
        <x:v>否</x:v>
      </x:c>
      <x:c r="K27" s="103" t="str">
        <x:v>基础回收价=合成货币成本20%；50%加成后实际返还约30%，阻断合成套利</x:v>
      </x:c>
    </x:row>
    <x:row r="28">
      <x:c r="A28" s="101" t="str">
        <x:v>C01</x:v>
      </x:c>
      <x:c r="B28" s="102" t="str">
        <x:v>漂流群岛</x:v>
      </x:c>
      <x:c r="C28" s="102" t="str">
        <x:v>生肖合成</x:v>
      </x:c>
      <x:c r="D28" s="102" t="str">
        <x:v>子鼠·潮舱寻金</x:v>
      </x:c>
      <x:c r="E28" s="159" t="n">
        <x:v>220000000</x:v>
      </x:c>
      <x:c r="F28" s="159" t="n">
        <x:v>0</x:v>
      </x:c>
      <x:c r="G28" s="159" t="n">
        <x:v>330000000</x:v>
      </x:c>
      <x:c r="H28" s="159" t="n">
        <x:v>0</x:v>
      </x:c>
      <x:c r="I28" s="102" t="str">
        <x:v>仅手动；默认不勾选；不返还任何材料</x:v>
      </x:c>
      <x:c r="J28" s="102" t="str">
        <x:v>否</x:v>
      </x:c>
      <x:c r="K28" s="103" t="str">
        <x:v>基础回收价=合成货币成本20%；50%加成后实际返还约30%，阻断合成套利</x:v>
      </x:c>
    </x:row>
    <x:row r="29">
      <x:c r="A29" s="101" t="str">
        <x:v>C02</x:v>
      </x:c>
      <x:c r="B29" s="102" t="str">
        <x:v>宁姆格福</x:v>
      </x:c>
      <x:c r="C29" s="102" t="str">
        <x:v>生肖合成</x:v>
      </x:c>
      <x:c r="D29" s="102" t="str">
        <x:v>丑牛·风暴负山</x:v>
      </x:c>
      <x:c r="E29" s="159" t="n">
        <x:v>0</x:v>
      </x:c>
      <x:c r="F29" s="159" t="n">
        <x:v>7600000</x:v>
      </x:c>
      <x:c r="G29" s="159" t="n">
        <x:v>0</x:v>
      </x:c>
      <x:c r="H29" s="159" t="n">
        <x:v>11400000</x:v>
      </x:c>
      <x:c r="I29" s="102" t="str">
        <x:v>仅手动；默认不勾选；不返还任何材料</x:v>
      </x:c>
      <x:c r="J29" s="102" t="str">
        <x:v>否</x:v>
      </x:c>
      <x:c r="K29" s="103" t="str">
        <x:v>基础回收价=合成货币成本20%；50%加成后实际返还约30%，阻断合成套利</x:v>
      </x:c>
    </x:row>
    <x:row r="30">
      <x:c r="A30" s="101" t="str">
        <x:v>C03</x:v>
      </x:c>
      <x:c r="B30" s="102" t="str">
        <x:v>宁姆格福西域</x:v>
      </x:c>
      <x:c r="C30" s="102" t="str">
        <x:v>生肖合成</x:v>
      </x:c>
      <x:c r="D30" s="102" t="str">
        <x:v>辰龙·荒原逐风</x:v>
      </x:c>
      <x:c r="E30" s="159" t="n">
        <x:v>2100000000</x:v>
      </x:c>
      <x:c r="F30" s="159" t="n">
        <x:v>0</x:v>
      </x:c>
      <x:c r="G30" s="159" t="n">
        <x:v>3150000000</x:v>
      </x:c>
      <x:c r="H30" s="159" t="n">
        <x:v>0</x:v>
      </x:c>
      <x:c r="I30" s="102" t="str">
        <x:v>仅手动；默认不勾选；不返还任何材料</x:v>
      </x:c>
      <x:c r="J30" s="102" t="str">
        <x:v>否</x:v>
      </x:c>
      <x:c r="K30" s="103" t="str">
        <x:v>基础回收价=合成货币成本20%；50%加成后实际返还约30%，阻断合成套利</x:v>
      </x:c>
    </x:row>
    <x:row r="31">
      <x:c r="A31" s="101" t="str">
        <x:v>C04</x:v>
      </x:c>
      <x:c r="B31" s="102" t="str">
        <x:v>利耶尼亚海域</x:v>
      </x:c>
      <x:c r="C31" s="102" t="str">
        <x:v>生肖合成</x:v>
      </x:c>
      <x:c r="D31" s="102" t="str">
        <x:v>巳蛇·沉潮缚月</x:v>
      </x:c>
      <x:c r="E31" s="159" t="n">
        <x:v>1500000000</x:v>
      </x:c>
      <x:c r="F31" s="159" t="n">
        <x:v>13000000</x:v>
      </x:c>
      <x:c r="G31" s="159" t="n">
        <x:v>2250000000</x:v>
      </x:c>
      <x:c r="H31" s="159" t="n">
        <x:v>19500000</x:v>
      </x:c>
      <x:c r="I31" s="102" t="str">
        <x:v>仅手动；默认不勾选；不返还任何材料</x:v>
      </x:c>
      <x:c r="J31" s="102" t="str">
        <x:v>否</x:v>
      </x:c>
      <x:c r="K31" s="103" t="str">
        <x:v>基础回收价=合成货币成本20%；50%加成后实际返还约30%，阻断合成套利</x:v>
      </x:c>
    </x:row>
    <x:row r="32">
      <x:c r="A32" s="101" t="str">
        <x:v>C05</x:v>
      </x:c>
      <x:c r="B32" s="102" t="str">
        <x:v>湖之利耶尼亚</x:v>
      </x:c>
      <x:c r="C32" s="102" t="str">
        <x:v>生肖合成</x:v>
      </x:c>
      <x:c r="D32" s="102" t="str">
        <x:v>卯兔·镜月折辉</x:v>
      </x:c>
      <x:c r="E32" s="159" t="n">
        <x:v>0</x:v>
      </x:c>
      <x:c r="F32" s="159" t="n">
        <x:v>49500000</x:v>
      </x:c>
      <x:c r="G32" s="159" t="n">
        <x:v>0</x:v>
      </x:c>
      <x:c r="H32" s="159" t="n">
        <x:v>74250000</x:v>
      </x:c>
      <x:c r="I32" s="102" t="str">
        <x:v>仅手动；默认不勾选；不返还任何材料</x:v>
      </x:c>
      <x:c r="J32" s="102" t="str">
        <x:v>否</x:v>
      </x:c>
      <x:c r="K32" s="103" t="str">
        <x:v>基础回收价=合成货币成本20%；50%加成后实际返还约30%，阻断合成套利</x:v>
      </x:c>
    </x:row>
    <x:row r="33">
      <x:c r="A33" s="101" t="str">
        <x:v>C06</x:v>
      </x:c>
      <x:c r="B33" s="102" t="str">
        <x:v>盖利德</x:v>
      </x:c>
      <x:c r="C33" s="102" t="str">
        <x:v>生肖合成</x:v>
      </x:c>
      <x:c r="D33" s="102" t="str">
        <x:v>寅虎·红狮焚原</x:v>
      </x:c>
      <x:c r="E33" s="159" t="n">
        <x:v>6500000000</x:v>
      </x:c>
      <x:c r="F33" s="159" t="n">
        <x:v>0</x:v>
      </x:c>
      <x:c r="G33" s="159" t="n">
        <x:v>9750000000</x:v>
      </x:c>
      <x:c r="H33" s="159" t="n">
        <x:v>0</x:v>
      </x:c>
      <x:c r="I33" s="102" t="str">
        <x:v>仅手动；默认不勾选；不返还任何材料</x:v>
      </x:c>
      <x:c r="J33" s="102" t="str">
        <x:v>否</x:v>
      </x:c>
      <x:c r="K33" s="103" t="str">
        <x:v>基础回收价=合成货币成本20%；50%加成后实际返还约30%，阻断合成套利</x:v>
      </x:c>
    </x:row>
    <x:row r="34">
      <x:c r="A34" s="101" t="str">
        <x:v>C07</x:v>
      </x:c>
      <x:c r="B34" s="102" t="str">
        <x:v>化圣雪原</x:v>
      </x:c>
      <x:c r="C34" s="102" t="str">
        <x:v>生肖合成</x:v>
      </x:c>
      <x:c r="D34" s="102" t="str">
        <x:v>未羊·永霜引路</x:v>
      </x:c>
      <x:c r="E34" s="159" t="n">
        <x:v>6000000000</x:v>
      </x:c>
      <x:c r="F34" s="159" t="n">
        <x:v>59000000</x:v>
      </x:c>
      <x:c r="G34" s="159" t="n">
        <x:v>9000000000</x:v>
      </x:c>
      <x:c r="H34" s="159" t="n">
        <x:v>88500000</x:v>
      </x:c>
      <x:c r="I34" s="102" t="str">
        <x:v>仅手动；默认不勾选；不返还任何材料</x:v>
      </x:c>
      <x:c r="J34" s="102" t="str">
        <x:v>否</x:v>
      </x:c>
      <x:c r="K34" s="103" t="str">
        <x:v>基础回收价=合成货币成本20%；50%加成后实际返还约30%，阻断合成套利</x:v>
      </x:c>
    </x:row>
    <x:row r="35">
      <x:c r="A35" s="101" t="str">
        <x:v>C08</x:v>
      </x:c>
      <x:c r="B35" s="102" t="str">
        <x:v>巨人山顶</x:v>
      </x:c>
      <x:c r="C35" s="102" t="str">
        <x:v>生肖合成</x:v>
      </x:c>
      <x:c r="D35" s="102" t="str">
        <x:v>午马·霜脊踏天</x:v>
      </x:c>
      <x:c r="E35" s="159" t="n">
        <x:v>13000000000</x:v>
      </x:c>
      <x:c r="F35" s="159" t="n">
        <x:v>0</x:v>
      </x:c>
      <x:c r="G35" s="159" t="n">
        <x:v>19500000000</x:v>
      </x:c>
      <x:c r="H35" s="159" t="n">
        <x:v>0</x:v>
      </x:c>
      <x:c r="I35" s="102" t="str">
        <x:v>仅手动；默认不勾选；不返还任何材料</x:v>
      </x:c>
      <x:c r="J35" s="102" t="str">
        <x:v>否</x:v>
      </x:c>
      <x:c r="K35" s="103" t="str">
        <x:v>基础回收价=合成货币成本20%；50%加成后实际返还约30%，阻断合成套利</x:v>
      </x:c>
    </x:row>
    <x:row r="36">
      <x:c r="A36" s="101" t="str">
        <x:v>C09</x:v>
      </x:c>
      <x:c r="B36" s="102" t="str">
        <x:v>亚坛高原</x:v>
      </x:c>
      <x:c r="C36" s="102" t="str">
        <x:v>生肖合成</x:v>
      </x:c>
      <x:c r="D36" s="102" t="str">
        <x:v>酉鸡·鎏日司晨</x:v>
      </x:c>
      <x:c r="E36" s="159" t="n">
        <x:v>0</x:v>
      </x:c>
      <x:c r="F36" s="159" t="n">
        <x:v>284000000</x:v>
      </x:c>
      <x:c r="G36" s="159" t="n">
        <x:v>0</x:v>
      </x:c>
      <x:c r="H36" s="159" t="n">
        <x:v>426000000</x:v>
      </x:c>
      <x:c r="I36" s="102" t="str">
        <x:v>仅手动；默认不勾选；不返还任何材料</x:v>
      </x:c>
      <x:c r="J36" s="102" t="str">
        <x:v>否</x:v>
      </x:c>
      <x:c r="K36" s="103" t="str">
        <x:v>基础回收价=合成货币成本20%；50%加成后实际返还约30%，阻断合成套利</x:v>
      </x:c>
    </x:row>
    <x:row r="37">
      <x:c r="A37" s="101" t="str">
        <x:v>C10</x:v>
      </x:c>
      <x:c r="B37" s="102" t="str">
        <x:v>王城罗德尔</x:v>
      </x:c>
      <x:c r="C37" s="102" t="str">
        <x:v>生肖合成</x:v>
      </x:c>
      <x:c r="D37" s="102" t="str">
        <x:v>戌狗·王座守门</x:v>
      </x:c>
      <x:c r="E37" s="159" t="n">
        <x:v>13500000000</x:v>
      </x:c>
      <x:c r="F37" s="159" t="n">
        <x:v>162000000</x:v>
      </x:c>
      <x:c r="G37" s="159" t="n">
        <x:v>20250000000</x:v>
      </x:c>
      <x:c r="H37" s="159" t="n">
        <x:v>243000000</x:v>
      </x:c>
      <x:c r="I37" s="102" t="str">
        <x:v>仅手动；默认不勾选；不返还任何材料</x:v>
      </x:c>
      <x:c r="J37" s="102" t="str">
        <x:v>否</x:v>
      </x:c>
      <x:c r="K37" s="103" t="str">
        <x:v>基础回收价=合成货币成本20%；50%加成后实际返还约30%，阻断合成套利</x:v>
      </x:c>
    </x:row>
    <x:row r="38">
      <x:c r="A38" s="101" t="str">
        <x:v>C02</x:v>
      </x:c>
      <x:c r="B38" s="102" t="str">
        <x:v>宁姆格福</x:v>
      </x:c>
      <x:c r="C38" s="102" t="str">
        <x:v>群攻生肖</x:v>
      </x:c>
      <x:c r="D38" s="102" t="str">
        <x:v>群星之核LV1</x:v>
      </x:c>
      <x:c r="E38" s="159" t="n">
        <x:v>0</x:v>
      </x:c>
      <x:c r="F38" s="159" t="n">
        <x:v>11500000</x:v>
      </x:c>
      <x:c r="G38" s="159" t="n">
        <x:v>0</x:v>
      </x:c>
      <x:c r="H38" s="159" t="n">
        <x:v>17250000</x:v>
      </x:c>
      <x:c r="I38" s="102" t="str">
        <x:v>仅手动；默认不勾选；不返还任何材料</x:v>
      </x:c>
      <x:c r="J38" s="102" t="str">
        <x:v>否</x:v>
      </x:c>
      <x:c r="K38" s="103" t="str">
        <x:v>基础回收价=合成货币成本20%；50%加成后实际返还约30%，阻断合成套利</x:v>
      </x:c>
    </x:row>
    <x:row r="39">
      <x:c r="A39" s="101" t="str">
        <x:v>C03</x:v>
      </x:c>
      <x:c r="B39" s="102" t="str">
        <x:v>宁姆格福西域</x:v>
      </x:c>
      <x:c r="C39" s="102" t="str">
        <x:v>群攻生肖</x:v>
      </x:c>
      <x:c r="D39" s="102" t="str">
        <x:v>群星之核LV2</x:v>
      </x:c>
      <x:c r="E39" s="159" t="n">
        <x:v>3200000000</x:v>
      </x:c>
      <x:c r="F39" s="159" t="n">
        <x:v>0</x:v>
      </x:c>
      <x:c r="G39" s="159" t="n">
        <x:v>4800000000</x:v>
      </x:c>
      <x:c r="H39" s="159" t="n">
        <x:v>0</x:v>
      </x:c>
      <x:c r="I39" s="102" t="str">
        <x:v>仅手动；默认不勾选；不返还任何材料</x:v>
      </x:c>
      <x:c r="J39" s="102" t="str">
        <x:v>否</x:v>
      </x:c>
      <x:c r="K39" s="103" t="str">
        <x:v>基础回收价=合成货币成本20%；50%加成后实际返还约30%，阻断合成套利</x:v>
      </x:c>
    </x:row>
    <x:row r="40">
      <x:c r="A40" s="101" t="str">
        <x:v>C05</x:v>
      </x:c>
      <x:c r="B40" s="102" t="str">
        <x:v>湖之利耶尼亚</x:v>
      </x:c>
      <x:c r="C40" s="102" t="str">
        <x:v>群攻生肖</x:v>
      </x:c>
      <x:c r="D40" s="102" t="str">
        <x:v>群星之核LV3</x:v>
      </x:c>
      <x:c r="E40" s="159" t="n">
        <x:v>0</x:v>
      </x:c>
      <x:c r="F40" s="159" t="n">
        <x:v>74500000</x:v>
      </x:c>
      <x:c r="G40" s="159" t="n">
        <x:v>0</x:v>
      </x:c>
      <x:c r="H40" s="159" t="n">
        <x:v>111750000</x:v>
      </x:c>
      <x:c r="I40" s="102" t="str">
        <x:v>仅手动；默认不勾选；不返还任何材料</x:v>
      </x:c>
      <x:c r="J40" s="102" t="str">
        <x:v>否</x:v>
      </x:c>
      <x:c r="K40" s="103" t="str">
        <x:v>基础回收价=合成货币成本20%；50%加成后实际返还约30%，阻断合成套利</x:v>
      </x:c>
    </x:row>
    <x:row r="41">
      <x:c r="A41" s="101" t="str">
        <x:v>C07</x:v>
      </x:c>
      <x:c r="B41" s="102" t="str">
        <x:v>化圣雪原</x:v>
      </x:c>
      <x:c r="C41" s="102" t="str">
        <x:v>群攻生肖</x:v>
      </x:c>
      <x:c r="D41" s="102" t="str">
        <x:v>群星之核LV4</x:v>
      </x:c>
      <x:c r="E41" s="159" t="n">
        <x:v>9000000000</x:v>
      </x:c>
      <x:c r="F41" s="159" t="n">
        <x:v>88500000</x:v>
      </x:c>
      <x:c r="G41" s="159" t="n">
        <x:v>13500000000</x:v>
      </x:c>
      <x:c r="H41" s="159" t="n">
        <x:v>132750000</x:v>
      </x:c>
      <x:c r="I41" s="102" t="str">
        <x:v>仅手动；默认不勾选；不返还任何材料</x:v>
      </x:c>
      <x:c r="J41" s="102" t="str">
        <x:v>否</x:v>
      </x:c>
      <x:c r="K41" s="103" t="str">
        <x:v>基础回收价=合成货币成本20%；50%加成后实际返还约30%，阻断合成套利</x:v>
      </x:c>
    </x:row>
    <x:row r="42">
      <x:c r="A42" s="104" t="str">
        <x:v>C09</x:v>
      </x:c>
      <x:c r="B42" s="105" t="str">
        <x:v>亚坛高原</x:v>
      </x:c>
      <x:c r="C42" s="105" t="str">
        <x:v>群攻生肖</x:v>
      </x:c>
      <x:c r="D42" s="105" t="str">
        <x:v>群星之核LV5</x:v>
      </x:c>
      <x:c r="E42" s="160" t="n">
        <x:v>0</x:v>
      </x:c>
      <x:c r="F42" s="160" t="n">
        <x:v>426000000</x:v>
      </x:c>
      <x:c r="G42" s="160" t="n">
        <x:v>0</x:v>
      </x:c>
      <x:c r="H42" s="160" t="n">
        <x:v>639000000</x:v>
      </x:c>
      <x:c r="I42" s="105" t="str">
        <x:v>仅手动；默认不勾选；不返还任何材料</x:v>
      </x:c>
      <x:c r="J42" s="105" t="str">
        <x:v>否</x:v>
      </x:c>
      <x:c r="K42" s="106" t="str">
        <x:v>基础回收价=合成货币成本20%；50%加成后实际返还约30%，阻断合成套利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6ec03e2cb3649d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42" hidden="0" customWidth="1"/>
  </x:cols>
  <x:sheetData>
    <x:row r="1" ht="28" customHeight="1">
      <x:c r="A1" s="5" t="str">
        <x:v>神印修行／锻体1—255档完整成本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4" t="str">
        <x:v>21→22需要31个、22→23需要32个已按现有实测节点保持。骨片分段递增；金币按各大陆约3小时满赞助货币产出分配。</x:v>
      </x:c>
      <x:c r="B2" s="14"/>
      <x:c r="C2" s="14"/>
      <x:c r="D2" s="14"/>
      <x:c r="E2" s="14"/>
      <x:c r="F2" s="14"/>
      <x:c r="G2" s="14"/>
      <x:c r="H2" s="14"/>
      <x:c r="I2" s="14"/>
    </x:row>
    <x:row r="4" ht="32" customHeight="1">
      <x:c r="A4" s="63" t="str">
        <x:v>目标档位</x:v>
      </x:c>
      <x:c r="B4" s="64" t="str">
        <x:v>大陆ID</x:v>
      </x:c>
      <x:c r="C4" s="64" t="str">
        <x:v>大陆</x:v>
      </x:c>
      <x:c r="D4" s="64" t="str">
        <x:v>野兽骨片</x:v>
      </x:c>
      <x:c r="E4" s="64" t="str">
        <x:v>金币</x:v>
      </x:c>
      <x:c r="F4" s="64" t="str">
        <x:v>元宝</x:v>
      </x:c>
      <x:c r="G4" s="64" t="str">
        <x:v>累计主属性</x:v>
      </x:c>
      <x:c r="H4" s="64" t="str">
        <x:v>累计HP</x:v>
      </x:c>
      <x:c r="I4" s="65" t="str">
        <x:v>说明</x:v>
      </x:c>
    </x:row>
    <x:row r="5">
      <x:c r="A5" s="98" t="n">
        <x:v>1</x:v>
      </x:c>
      <x:c r="B5" s="99" t="str">
        <x:v>C02</x:v>
      </x:c>
      <x:c r="C5" s="99" t="str">
        <x:v>宁姆格福</x:v>
      </x:c>
      <x:c r="D5" s="158" t="n">
        <x:f>IF(A5&lt;=50,A5+9,IF(A5&lt;=100,A5*2-40,IF(A5&lt;=150,A5*3-140,IF(A5&lt;=200,A5*5-440,A5*8-1040))))</x:f>
        <x:v>10</x:v>
      </x:c>
      <x:c r="E5" s="158" t="n">
        <x:v>90000000</x:v>
      </x:c>
      <x:c r="F5" s="158" t="n">
        <x:v>0</x:v>
      </x:c>
      <x:c r="G5" s="158" t="n">
        <x:f>A5*(A5+1)/2</x:f>
        <x:v>1</x:v>
      </x:c>
      <x:c r="H5" s="158" t="n">
        <x:f>G5*100</x:f>
        <x:v>100</x:v>
      </x:c>
      <x:c r="I5" s="100" t="str">
        <x:v>100%成功；材料明显缺口，不纳入回收产出</x:v>
      </x:c>
    </x:row>
    <x:row r="6">
      <x:c r="A6" s="101" t="n">
        <x:v>2</x:v>
      </x:c>
      <x:c r="B6" s="102" t="str">
        <x:v>C02</x:v>
      </x:c>
      <x:c r="C6" s="102" t="str">
        <x:v>宁姆格福</x:v>
      </x:c>
      <x:c r="D6" s="159" t="n">
        <x:f>IF(A6&lt;=50,A6+9,IF(A6&lt;=100,A6*2-40,IF(A6&lt;=150,A6*3-140,IF(A6&lt;=200,A6*5-440,A6*8-1040))))</x:f>
        <x:v>11</x:v>
      </x:c>
      <x:c r="E6" s="159" t="n">
        <x:v>93000000</x:v>
      </x:c>
      <x:c r="F6" s="159" t="n">
        <x:v>0</x:v>
      </x:c>
      <x:c r="G6" s="159" t="n">
        <x:f>A6*(A6+1)/2</x:f>
        <x:v>3</x:v>
      </x:c>
      <x:c r="H6" s="159" t="n">
        <x:f>G6*100</x:f>
        <x:v>300</x:v>
      </x:c>
      <x:c r="I6" s="103" t="str">
        <x:v>100%成功；材料明显缺口，不纳入回收产出</x:v>
      </x:c>
    </x:row>
    <x:row r="7">
      <x:c r="A7" s="101" t="n">
        <x:v>3</x:v>
      </x:c>
      <x:c r="B7" s="102" t="str">
        <x:v>C02</x:v>
      </x:c>
      <x:c r="C7" s="102" t="str">
        <x:v>宁姆格福</x:v>
      </x:c>
      <x:c r="D7" s="159" t="n">
        <x:f>IF(A7&lt;=50,A7+9,IF(A7&lt;=100,A7*2-40,IF(A7&lt;=150,A7*3-140,IF(A7&lt;=200,A7*5-440,A7*8-1040))))</x:f>
        <x:v>12</x:v>
      </x:c>
      <x:c r="E7" s="159" t="n">
        <x:v>97000000</x:v>
      </x:c>
      <x:c r="F7" s="159" t="n">
        <x:v>0</x:v>
      </x:c>
      <x:c r="G7" s="159" t="n">
        <x:f>A7*(A7+1)/2</x:f>
        <x:v>6</x:v>
      </x:c>
      <x:c r="H7" s="159" t="n">
        <x:f>G7*100</x:f>
        <x:v>600</x:v>
      </x:c>
      <x:c r="I7" s="103" t="str">
        <x:v>100%成功；材料明显缺口，不纳入回收产出</x:v>
      </x:c>
    </x:row>
    <x:row r="8">
      <x:c r="A8" s="101" t="n">
        <x:v>4</x:v>
      </x:c>
      <x:c r="B8" s="102" t="str">
        <x:v>C02</x:v>
      </x:c>
      <x:c r="C8" s="102" t="str">
        <x:v>宁姆格福</x:v>
      </x:c>
      <x:c r="D8" s="159" t="n">
        <x:f>IF(A8&lt;=50,A8+9,IF(A8&lt;=100,A8*2-40,IF(A8&lt;=150,A8*3-140,IF(A8&lt;=200,A8*5-440,A8*8-1040))))</x:f>
        <x:v>13</x:v>
      </x:c>
      <x:c r="E8" s="159" t="n">
        <x:v>100000000</x:v>
      </x:c>
      <x:c r="F8" s="159" t="n">
        <x:v>0</x:v>
      </x:c>
      <x:c r="G8" s="159" t="n">
        <x:f>A8*(A8+1)/2</x:f>
        <x:v>10</x:v>
      </x:c>
      <x:c r="H8" s="159" t="n">
        <x:f>G8*100</x:f>
        <x:v>1000</x:v>
      </x:c>
      <x:c r="I8" s="103" t="str">
        <x:v>100%成功；材料明显缺口，不纳入回收产出</x:v>
      </x:c>
    </x:row>
    <x:row r="9">
      <x:c r="A9" s="101" t="n">
        <x:v>5</x:v>
      </x:c>
      <x:c r="B9" s="102" t="str">
        <x:v>C02</x:v>
      </x:c>
      <x:c r="C9" s="102" t="str">
        <x:v>宁姆格福</x:v>
      </x:c>
      <x:c r="D9" s="159" t="n">
        <x:f>IF(A9&lt;=50,A9+9,IF(A9&lt;=100,A9*2-40,IF(A9&lt;=150,A9*3-140,IF(A9&lt;=200,A9*5-440,A9*8-1040))))</x:f>
        <x:v>14</x:v>
      </x:c>
      <x:c r="E9" s="159" t="n">
        <x:v>100000000</x:v>
      </x:c>
      <x:c r="F9" s="159" t="n">
        <x:v>0</x:v>
      </x:c>
      <x:c r="G9" s="159" t="n">
        <x:f>A9*(A9+1)/2</x:f>
        <x:v>15</x:v>
      </x:c>
      <x:c r="H9" s="159" t="n">
        <x:f>G9*100</x:f>
        <x:v>1500</x:v>
      </x:c>
      <x:c r="I9" s="103" t="str">
        <x:v>100%成功；材料明显缺口，不纳入回收产出</x:v>
      </x:c>
    </x:row>
    <x:row r="10">
      <x:c r="A10" s="101" t="n">
        <x:v>6</x:v>
      </x:c>
      <x:c r="B10" s="102" t="str">
        <x:v>C02</x:v>
      </x:c>
      <x:c r="C10" s="102" t="str">
        <x:v>宁姆格福</x:v>
      </x:c>
      <x:c r="D10" s="159" t="n">
        <x:f>IF(A10&lt;=50,A10+9,IF(A10&lt;=100,A10*2-40,IF(A10&lt;=150,A10*3-140,IF(A10&lt;=200,A10*5-440,A10*8-1040))))</x:f>
        <x:v>15</x:v>
      </x:c>
      <x:c r="E10" s="159" t="n">
        <x:v>110000000</x:v>
      </x:c>
      <x:c r="F10" s="159" t="n">
        <x:v>0</x:v>
      </x:c>
      <x:c r="G10" s="159" t="n">
        <x:f>A10*(A10+1)/2</x:f>
        <x:v>21</x:v>
      </x:c>
      <x:c r="H10" s="159" t="n">
        <x:f>G10*100</x:f>
        <x:v>2100</x:v>
      </x:c>
      <x:c r="I10" s="103" t="str">
        <x:v>100%成功；材料明显缺口，不纳入回收产出</x:v>
      </x:c>
    </x:row>
    <x:row r="11">
      <x:c r="A11" s="101" t="n">
        <x:v>7</x:v>
      </x:c>
      <x:c r="B11" s="102" t="str">
        <x:v>C02</x:v>
      </x:c>
      <x:c r="C11" s="102" t="str">
        <x:v>宁姆格福</x:v>
      </x:c>
      <x:c r="D11" s="159" t="n">
        <x:f>IF(A11&lt;=50,A11+9,IF(A11&lt;=100,A11*2-40,IF(A11&lt;=150,A11*3-140,IF(A11&lt;=200,A11*5-440,A11*8-1040))))</x:f>
        <x:v>16</x:v>
      </x:c>
      <x:c r="E11" s="159" t="n">
        <x:v>110000000</x:v>
      </x:c>
      <x:c r="F11" s="159" t="n">
        <x:v>0</x:v>
      </x:c>
      <x:c r="G11" s="159" t="n">
        <x:f>A11*(A11+1)/2</x:f>
        <x:v>28</x:v>
      </x:c>
      <x:c r="H11" s="159" t="n">
        <x:f>G11*100</x:f>
        <x:v>2800</x:v>
      </x:c>
      <x:c r="I11" s="103" t="str">
        <x:v>100%成功；材料明显缺口，不纳入回收产出</x:v>
      </x:c>
    </x:row>
    <x:row r="12">
      <x:c r="A12" s="101" t="n">
        <x:v>8</x:v>
      </x:c>
      <x:c r="B12" s="102" t="str">
        <x:v>C02</x:v>
      </x:c>
      <x:c r="C12" s="102" t="str">
        <x:v>宁姆格福</x:v>
      </x:c>
      <x:c r="D12" s="159" t="n">
        <x:f>IF(A12&lt;=50,A12+9,IF(A12&lt;=100,A12*2-40,IF(A12&lt;=150,A12*3-140,IF(A12&lt;=200,A12*5-440,A12*8-1040))))</x:f>
        <x:v>17</x:v>
      </x:c>
      <x:c r="E12" s="159" t="n">
        <x:v>120000000</x:v>
      </x:c>
      <x:c r="F12" s="159" t="n">
        <x:v>0</x:v>
      </x:c>
      <x:c r="G12" s="159" t="n">
        <x:f>A12*(A12+1)/2</x:f>
        <x:v>36</x:v>
      </x:c>
      <x:c r="H12" s="159" t="n">
        <x:f>G12*100</x:f>
        <x:v>3600</x:v>
      </x:c>
      <x:c r="I12" s="103" t="str">
        <x:v>100%成功；材料明显缺口，不纳入回收产出</x:v>
      </x:c>
    </x:row>
    <x:row r="13">
      <x:c r="A13" s="101" t="n">
        <x:v>9</x:v>
      </x:c>
      <x:c r="B13" s="102" t="str">
        <x:v>C02</x:v>
      </x:c>
      <x:c r="C13" s="102" t="str">
        <x:v>宁姆格福</x:v>
      </x:c>
      <x:c r="D13" s="159" t="n">
        <x:f>IF(A13&lt;=50,A13+9,IF(A13&lt;=100,A13*2-40,IF(A13&lt;=150,A13*3-140,IF(A13&lt;=200,A13*5-440,A13*8-1040))))</x:f>
        <x:v>18</x:v>
      </x:c>
      <x:c r="E13" s="159" t="n">
        <x:v>120000000</x:v>
      </x:c>
      <x:c r="F13" s="159" t="n">
        <x:v>0</x:v>
      </x:c>
      <x:c r="G13" s="159" t="n">
        <x:f>A13*(A13+1)/2</x:f>
        <x:v>45</x:v>
      </x:c>
      <x:c r="H13" s="159" t="n">
        <x:f>G13*100</x:f>
        <x:v>4500</x:v>
      </x:c>
      <x:c r="I13" s="103" t="str">
        <x:v>100%成功；材料明显缺口，不纳入回收产出</x:v>
      </x:c>
    </x:row>
    <x:row r="14">
      <x:c r="A14" s="101" t="n">
        <x:v>10</x:v>
      </x:c>
      <x:c r="B14" s="102" t="str">
        <x:v>C02</x:v>
      </x:c>
      <x:c r="C14" s="102" t="str">
        <x:v>宁姆格福</x:v>
      </x:c>
      <x:c r="D14" s="159" t="n">
        <x:f>IF(A14&lt;=50,A14+9,IF(A14&lt;=100,A14*2-40,IF(A14&lt;=150,A14*3-140,IF(A14&lt;=200,A14*5-440,A14*8-1040))))</x:f>
        <x:v>19</x:v>
      </x:c>
      <x:c r="E14" s="159" t="n">
        <x:v>120000000</x:v>
      </x:c>
      <x:c r="F14" s="159" t="n">
        <x:v>0</x:v>
      </x:c>
      <x:c r="G14" s="159" t="n">
        <x:f>A14*(A14+1)/2</x:f>
        <x:v>55</x:v>
      </x:c>
      <x:c r="H14" s="159" t="n">
        <x:f>G14*100</x:f>
        <x:v>5500</x:v>
      </x:c>
      <x:c r="I14" s="103" t="str">
        <x:v>100%成功；材料明显缺口，不纳入回收产出</x:v>
      </x:c>
    </x:row>
    <x:row r="15">
      <x:c r="A15" s="101" t="n">
        <x:v>11</x:v>
      </x:c>
      <x:c r="B15" s="102" t="str">
        <x:v>C02</x:v>
      </x:c>
      <x:c r="C15" s="102" t="str">
        <x:v>宁姆格福</x:v>
      </x:c>
      <x:c r="D15" s="159" t="n">
        <x:f>IF(A15&lt;=50,A15+9,IF(A15&lt;=100,A15*2-40,IF(A15&lt;=150,A15*3-140,IF(A15&lt;=200,A15*5-440,A15*8-1040))))</x:f>
        <x:v>20</x:v>
      </x:c>
      <x:c r="E15" s="159" t="n">
        <x:v>130000000</x:v>
      </x:c>
      <x:c r="F15" s="159" t="n">
        <x:v>0</x:v>
      </x:c>
      <x:c r="G15" s="159" t="n">
        <x:f>A15*(A15+1)/2</x:f>
        <x:v>66</x:v>
      </x:c>
      <x:c r="H15" s="159" t="n">
        <x:f>G15*100</x:f>
        <x:v>6600</x:v>
      </x:c>
      <x:c r="I15" s="103" t="str">
        <x:v>100%成功；材料明显缺口，不纳入回收产出</x:v>
      </x:c>
    </x:row>
    <x:row r="16">
      <x:c r="A16" s="101" t="n">
        <x:v>12</x:v>
      </x:c>
      <x:c r="B16" s="102" t="str">
        <x:v>C02</x:v>
      </x:c>
      <x:c r="C16" s="102" t="str">
        <x:v>宁姆格福</x:v>
      </x:c>
      <x:c r="D16" s="159" t="n">
        <x:f>IF(A16&lt;=50,A16+9,IF(A16&lt;=100,A16*2-40,IF(A16&lt;=150,A16*3-140,IF(A16&lt;=200,A16*5-440,A16*8-1040))))</x:f>
        <x:v>21</x:v>
      </x:c>
      <x:c r="E16" s="159" t="n">
        <x:v>130000000</x:v>
      </x:c>
      <x:c r="F16" s="159" t="n">
        <x:v>0</x:v>
      </x:c>
      <x:c r="G16" s="159" t="n">
        <x:f>A16*(A16+1)/2</x:f>
        <x:v>78</x:v>
      </x:c>
      <x:c r="H16" s="159" t="n">
        <x:f>G16*100</x:f>
        <x:v>7800</x:v>
      </x:c>
      <x:c r="I16" s="103" t="str">
        <x:v>100%成功；材料明显缺口，不纳入回收产出</x:v>
      </x:c>
    </x:row>
    <x:row r="17">
      <x:c r="A17" s="101" t="n">
        <x:v>13</x:v>
      </x:c>
      <x:c r="B17" s="102" t="str">
        <x:v>C02</x:v>
      </x:c>
      <x:c r="C17" s="102" t="str">
        <x:v>宁姆格福</x:v>
      </x:c>
      <x:c r="D17" s="159" t="n">
        <x:f>IF(A17&lt;=50,A17+9,IF(A17&lt;=100,A17*2-40,IF(A17&lt;=150,A17*3-140,IF(A17&lt;=200,A17*5-440,A17*8-1040))))</x:f>
        <x:v>22</x:v>
      </x:c>
      <x:c r="E17" s="159" t="n">
        <x:v>130000000</x:v>
      </x:c>
      <x:c r="F17" s="159" t="n">
        <x:v>0</x:v>
      </x:c>
      <x:c r="G17" s="159" t="n">
        <x:f>A17*(A17+1)/2</x:f>
        <x:v>91</x:v>
      </x:c>
      <x:c r="H17" s="159" t="n">
        <x:f>G17*100</x:f>
        <x:v>9100</x:v>
      </x:c>
      <x:c r="I17" s="103" t="str">
        <x:v>100%成功；材料明显缺口，不纳入回收产出</x:v>
      </x:c>
    </x:row>
    <x:row r="18">
      <x:c r="A18" s="101" t="n">
        <x:v>14</x:v>
      </x:c>
      <x:c r="B18" s="102" t="str">
        <x:v>C02</x:v>
      </x:c>
      <x:c r="C18" s="102" t="str">
        <x:v>宁姆格福</x:v>
      </x:c>
      <x:c r="D18" s="159" t="n">
        <x:f>IF(A18&lt;=50,A18+9,IF(A18&lt;=100,A18*2-40,IF(A18&lt;=150,A18*3-140,IF(A18&lt;=200,A18*5-440,A18*8-1040))))</x:f>
        <x:v>23</x:v>
      </x:c>
      <x:c r="E18" s="159" t="n">
        <x:v>140000000</x:v>
      </x:c>
      <x:c r="F18" s="159" t="n">
        <x:v>0</x:v>
      </x:c>
      <x:c r="G18" s="159" t="n">
        <x:f>A18*(A18+1)/2</x:f>
        <x:v>105</x:v>
      </x:c>
      <x:c r="H18" s="159" t="n">
        <x:f>G18*100</x:f>
        <x:v>10500</x:v>
      </x:c>
      <x:c r="I18" s="103" t="str">
        <x:v>100%成功；材料明显缺口，不纳入回收产出</x:v>
      </x:c>
    </x:row>
    <x:row r="19">
      <x:c r="A19" s="101" t="n">
        <x:v>15</x:v>
      </x:c>
      <x:c r="B19" s="102" t="str">
        <x:v>C02</x:v>
      </x:c>
      <x:c r="C19" s="102" t="str">
        <x:v>宁姆格福</x:v>
      </x:c>
      <x:c r="D19" s="159" t="n">
        <x:f>IF(A19&lt;=50,A19+9,IF(A19&lt;=100,A19*2-40,IF(A19&lt;=150,A19*3-140,IF(A19&lt;=200,A19*5-440,A19*8-1040))))</x:f>
        <x:v>24</x:v>
      </x:c>
      <x:c r="E19" s="159" t="n">
        <x:v>140000000</x:v>
      </x:c>
      <x:c r="F19" s="159" t="n">
        <x:v>0</x:v>
      </x:c>
      <x:c r="G19" s="159" t="n">
        <x:f>A19*(A19+1)/2</x:f>
        <x:v>120</x:v>
      </x:c>
      <x:c r="H19" s="159" t="n">
        <x:f>G19*100</x:f>
        <x:v>12000</x:v>
      </x:c>
      <x:c r="I19" s="103" t="str">
        <x:v>100%成功；材料明显缺口，不纳入回收产出</x:v>
      </x:c>
    </x:row>
    <x:row r="20">
      <x:c r="A20" s="101" t="n">
        <x:v>16</x:v>
      </x:c>
      <x:c r="B20" s="102" t="str">
        <x:v>C02</x:v>
      </x:c>
      <x:c r="C20" s="102" t="str">
        <x:v>宁姆格福</x:v>
      </x:c>
      <x:c r="D20" s="159" t="n">
        <x:f>IF(A20&lt;=50,A20+9,IF(A20&lt;=100,A20*2-40,IF(A20&lt;=150,A20*3-140,IF(A20&lt;=200,A20*5-440,A20*8-1040))))</x:f>
        <x:v>25</x:v>
      </x:c>
      <x:c r="E20" s="159" t="n">
        <x:v>140000000</x:v>
      </x:c>
      <x:c r="F20" s="159" t="n">
        <x:v>0</x:v>
      </x:c>
      <x:c r="G20" s="159" t="n">
        <x:f>A20*(A20+1)/2</x:f>
        <x:v>136</x:v>
      </x:c>
      <x:c r="H20" s="159" t="n">
        <x:f>G20*100</x:f>
        <x:v>13600</x:v>
      </x:c>
      <x:c r="I20" s="103" t="str">
        <x:v>100%成功；材料明显缺口，不纳入回收产出</x:v>
      </x:c>
    </x:row>
    <x:row r="21">
      <x:c r="A21" s="101" t="n">
        <x:v>17</x:v>
      </x:c>
      <x:c r="B21" s="102" t="str">
        <x:v>C02</x:v>
      </x:c>
      <x:c r="C21" s="102" t="str">
        <x:v>宁姆格福</x:v>
      </x:c>
      <x:c r="D21" s="159" t="n">
        <x:f>IF(A21&lt;=50,A21+9,IF(A21&lt;=100,A21*2-40,IF(A21&lt;=150,A21*3-140,IF(A21&lt;=200,A21*5-440,A21*8-1040))))</x:f>
        <x:v>26</x:v>
      </x:c>
      <x:c r="E21" s="159" t="n">
        <x:v>150000000</x:v>
      </x:c>
      <x:c r="F21" s="159" t="n">
        <x:v>0</x:v>
      </x:c>
      <x:c r="G21" s="159" t="n">
        <x:f>A21*(A21+1)/2</x:f>
        <x:v>153</x:v>
      </x:c>
      <x:c r="H21" s="159" t="n">
        <x:f>G21*100</x:f>
        <x:v>15300</x:v>
      </x:c>
      <x:c r="I21" s="103" t="str">
        <x:v>100%成功；材料明显缺口，不纳入回收产出</x:v>
      </x:c>
    </x:row>
    <x:row r="22">
      <x:c r="A22" s="101" t="n">
        <x:v>18</x:v>
      </x:c>
      <x:c r="B22" s="102" t="str">
        <x:v>C02</x:v>
      </x:c>
      <x:c r="C22" s="102" t="str">
        <x:v>宁姆格福</x:v>
      </x:c>
      <x:c r="D22" s="159" t="n">
        <x:f>IF(A22&lt;=50,A22+9,IF(A22&lt;=100,A22*2-40,IF(A22&lt;=150,A22*3-140,IF(A22&lt;=200,A22*5-440,A22*8-1040))))</x:f>
        <x:v>27</x:v>
      </x:c>
      <x:c r="E22" s="159" t="n">
        <x:v>150000000</x:v>
      </x:c>
      <x:c r="F22" s="159" t="n">
        <x:v>0</x:v>
      </x:c>
      <x:c r="G22" s="159" t="n">
        <x:f>A22*(A22+1)/2</x:f>
        <x:v>171</x:v>
      </x:c>
      <x:c r="H22" s="159" t="n">
        <x:f>G22*100</x:f>
        <x:v>17100</x:v>
      </x:c>
      <x:c r="I22" s="103" t="str">
        <x:v>100%成功；材料明显缺口，不纳入回收产出</x:v>
      </x:c>
    </x:row>
    <x:row r="23">
      <x:c r="A23" s="101" t="n">
        <x:v>19</x:v>
      </x:c>
      <x:c r="B23" s="102" t="str">
        <x:v>C02</x:v>
      </x:c>
      <x:c r="C23" s="102" t="str">
        <x:v>宁姆格福</x:v>
      </x:c>
      <x:c r="D23" s="159" t="n">
        <x:f>IF(A23&lt;=50,A23+9,IF(A23&lt;=100,A23*2-40,IF(A23&lt;=150,A23*3-140,IF(A23&lt;=200,A23*5-440,A23*8-1040))))</x:f>
        <x:v>28</x:v>
      </x:c>
      <x:c r="E23" s="159" t="n">
        <x:v>160000000</x:v>
      </x:c>
      <x:c r="F23" s="159" t="n">
        <x:v>0</x:v>
      </x:c>
      <x:c r="G23" s="159" t="n">
        <x:f>A23*(A23+1)/2</x:f>
        <x:v>190</x:v>
      </x:c>
      <x:c r="H23" s="159" t="n">
        <x:f>G23*100</x:f>
        <x:v>19000</x:v>
      </x:c>
      <x:c r="I23" s="103" t="str">
        <x:v>100%成功；材料明显缺口，不纳入回收产出</x:v>
      </x:c>
    </x:row>
    <x:row r="24">
      <x:c r="A24" s="101" t="n">
        <x:v>20</x:v>
      </x:c>
      <x:c r="B24" s="102" t="str">
        <x:v>C02</x:v>
      </x:c>
      <x:c r="C24" s="102" t="str">
        <x:v>宁姆格福</x:v>
      </x:c>
      <x:c r="D24" s="159" t="n">
        <x:f>IF(A24&lt;=50,A24+9,IF(A24&lt;=100,A24*2-40,IF(A24&lt;=150,A24*3-140,IF(A24&lt;=200,A24*5-440,A24*8-1040))))</x:f>
        <x:v>29</x:v>
      </x:c>
      <x:c r="E24" s="159" t="n">
        <x:v>160000000</x:v>
      </x:c>
      <x:c r="F24" s="159" t="n">
        <x:v>0</x:v>
      </x:c>
      <x:c r="G24" s="159" t="n">
        <x:f>A24*(A24+1)/2</x:f>
        <x:v>210</x:v>
      </x:c>
      <x:c r="H24" s="159" t="n">
        <x:f>G24*100</x:f>
        <x:v>21000</x:v>
      </x:c>
      <x:c r="I24" s="103" t="str">
        <x:v>100%成功；材料明显缺口，不纳入回收产出</x:v>
      </x:c>
    </x:row>
    <x:row r="25">
      <x:c r="A25" s="101" t="n">
        <x:v>21</x:v>
      </x:c>
      <x:c r="B25" s="102" t="str">
        <x:v>C02</x:v>
      </x:c>
      <x:c r="C25" s="102" t="str">
        <x:v>宁姆格福</x:v>
      </x:c>
      <x:c r="D25" s="159" t="n">
        <x:f>IF(A25&lt;=50,A25+9,IF(A25&lt;=100,A25*2-40,IF(A25&lt;=150,A25*3-140,IF(A25&lt;=200,A25*5-440,A25*8-1040))))</x:f>
        <x:v>30</x:v>
      </x:c>
      <x:c r="E25" s="159" t="n">
        <x:v>160000000</x:v>
      </x:c>
      <x:c r="F25" s="159" t="n">
        <x:v>0</x:v>
      </x:c>
      <x:c r="G25" s="159" t="n">
        <x:f>A25*(A25+1)/2</x:f>
        <x:v>231</x:v>
      </x:c>
      <x:c r="H25" s="159" t="n">
        <x:f>G25*100</x:f>
        <x:v>23100</x:v>
      </x:c>
      <x:c r="I25" s="103" t="str">
        <x:v>100%成功；材料明显缺口，不纳入回收产出</x:v>
      </x:c>
    </x:row>
    <x:row r="26">
      <x:c r="A26" s="101" t="n">
        <x:v>22</x:v>
      </x:c>
      <x:c r="B26" s="102" t="str">
        <x:v>C02</x:v>
      </x:c>
      <x:c r="C26" s="102" t="str">
        <x:v>宁姆格福</x:v>
      </x:c>
      <x:c r="D26" s="159" t="n">
        <x:f>IF(A26&lt;=50,A26+9,IF(A26&lt;=100,A26*2-40,IF(A26&lt;=150,A26*3-140,IF(A26&lt;=200,A26*5-440,A26*8-1040))))</x:f>
        <x:v>31</x:v>
      </x:c>
      <x:c r="E26" s="159" t="n">
        <x:v>170000000</x:v>
      </x:c>
      <x:c r="F26" s="159" t="n">
        <x:v>0</x:v>
      </x:c>
      <x:c r="G26" s="159" t="n">
        <x:f>A26*(A26+1)/2</x:f>
        <x:v>253</x:v>
      </x:c>
      <x:c r="H26" s="159" t="n">
        <x:f>G26*100</x:f>
        <x:v>25300</x:v>
      </x:c>
      <x:c r="I26" s="103" t="str">
        <x:v>100%成功；材料明显缺口，不纳入回收产出</x:v>
      </x:c>
    </x:row>
    <x:row r="27">
      <x:c r="A27" s="101" t="n">
        <x:v>23</x:v>
      </x:c>
      <x:c r="B27" s="102" t="str">
        <x:v>C02</x:v>
      </x:c>
      <x:c r="C27" s="102" t="str">
        <x:v>宁姆格福</x:v>
      </x:c>
      <x:c r="D27" s="159" t="n">
        <x:f>IF(A27&lt;=50,A27+9,IF(A27&lt;=100,A27*2-40,IF(A27&lt;=150,A27*3-140,IF(A27&lt;=200,A27*5-440,A27*8-1040))))</x:f>
        <x:v>32</x:v>
      </x:c>
      <x:c r="E27" s="159" t="n">
        <x:v>170000000</x:v>
      </x:c>
      <x:c r="F27" s="159" t="n">
        <x:v>0</x:v>
      </x:c>
      <x:c r="G27" s="159" t="n">
        <x:f>A27*(A27+1)/2</x:f>
        <x:v>276</x:v>
      </x:c>
      <x:c r="H27" s="159" t="n">
        <x:f>G27*100</x:f>
        <x:v>27600</x:v>
      </x:c>
      <x:c r="I27" s="103" t="str">
        <x:v>100%成功；材料明显缺口，不纳入回收产出</x:v>
      </x:c>
    </x:row>
    <x:row r="28">
      <x:c r="A28" s="101" t="n">
        <x:v>24</x:v>
      </x:c>
      <x:c r="B28" s="102" t="str">
        <x:v>C02</x:v>
      </x:c>
      <x:c r="C28" s="102" t="str">
        <x:v>宁姆格福</x:v>
      </x:c>
      <x:c r="D28" s="159" t="n">
        <x:f>IF(A28&lt;=50,A28+9,IF(A28&lt;=100,A28*2-40,IF(A28&lt;=150,A28*3-140,IF(A28&lt;=200,A28*5-440,A28*8-1040))))</x:f>
        <x:v>33</x:v>
      </x:c>
      <x:c r="E28" s="159" t="n">
        <x:v>170000000</x:v>
      </x:c>
      <x:c r="F28" s="159" t="n">
        <x:v>0</x:v>
      </x:c>
      <x:c r="G28" s="159" t="n">
        <x:f>A28*(A28+1)/2</x:f>
        <x:v>300</x:v>
      </x:c>
      <x:c r="H28" s="159" t="n">
        <x:f>G28*100</x:f>
        <x:v>30000</x:v>
      </x:c>
      <x:c r="I28" s="103" t="str">
        <x:v>100%成功；材料明显缺口，不纳入回收产出</x:v>
      </x:c>
    </x:row>
    <x:row r="29">
      <x:c r="A29" s="101" t="n">
        <x:v>25</x:v>
      </x:c>
      <x:c r="B29" s="102" t="str">
        <x:v>C02</x:v>
      </x:c>
      <x:c r="C29" s="102" t="str">
        <x:v>宁姆格福</x:v>
      </x:c>
      <x:c r="D29" s="159" t="n">
        <x:f>IF(A29&lt;=50,A29+9,IF(A29&lt;=100,A29*2-40,IF(A29&lt;=150,A29*3-140,IF(A29&lt;=200,A29*5-440,A29*8-1040))))</x:f>
        <x:v>34</x:v>
      </x:c>
      <x:c r="E29" s="159" t="n">
        <x:v>180000000</x:v>
      </x:c>
      <x:c r="F29" s="159" t="n">
        <x:v>0</x:v>
      </x:c>
      <x:c r="G29" s="159" t="n">
        <x:f>A29*(A29+1)/2</x:f>
        <x:v>325</x:v>
      </x:c>
      <x:c r="H29" s="159" t="n">
        <x:f>G29*100</x:f>
        <x:v>32500</x:v>
      </x:c>
      <x:c r="I29" s="103" t="str">
        <x:v>100%成功；材料明显缺口，不纳入回收产出</x:v>
      </x:c>
    </x:row>
    <x:row r="30">
      <x:c r="A30" s="101" t="n">
        <x:v>26</x:v>
      </x:c>
      <x:c r="B30" s="102" t="str">
        <x:v>C02</x:v>
      </x:c>
      <x:c r="C30" s="102" t="str">
        <x:v>宁姆格福</x:v>
      </x:c>
      <x:c r="D30" s="159" t="n">
        <x:f>IF(A30&lt;=50,A30+9,IF(A30&lt;=100,A30*2-40,IF(A30&lt;=150,A30*3-140,IF(A30&lt;=200,A30*5-440,A30*8-1040))))</x:f>
        <x:v>35</x:v>
      </x:c>
      <x:c r="E30" s="159" t="n">
        <x:v>180000000</x:v>
      </x:c>
      <x:c r="F30" s="159" t="n">
        <x:v>0</x:v>
      </x:c>
      <x:c r="G30" s="159" t="n">
        <x:f>A30*(A30+1)/2</x:f>
        <x:v>351</x:v>
      </x:c>
      <x:c r="H30" s="159" t="n">
        <x:f>G30*100</x:f>
        <x:v>35100</x:v>
      </x:c>
      <x:c r="I30" s="103" t="str">
        <x:v>100%成功；材料明显缺口，不纳入回收产出</x:v>
      </x:c>
    </x:row>
    <x:row r="31">
      <x:c r="A31" s="101" t="n">
        <x:v>27</x:v>
      </x:c>
      <x:c r="B31" s="102" t="str">
        <x:v>C02</x:v>
      </x:c>
      <x:c r="C31" s="102" t="str">
        <x:v>宁姆格福</x:v>
      </x:c>
      <x:c r="D31" s="159" t="n">
        <x:f>IF(A31&lt;=50,A31+9,IF(A31&lt;=100,A31*2-40,IF(A31&lt;=150,A31*3-140,IF(A31&lt;=200,A31*5-440,A31*8-1040))))</x:f>
        <x:v>36</x:v>
      </x:c>
      <x:c r="E31" s="159" t="n">
        <x:v>180000000</x:v>
      </x:c>
      <x:c r="F31" s="159" t="n">
        <x:v>0</x:v>
      </x:c>
      <x:c r="G31" s="159" t="n">
        <x:f>A31*(A31+1)/2</x:f>
        <x:v>378</x:v>
      </x:c>
      <x:c r="H31" s="159" t="n">
        <x:f>G31*100</x:f>
        <x:v>37800</x:v>
      </x:c>
      <x:c r="I31" s="103" t="str">
        <x:v>100%成功；材料明显缺口，不纳入回收产出</x:v>
      </x:c>
    </x:row>
    <x:row r="32">
      <x:c r="A32" s="101" t="n">
        <x:v>28</x:v>
      </x:c>
      <x:c r="B32" s="102" t="str">
        <x:v>C02</x:v>
      </x:c>
      <x:c r="C32" s="102" t="str">
        <x:v>宁姆格福</x:v>
      </x:c>
      <x:c r="D32" s="159" t="n">
        <x:f>IF(A32&lt;=50,A32+9,IF(A32&lt;=100,A32*2-40,IF(A32&lt;=150,A32*3-140,IF(A32&lt;=200,A32*5-440,A32*8-1040))))</x:f>
        <x:v>37</x:v>
      </x:c>
      <x:c r="E32" s="159" t="n">
        <x:v>190000000</x:v>
      </x:c>
      <x:c r="F32" s="159" t="n">
        <x:v>0</x:v>
      </x:c>
      <x:c r="G32" s="159" t="n">
        <x:f>A32*(A32+1)/2</x:f>
        <x:v>406</x:v>
      </x:c>
      <x:c r="H32" s="159" t="n">
        <x:f>G32*100</x:f>
        <x:v>40600</x:v>
      </x:c>
      <x:c r="I32" s="103" t="str">
        <x:v>100%成功；材料明显缺口，不纳入回收产出</x:v>
      </x:c>
    </x:row>
    <x:row r="33">
      <x:c r="A33" s="101" t="n">
        <x:v>29</x:v>
      </x:c>
      <x:c r="B33" s="102" t="str">
        <x:v>C02</x:v>
      </x:c>
      <x:c r="C33" s="102" t="str">
        <x:v>宁姆格福</x:v>
      </x:c>
      <x:c r="D33" s="159" t="n">
        <x:f>IF(A33&lt;=50,A33+9,IF(A33&lt;=100,A33*2-40,IF(A33&lt;=150,A33*3-140,IF(A33&lt;=200,A33*5-440,A33*8-1040))))</x:f>
        <x:v>38</x:v>
      </x:c>
      <x:c r="E33" s="159" t="n">
        <x:v>190000000</x:v>
      </x:c>
      <x:c r="F33" s="159" t="n">
        <x:v>0</x:v>
      </x:c>
      <x:c r="G33" s="159" t="n">
        <x:f>A33*(A33+1)/2</x:f>
        <x:v>435</x:v>
      </x:c>
      <x:c r="H33" s="159" t="n">
        <x:f>G33*100</x:f>
        <x:v>43500</x:v>
      </x:c>
      <x:c r="I33" s="103" t="str">
        <x:v>100%成功；材料明显缺口，不纳入回收产出</x:v>
      </x:c>
    </x:row>
    <x:row r="34">
      <x:c r="A34" s="101" t="n">
        <x:v>30</x:v>
      </x:c>
      <x:c r="B34" s="102" t="str">
        <x:v>C02</x:v>
      </x:c>
      <x:c r="C34" s="102" t="str">
        <x:v>宁姆格福</x:v>
      </x:c>
      <x:c r="D34" s="159" t="n">
        <x:f>IF(A34&lt;=50,A34+9,IF(A34&lt;=100,A34*2-40,IF(A34&lt;=150,A34*3-140,IF(A34&lt;=200,A34*5-440,A34*8-1040))))</x:f>
        <x:v>39</x:v>
      </x:c>
      <x:c r="E34" s="159" t="n">
        <x:v>200000000</x:v>
      </x:c>
      <x:c r="F34" s="159" t="n">
        <x:v>0</x:v>
      </x:c>
      <x:c r="G34" s="159" t="n">
        <x:f>A34*(A34+1)/2</x:f>
        <x:v>465</x:v>
      </x:c>
      <x:c r="H34" s="159" t="n">
        <x:f>G34*100</x:f>
        <x:v>46500</x:v>
      </x:c>
      <x:c r="I34" s="103" t="str">
        <x:v>100%成功；材料明显缺口，不纳入回收产出</x:v>
      </x:c>
    </x:row>
    <x:row r="35">
      <x:c r="A35" s="101" t="n">
        <x:v>31</x:v>
      </x:c>
      <x:c r="B35" s="102" t="str">
        <x:v>C02</x:v>
      </x:c>
      <x:c r="C35" s="102" t="str">
        <x:v>宁姆格福</x:v>
      </x:c>
      <x:c r="D35" s="159" t="n">
        <x:f>IF(A35&lt;=50,A35+9,IF(A35&lt;=100,A35*2-40,IF(A35&lt;=150,A35*3-140,IF(A35&lt;=200,A35*5-440,A35*8-1040))))</x:f>
        <x:v>40</x:v>
      </x:c>
      <x:c r="E35" s="159" t="n">
        <x:v>200000000</x:v>
      </x:c>
      <x:c r="F35" s="159" t="n">
        <x:v>0</x:v>
      </x:c>
      <x:c r="G35" s="159" t="n">
        <x:f>A35*(A35+1)/2</x:f>
        <x:v>496</x:v>
      </x:c>
      <x:c r="H35" s="159" t="n">
        <x:f>G35*100</x:f>
        <x:v>49600</x:v>
      </x:c>
      <x:c r="I35" s="103" t="str">
        <x:v>100%成功；材料明显缺口，不纳入回收产出</x:v>
      </x:c>
    </x:row>
    <x:row r="36">
      <x:c r="A36" s="101" t="n">
        <x:v>32</x:v>
      </x:c>
      <x:c r="B36" s="102" t="str">
        <x:v>C02</x:v>
      </x:c>
      <x:c r="C36" s="102" t="str">
        <x:v>宁姆格福</x:v>
      </x:c>
      <x:c r="D36" s="159" t="n">
        <x:f>IF(A36&lt;=50,A36+9,IF(A36&lt;=100,A36*2-40,IF(A36&lt;=150,A36*3-140,IF(A36&lt;=200,A36*5-440,A36*8-1040))))</x:f>
        <x:v>41</x:v>
      </x:c>
      <x:c r="E36" s="159" t="n">
        <x:v>200000000</x:v>
      </x:c>
      <x:c r="F36" s="159" t="n">
        <x:v>0</x:v>
      </x:c>
      <x:c r="G36" s="159" t="n">
        <x:f>A36*(A36+1)/2</x:f>
        <x:v>528</x:v>
      </x:c>
      <x:c r="H36" s="159" t="n">
        <x:f>G36*100</x:f>
        <x:v>52800</x:v>
      </x:c>
      <x:c r="I36" s="103" t="str">
        <x:v>100%成功；材料明显缺口，不纳入回收产出</x:v>
      </x:c>
    </x:row>
    <x:row r="37">
      <x:c r="A37" s="101" t="n">
        <x:v>33</x:v>
      </x:c>
      <x:c r="B37" s="102" t="str">
        <x:v>C02</x:v>
      </x:c>
      <x:c r="C37" s="102" t="str">
        <x:v>宁姆格福</x:v>
      </x:c>
      <x:c r="D37" s="159" t="n">
        <x:f>IF(A37&lt;=50,A37+9,IF(A37&lt;=100,A37*2-40,IF(A37&lt;=150,A37*3-140,IF(A37&lt;=200,A37*5-440,A37*8-1040))))</x:f>
        <x:v>42</x:v>
      </x:c>
      <x:c r="E37" s="159" t="n">
        <x:v>210000000</x:v>
      </x:c>
      <x:c r="F37" s="159" t="n">
        <x:v>0</x:v>
      </x:c>
      <x:c r="G37" s="159" t="n">
        <x:f>A37*(A37+1)/2</x:f>
        <x:v>561</x:v>
      </x:c>
      <x:c r="H37" s="159" t="n">
        <x:f>G37*100</x:f>
        <x:v>56100</x:v>
      </x:c>
      <x:c r="I37" s="103" t="str">
        <x:v>100%成功；材料明显缺口，不纳入回收产出</x:v>
      </x:c>
    </x:row>
    <x:row r="38">
      <x:c r="A38" s="101" t="n">
        <x:v>34</x:v>
      </x:c>
      <x:c r="B38" s="102" t="str">
        <x:v>C02</x:v>
      </x:c>
      <x:c r="C38" s="102" t="str">
        <x:v>宁姆格福</x:v>
      </x:c>
      <x:c r="D38" s="159" t="n">
        <x:f>IF(A38&lt;=50,A38+9,IF(A38&lt;=100,A38*2-40,IF(A38&lt;=150,A38*3-140,IF(A38&lt;=200,A38*5-440,A38*8-1040))))</x:f>
        <x:v>43</x:v>
      </x:c>
      <x:c r="E38" s="159" t="n">
        <x:v>210000000</x:v>
      </x:c>
      <x:c r="F38" s="159" t="n">
        <x:v>0</x:v>
      </x:c>
      <x:c r="G38" s="159" t="n">
        <x:f>A38*(A38+1)/2</x:f>
        <x:v>595</x:v>
      </x:c>
      <x:c r="H38" s="159" t="n">
        <x:f>G38*100</x:f>
        <x:v>59500</x:v>
      </x:c>
      <x:c r="I38" s="103" t="str">
        <x:v>100%成功；材料明显缺口，不纳入回收产出</x:v>
      </x:c>
    </x:row>
    <x:row r="39">
      <x:c r="A39" s="101" t="n">
        <x:v>35</x:v>
      </x:c>
      <x:c r="B39" s="102" t="str">
        <x:v>C02</x:v>
      </x:c>
      <x:c r="C39" s="102" t="str">
        <x:v>宁姆格福</x:v>
      </x:c>
      <x:c r="D39" s="159" t="n">
        <x:f>IF(A39&lt;=50,A39+9,IF(A39&lt;=100,A39*2-40,IF(A39&lt;=150,A39*3-140,IF(A39&lt;=200,A39*5-440,A39*8-1040))))</x:f>
        <x:v>44</x:v>
      </x:c>
      <x:c r="E39" s="159" t="n">
        <x:v>210000000</x:v>
      </x:c>
      <x:c r="F39" s="159" t="n">
        <x:v>0</x:v>
      </x:c>
      <x:c r="G39" s="159" t="n">
        <x:f>A39*(A39+1)/2</x:f>
        <x:v>630</x:v>
      </x:c>
      <x:c r="H39" s="159" t="n">
        <x:f>G39*100</x:f>
        <x:v>63000</x:v>
      </x:c>
      <x:c r="I39" s="103" t="str">
        <x:v>100%成功；材料明显缺口，不纳入回收产出</x:v>
      </x:c>
    </x:row>
    <x:row r="40">
      <x:c r="A40" s="101" t="n">
        <x:v>36</x:v>
      </x:c>
      <x:c r="B40" s="102" t="str">
        <x:v>C02</x:v>
      </x:c>
      <x:c r="C40" s="102" t="str">
        <x:v>宁姆格福</x:v>
      </x:c>
      <x:c r="D40" s="159" t="n">
        <x:f>IF(A40&lt;=50,A40+9,IF(A40&lt;=100,A40*2-40,IF(A40&lt;=150,A40*3-140,IF(A40&lt;=200,A40*5-440,A40*8-1040))))</x:f>
        <x:v>45</x:v>
      </x:c>
      <x:c r="E40" s="159" t="n">
        <x:v>220000000</x:v>
      </x:c>
      <x:c r="F40" s="159" t="n">
        <x:v>0</x:v>
      </x:c>
      <x:c r="G40" s="159" t="n">
        <x:f>A40*(A40+1)/2</x:f>
        <x:v>666</x:v>
      </x:c>
      <x:c r="H40" s="159" t="n">
        <x:f>G40*100</x:f>
        <x:v>66600</x:v>
      </x:c>
      <x:c r="I40" s="103" t="str">
        <x:v>100%成功；材料明显缺口，不纳入回收产出</x:v>
      </x:c>
    </x:row>
    <x:row r="41">
      <x:c r="A41" s="101" t="n">
        <x:v>37</x:v>
      </x:c>
      <x:c r="B41" s="102" t="str">
        <x:v>C02</x:v>
      </x:c>
      <x:c r="C41" s="102" t="str">
        <x:v>宁姆格福</x:v>
      </x:c>
      <x:c r="D41" s="159" t="n">
        <x:f>IF(A41&lt;=50,A41+9,IF(A41&lt;=100,A41*2-40,IF(A41&lt;=150,A41*3-140,IF(A41&lt;=200,A41*5-440,A41*8-1040))))</x:f>
        <x:v>46</x:v>
      </x:c>
      <x:c r="E41" s="159" t="n">
        <x:v>220000000</x:v>
      </x:c>
      <x:c r="F41" s="159" t="n">
        <x:v>0</x:v>
      </x:c>
      <x:c r="G41" s="159" t="n">
        <x:f>A41*(A41+1)/2</x:f>
        <x:v>703</x:v>
      </x:c>
      <x:c r="H41" s="159" t="n">
        <x:f>G41*100</x:f>
        <x:v>70300</x:v>
      </x:c>
      <x:c r="I41" s="103" t="str">
        <x:v>100%成功；材料明显缺口，不纳入回收产出</x:v>
      </x:c>
    </x:row>
    <x:row r="42">
      <x:c r="A42" s="101" t="n">
        <x:v>38</x:v>
      </x:c>
      <x:c r="B42" s="102" t="str">
        <x:v>C02</x:v>
      </x:c>
      <x:c r="C42" s="102" t="str">
        <x:v>宁姆格福</x:v>
      </x:c>
      <x:c r="D42" s="159" t="n">
        <x:f>IF(A42&lt;=50,A42+9,IF(A42&lt;=100,A42*2-40,IF(A42&lt;=150,A42*3-140,IF(A42&lt;=200,A42*5-440,A42*8-1040))))</x:f>
        <x:v>47</x:v>
      </x:c>
      <x:c r="E42" s="159" t="n">
        <x:v>230000000</x:v>
      </x:c>
      <x:c r="F42" s="159" t="n">
        <x:v>0</x:v>
      </x:c>
      <x:c r="G42" s="159" t="n">
        <x:f>A42*(A42+1)/2</x:f>
        <x:v>741</x:v>
      </x:c>
      <x:c r="H42" s="159" t="n">
        <x:f>G42*100</x:f>
        <x:v>74100</x:v>
      </x:c>
      <x:c r="I42" s="103" t="str">
        <x:v>100%成功；材料明显缺口，不纳入回收产出</x:v>
      </x:c>
    </x:row>
    <x:row r="43">
      <x:c r="A43" s="101" t="n">
        <x:v>39</x:v>
      </x:c>
      <x:c r="B43" s="102" t="str">
        <x:v>C02</x:v>
      </x:c>
      <x:c r="C43" s="102" t="str">
        <x:v>宁姆格福</x:v>
      </x:c>
      <x:c r="D43" s="159" t="n">
        <x:f>IF(A43&lt;=50,A43+9,IF(A43&lt;=100,A43*2-40,IF(A43&lt;=150,A43*3-140,IF(A43&lt;=200,A43*5-440,A43*8-1040))))</x:f>
        <x:v>48</x:v>
      </x:c>
      <x:c r="E43" s="159" t="n">
        <x:v>230000000</x:v>
      </x:c>
      <x:c r="F43" s="159" t="n">
        <x:v>0</x:v>
      </x:c>
      <x:c r="G43" s="159" t="n">
        <x:f>A43*(A43+1)/2</x:f>
        <x:v>780</x:v>
      </x:c>
      <x:c r="H43" s="159" t="n">
        <x:f>G43*100</x:f>
        <x:v>78000</x:v>
      </x:c>
      <x:c r="I43" s="103" t="str">
        <x:v>100%成功；材料明显缺口，不纳入回收产出</x:v>
      </x:c>
    </x:row>
    <x:row r="44">
      <x:c r="A44" s="101" t="n">
        <x:v>40</x:v>
      </x:c>
      <x:c r="B44" s="102" t="str">
        <x:v>C02</x:v>
      </x:c>
      <x:c r="C44" s="102" t="str">
        <x:v>宁姆格福</x:v>
      </x:c>
      <x:c r="D44" s="159" t="n">
        <x:f>IF(A44&lt;=50,A44+9,IF(A44&lt;=100,A44*2-40,IF(A44&lt;=150,A44*3-140,IF(A44&lt;=200,A44*5-440,A44*8-1040))))</x:f>
        <x:v>49</x:v>
      </x:c>
      <x:c r="E44" s="159" t="n">
        <x:v>230000000</x:v>
      </x:c>
      <x:c r="F44" s="159" t="n">
        <x:v>0</x:v>
      </x:c>
      <x:c r="G44" s="159" t="n">
        <x:f>A44*(A44+1)/2</x:f>
        <x:v>820</x:v>
      </x:c>
      <x:c r="H44" s="159" t="n">
        <x:f>G44*100</x:f>
        <x:v>82000</x:v>
      </x:c>
      <x:c r="I44" s="103" t="str">
        <x:v>100%成功；材料明显缺口，不纳入回收产出</x:v>
      </x:c>
    </x:row>
    <x:row r="45">
      <x:c r="A45" s="101" t="n">
        <x:v>41</x:v>
      </x:c>
      <x:c r="B45" s="102" t="str">
        <x:v>C02</x:v>
      </x:c>
      <x:c r="C45" s="102" t="str">
        <x:v>宁姆格福</x:v>
      </x:c>
      <x:c r="D45" s="159" t="n">
        <x:f>IF(A45&lt;=50,A45+9,IF(A45&lt;=100,A45*2-40,IF(A45&lt;=150,A45*3-140,IF(A45&lt;=200,A45*5-440,A45*8-1040))))</x:f>
        <x:v>50</x:v>
      </x:c>
      <x:c r="E45" s="159" t="n">
        <x:v>240000000</x:v>
      </x:c>
      <x:c r="F45" s="159" t="n">
        <x:v>0</x:v>
      </x:c>
      <x:c r="G45" s="159" t="n">
        <x:f>A45*(A45+1)/2</x:f>
        <x:v>861</x:v>
      </x:c>
      <x:c r="H45" s="159" t="n">
        <x:f>G45*100</x:f>
        <x:v>86100</x:v>
      </x:c>
      <x:c r="I45" s="103" t="str">
        <x:v>100%成功；材料明显缺口，不纳入回收产出</x:v>
      </x:c>
    </x:row>
    <x:row r="46">
      <x:c r="A46" s="101" t="n">
        <x:v>42</x:v>
      </x:c>
      <x:c r="B46" s="102" t="str">
        <x:v>C02</x:v>
      </x:c>
      <x:c r="C46" s="102" t="str">
        <x:v>宁姆格福</x:v>
      </x:c>
      <x:c r="D46" s="159" t="n">
        <x:f>IF(A46&lt;=50,A46+9,IF(A46&lt;=100,A46*2-40,IF(A46&lt;=150,A46*3-140,IF(A46&lt;=200,A46*5-440,A46*8-1040))))</x:f>
        <x:v>51</x:v>
      </x:c>
      <x:c r="E46" s="159" t="n">
        <x:v>240000000</x:v>
      </x:c>
      <x:c r="F46" s="159" t="n">
        <x:v>0</x:v>
      </x:c>
      <x:c r="G46" s="159" t="n">
        <x:f>A46*(A46+1)/2</x:f>
        <x:v>903</x:v>
      </x:c>
      <x:c r="H46" s="159" t="n">
        <x:f>G46*100</x:f>
        <x:v>90300</x:v>
      </x:c>
      <x:c r="I46" s="103" t="str">
        <x:v>100%成功；材料明显缺口，不纳入回收产出</x:v>
      </x:c>
    </x:row>
    <x:row r="47">
      <x:c r="A47" s="101" t="n">
        <x:v>43</x:v>
      </x:c>
      <x:c r="B47" s="102" t="str">
        <x:v>C02</x:v>
      </x:c>
      <x:c r="C47" s="102" t="str">
        <x:v>宁姆格福</x:v>
      </x:c>
      <x:c r="D47" s="159" t="n">
        <x:f>IF(A47&lt;=50,A47+9,IF(A47&lt;=100,A47*2-40,IF(A47&lt;=150,A47*3-140,IF(A47&lt;=200,A47*5-440,A47*8-1040))))</x:f>
        <x:v>52</x:v>
      </x:c>
      <x:c r="E47" s="159" t="n">
        <x:v>240000000</x:v>
      </x:c>
      <x:c r="F47" s="159" t="n">
        <x:v>0</x:v>
      </x:c>
      <x:c r="G47" s="159" t="n">
        <x:f>A47*(A47+1)/2</x:f>
        <x:v>946</x:v>
      </x:c>
      <x:c r="H47" s="159" t="n">
        <x:f>G47*100</x:f>
        <x:v>94600</x:v>
      </x:c>
      <x:c r="I47" s="103" t="str">
        <x:v>100%成功；材料明显缺口，不纳入回收产出</x:v>
      </x:c>
    </x:row>
    <x:row r="48">
      <x:c r="A48" s="101" t="n">
        <x:v>44</x:v>
      </x:c>
      <x:c r="B48" s="102" t="str">
        <x:v>C02</x:v>
      </x:c>
      <x:c r="C48" s="102" t="str">
        <x:v>宁姆格福</x:v>
      </x:c>
      <x:c r="D48" s="159" t="n">
        <x:f>IF(A48&lt;=50,A48+9,IF(A48&lt;=100,A48*2-40,IF(A48&lt;=150,A48*3-140,IF(A48&lt;=200,A48*5-440,A48*8-1040))))</x:f>
        <x:v>53</x:v>
      </x:c>
      <x:c r="E48" s="159" t="n">
        <x:v>250000000</x:v>
      </x:c>
      <x:c r="F48" s="159" t="n">
        <x:v>0</x:v>
      </x:c>
      <x:c r="G48" s="159" t="n">
        <x:f>A48*(A48+1)/2</x:f>
        <x:v>990</x:v>
      </x:c>
      <x:c r="H48" s="159" t="n">
        <x:f>G48*100</x:f>
        <x:v>99000</x:v>
      </x:c>
      <x:c r="I48" s="103" t="str">
        <x:v>100%成功；材料明显缺口，不纳入回收产出</x:v>
      </x:c>
    </x:row>
    <x:row r="49">
      <x:c r="A49" s="101" t="n">
        <x:v>45</x:v>
      </x:c>
      <x:c r="B49" s="102" t="str">
        <x:v>C02</x:v>
      </x:c>
      <x:c r="C49" s="102" t="str">
        <x:v>宁姆格福</x:v>
      </x:c>
      <x:c r="D49" s="159" t="n">
        <x:f>IF(A49&lt;=50,A49+9,IF(A49&lt;=100,A49*2-40,IF(A49&lt;=150,A49*3-140,IF(A49&lt;=200,A49*5-440,A49*8-1040))))</x:f>
        <x:v>54</x:v>
      </x:c>
      <x:c r="E49" s="159" t="n">
        <x:v>250000000</x:v>
      </x:c>
      <x:c r="F49" s="159" t="n">
        <x:v>0</x:v>
      </x:c>
      <x:c r="G49" s="159" t="n">
        <x:f>A49*(A49+1)/2</x:f>
        <x:v>1035</x:v>
      </x:c>
      <x:c r="H49" s="159" t="n">
        <x:f>G49*100</x:f>
        <x:v>103500</x:v>
      </x:c>
      <x:c r="I49" s="103" t="str">
        <x:v>100%成功；材料明显缺口，不纳入回收产出</x:v>
      </x:c>
    </x:row>
    <x:row r="50">
      <x:c r="A50" s="101" t="n">
        <x:v>46</x:v>
      </x:c>
      <x:c r="B50" s="102" t="str">
        <x:v>C02</x:v>
      </x:c>
      <x:c r="C50" s="102" t="str">
        <x:v>宁姆格福</x:v>
      </x:c>
      <x:c r="D50" s="159" t="n">
        <x:f>IF(A50&lt;=50,A50+9,IF(A50&lt;=100,A50*2-40,IF(A50&lt;=150,A50*3-140,IF(A50&lt;=200,A50*5-440,A50*8-1040))))</x:f>
        <x:v>55</x:v>
      </x:c>
      <x:c r="E50" s="159" t="n">
        <x:v>250000000</x:v>
      </x:c>
      <x:c r="F50" s="159" t="n">
        <x:v>0</x:v>
      </x:c>
      <x:c r="G50" s="159" t="n">
        <x:f>A50*(A50+1)/2</x:f>
        <x:v>1081</x:v>
      </x:c>
      <x:c r="H50" s="159" t="n">
        <x:f>G50*100</x:f>
        <x:v>108100</x:v>
      </x:c>
      <x:c r="I50" s="103" t="str">
        <x:v>100%成功；材料明显缺口，不纳入回收产出</x:v>
      </x:c>
    </x:row>
    <x:row r="51">
      <x:c r="A51" s="101" t="n">
        <x:v>47</x:v>
      </x:c>
      <x:c r="B51" s="102" t="str">
        <x:v>C02</x:v>
      </x:c>
      <x:c r="C51" s="102" t="str">
        <x:v>宁姆格福</x:v>
      </x:c>
      <x:c r="D51" s="159" t="n">
        <x:f>IF(A51&lt;=50,A51+9,IF(A51&lt;=100,A51*2-40,IF(A51&lt;=150,A51*3-140,IF(A51&lt;=200,A51*5-440,A51*8-1040))))</x:f>
        <x:v>56</x:v>
      </x:c>
      <x:c r="E51" s="159" t="n">
        <x:v>260000000</x:v>
      </x:c>
      <x:c r="F51" s="159" t="n">
        <x:v>0</x:v>
      </x:c>
      <x:c r="G51" s="159" t="n">
        <x:f>A51*(A51+1)/2</x:f>
        <x:v>1128</x:v>
      </x:c>
      <x:c r="H51" s="159" t="n">
        <x:f>G51*100</x:f>
        <x:v>112800</x:v>
      </x:c>
      <x:c r="I51" s="103" t="str">
        <x:v>100%成功；材料明显缺口，不纳入回收产出</x:v>
      </x:c>
    </x:row>
    <x:row r="52">
      <x:c r="A52" s="101" t="n">
        <x:v>48</x:v>
      </x:c>
      <x:c r="B52" s="102" t="str">
        <x:v>C02</x:v>
      </x:c>
      <x:c r="C52" s="102" t="str">
        <x:v>宁姆格福</x:v>
      </x:c>
      <x:c r="D52" s="159" t="n">
        <x:f>IF(A52&lt;=50,A52+9,IF(A52&lt;=100,A52*2-40,IF(A52&lt;=150,A52*3-140,IF(A52&lt;=200,A52*5-440,A52*8-1040))))</x:f>
        <x:v>57</x:v>
      </x:c>
      <x:c r="E52" s="159" t="n">
        <x:v>260000000</x:v>
      </x:c>
      <x:c r="F52" s="159" t="n">
        <x:v>0</x:v>
      </x:c>
      <x:c r="G52" s="159" t="n">
        <x:f>A52*(A52+1)/2</x:f>
        <x:v>1176</x:v>
      </x:c>
      <x:c r="H52" s="159" t="n">
        <x:f>G52*100</x:f>
        <x:v>117600</x:v>
      </x:c>
      <x:c r="I52" s="103" t="str">
        <x:v>100%成功；材料明显缺口，不纳入回收产出</x:v>
      </x:c>
    </x:row>
    <x:row r="53">
      <x:c r="A53" s="101" t="n">
        <x:v>49</x:v>
      </x:c>
      <x:c r="B53" s="102" t="str">
        <x:v>C02</x:v>
      </x:c>
      <x:c r="C53" s="102" t="str">
        <x:v>宁姆格福</x:v>
      </x:c>
      <x:c r="D53" s="159" t="n">
        <x:f>IF(A53&lt;=50,A53+9,IF(A53&lt;=100,A53*2-40,IF(A53&lt;=150,A53*3-140,IF(A53&lt;=200,A53*5-440,A53*8-1040))))</x:f>
        <x:v>58</x:v>
      </x:c>
      <x:c r="E53" s="159" t="n">
        <x:v>270000000</x:v>
      </x:c>
      <x:c r="F53" s="159" t="n">
        <x:v>0</x:v>
      </x:c>
      <x:c r="G53" s="159" t="n">
        <x:f>A53*(A53+1)/2</x:f>
        <x:v>1225</x:v>
      </x:c>
      <x:c r="H53" s="159" t="n">
        <x:f>G53*100</x:f>
        <x:v>122500</x:v>
      </x:c>
      <x:c r="I53" s="103" t="str">
        <x:v>100%成功；材料明显缺口，不纳入回收产出</x:v>
      </x:c>
    </x:row>
    <x:row r="54">
      <x:c r="A54" s="101" t="n">
        <x:v>50</x:v>
      </x:c>
      <x:c r="B54" s="102" t="str">
        <x:v>C02</x:v>
      </x:c>
      <x:c r="C54" s="102" t="str">
        <x:v>宁姆格福</x:v>
      </x:c>
      <x:c r="D54" s="159" t="n">
        <x:f>IF(A54&lt;=50,A54+9,IF(A54&lt;=100,A54*2-40,IF(A54&lt;=150,A54*3-140,IF(A54&lt;=200,A54*5-440,A54*8-1040))))</x:f>
        <x:v>59</x:v>
      </x:c>
      <x:c r="E54" s="159" t="n">
        <x:v>270000000</x:v>
      </x:c>
      <x:c r="F54" s="159" t="n">
        <x:v>0</x:v>
      </x:c>
      <x:c r="G54" s="159" t="n">
        <x:f>A54*(A54+1)/2</x:f>
        <x:v>1275</x:v>
      </x:c>
      <x:c r="H54" s="159" t="n">
        <x:f>G54*100</x:f>
        <x:v>127500</x:v>
      </x:c>
      <x:c r="I54" s="103" t="str">
        <x:v>100%成功；材料明显缺口，不纳入回收产出</x:v>
      </x:c>
    </x:row>
    <x:row r="55">
      <x:c r="A55" s="101" t="n">
        <x:v>51</x:v>
      </x:c>
      <x:c r="B55" s="102" t="str">
        <x:v>C03</x:v>
      </x:c>
      <x:c r="C55" s="102" t="str">
        <x:v>宁姆格福西域</x:v>
      </x:c>
      <x:c r="D55" s="159" t="n">
        <x:f>IF(A55&lt;=50,A55+9,IF(A55&lt;=100,A55*2-40,IF(A55&lt;=150,A55*3-140,IF(A55&lt;=200,A55*5-440,A55*8-1040))))</x:f>
        <x:v>62</x:v>
      </x:c>
      <x:c r="E55" s="159" t="n">
        <x:v>270000000</x:v>
      </x:c>
      <x:c r="F55" s="159" t="n">
        <x:v>0</x:v>
      </x:c>
      <x:c r="G55" s="159" t="n">
        <x:f>A55*(A55+1)/2</x:f>
        <x:v>1326</x:v>
      </x:c>
      <x:c r="H55" s="159" t="n">
        <x:f>G55*100</x:f>
        <x:v>132600</x:v>
      </x:c>
      <x:c r="I55" s="103" t="str">
        <x:v>100%成功；材料明显缺口，不纳入回收产出</x:v>
      </x:c>
    </x:row>
    <x:row r="56">
      <x:c r="A56" s="101" t="n">
        <x:v>52</x:v>
      </x:c>
      <x:c r="B56" s="102" t="str">
        <x:v>C03</x:v>
      </x:c>
      <x:c r="C56" s="102" t="str">
        <x:v>宁姆格福西域</x:v>
      </x:c>
      <x:c r="D56" s="159" t="n">
        <x:f>IF(A56&lt;=50,A56+9,IF(A56&lt;=100,A56*2-40,IF(A56&lt;=150,A56*3-140,IF(A56&lt;=200,A56*5-440,A56*8-1040))))</x:f>
        <x:v>64</x:v>
      </x:c>
      <x:c r="E56" s="159" t="n">
        <x:v>280000000</x:v>
      </x:c>
      <x:c r="F56" s="159" t="n">
        <x:v>0</x:v>
      </x:c>
      <x:c r="G56" s="159" t="n">
        <x:f>A56*(A56+1)/2</x:f>
        <x:v>1378</x:v>
      </x:c>
      <x:c r="H56" s="159" t="n">
        <x:f>G56*100</x:f>
        <x:v>137800</x:v>
      </x:c>
      <x:c r="I56" s="103" t="str">
        <x:v>100%成功；材料明显缺口，不纳入回收产出</x:v>
      </x:c>
    </x:row>
    <x:row r="57">
      <x:c r="A57" s="101" t="n">
        <x:v>53</x:v>
      </x:c>
      <x:c r="B57" s="102" t="str">
        <x:v>C03</x:v>
      </x:c>
      <x:c r="C57" s="102" t="str">
        <x:v>宁姆格福西域</x:v>
      </x:c>
      <x:c r="D57" s="159" t="n">
        <x:f>IF(A57&lt;=50,A57+9,IF(A57&lt;=100,A57*2-40,IF(A57&lt;=150,A57*3-140,IF(A57&lt;=200,A57*5-440,A57*8-1040))))</x:f>
        <x:v>66</x:v>
      </x:c>
      <x:c r="E57" s="159" t="n">
        <x:v>300000000</x:v>
      </x:c>
      <x:c r="F57" s="159" t="n">
        <x:v>0</x:v>
      </x:c>
      <x:c r="G57" s="159" t="n">
        <x:f>A57*(A57+1)/2</x:f>
        <x:v>1431</x:v>
      </x:c>
      <x:c r="H57" s="159" t="n">
        <x:f>G57*100</x:f>
        <x:v>143100</x:v>
      </x:c>
      <x:c r="I57" s="103" t="str">
        <x:v>100%成功；材料明显缺口，不纳入回收产出</x:v>
      </x:c>
    </x:row>
    <x:row r="58">
      <x:c r="A58" s="101" t="n">
        <x:v>54</x:v>
      </x:c>
      <x:c r="B58" s="102" t="str">
        <x:v>C03</x:v>
      </x:c>
      <x:c r="C58" s="102" t="str">
        <x:v>宁姆格福西域</x:v>
      </x:c>
      <x:c r="D58" s="159" t="n">
        <x:f>IF(A58&lt;=50,A58+9,IF(A58&lt;=100,A58*2-40,IF(A58&lt;=150,A58*3-140,IF(A58&lt;=200,A58*5-440,A58*8-1040))))</x:f>
        <x:v>68</x:v>
      </x:c>
      <x:c r="E58" s="159" t="n">
        <x:v>320000000</x:v>
      </x:c>
      <x:c r="F58" s="159" t="n">
        <x:v>0</x:v>
      </x:c>
      <x:c r="G58" s="159" t="n">
        <x:f>A58*(A58+1)/2</x:f>
        <x:v>1485</x:v>
      </x:c>
      <x:c r="H58" s="159" t="n">
        <x:f>G58*100</x:f>
        <x:v>148500</x:v>
      </x:c>
      <x:c r="I58" s="103" t="str">
        <x:v>100%成功；材料明显缺口，不纳入回收产出</x:v>
      </x:c>
    </x:row>
    <x:row r="59">
      <x:c r="A59" s="101" t="n">
        <x:v>55</x:v>
      </x:c>
      <x:c r="B59" s="102" t="str">
        <x:v>C03</x:v>
      </x:c>
      <x:c r="C59" s="102" t="str">
        <x:v>宁姆格福西域</x:v>
      </x:c>
      <x:c r="D59" s="159" t="n">
        <x:f>IF(A59&lt;=50,A59+9,IF(A59&lt;=100,A59*2-40,IF(A59&lt;=150,A59*3-140,IF(A59&lt;=200,A59*5-440,A59*8-1040))))</x:f>
        <x:v>70</x:v>
      </x:c>
      <x:c r="E59" s="159" t="n">
        <x:v>340000000</x:v>
      </x:c>
      <x:c r="F59" s="159" t="n">
        <x:v>0</x:v>
      </x:c>
      <x:c r="G59" s="159" t="n">
        <x:f>A59*(A59+1)/2</x:f>
        <x:v>1540</x:v>
      </x:c>
      <x:c r="H59" s="159" t="n">
        <x:f>G59*100</x:f>
        <x:v>154000</x:v>
      </x:c>
      <x:c r="I59" s="103" t="str">
        <x:v>100%成功；材料明显缺口，不纳入回收产出</x:v>
      </x:c>
    </x:row>
    <x:row r="60">
      <x:c r="A60" s="101" t="n">
        <x:v>56</x:v>
      </x:c>
      <x:c r="B60" s="102" t="str">
        <x:v>C03</x:v>
      </x:c>
      <x:c r="C60" s="102" t="str">
        <x:v>宁姆格福西域</x:v>
      </x:c>
      <x:c r="D60" s="159" t="n">
        <x:f>IF(A60&lt;=50,A60+9,IF(A60&lt;=100,A60*2-40,IF(A60&lt;=150,A60*3-140,IF(A60&lt;=200,A60*5-440,A60*8-1040))))</x:f>
        <x:v>72</x:v>
      </x:c>
      <x:c r="E60" s="159" t="n">
        <x:v>360000000</x:v>
      </x:c>
      <x:c r="F60" s="159" t="n">
        <x:v>0</x:v>
      </x:c>
      <x:c r="G60" s="159" t="n">
        <x:f>A60*(A60+1)/2</x:f>
        <x:v>1596</x:v>
      </x:c>
      <x:c r="H60" s="159" t="n">
        <x:f>G60*100</x:f>
        <x:v>159600</x:v>
      </x:c>
      <x:c r="I60" s="103" t="str">
        <x:v>100%成功；材料明显缺口，不纳入回收产出</x:v>
      </x:c>
    </x:row>
    <x:row r="61">
      <x:c r="A61" s="101" t="n">
        <x:v>57</x:v>
      </x:c>
      <x:c r="B61" s="102" t="str">
        <x:v>C03</x:v>
      </x:c>
      <x:c r="C61" s="102" t="str">
        <x:v>宁姆格福西域</x:v>
      </x:c>
      <x:c r="D61" s="159" t="n">
        <x:f>IF(A61&lt;=50,A61+9,IF(A61&lt;=100,A61*2-40,IF(A61&lt;=150,A61*3-140,IF(A61&lt;=200,A61*5-440,A61*8-1040))))</x:f>
        <x:v>74</x:v>
      </x:c>
      <x:c r="E61" s="159" t="n">
        <x:v>380000000</x:v>
      </x:c>
      <x:c r="F61" s="159" t="n">
        <x:v>0</x:v>
      </x:c>
      <x:c r="G61" s="159" t="n">
        <x:f>A61*(A61+1)/2</x:f>
        <x:v>1653</x:v>
      </x:c>
      <x:c r="H61" s="159" t="n">
        <x:f>G61*100</x:f>
        <x:v>165300</x:v>
      </x:c>
      <x:c r="I61" s="103" t="str">
        <x:v>100%成功；材料明显缺口，不纳入回收产出</x:v>
      </x:c>
    </x:row>
    <x:row r="62">
      <x:c r="A62" s="101" t="n">
        <x:v>58</x:v>
      </x:c>
      <x:c r="B62" s="102" t="str">
        <x:v>C03</x:v>
      </x:c>
      <x:c r="C62" s="102" t="str">
        <x:v>宁姆格福西域</x:v>
      </x:c>
      <x:c r="D62" s="159" t="n">
        <x:f>IF(A62&lt;=50,A62+9,IF(A62&lt;=100,A62*2-40,IF(A62&lt;=150,A62*3-140,IF(A62&lt;=200,A62*5-440,A62*8-1040))))</x:f>
        <x:v>76</x:v>
      </x:c>
      <x:c r="E62" s="159" t="n">
        <x:v>390000000</x:v>
      </x:c>
      <x:c r="F62" s="159" t="n">
        <x:v>0</x:v>
      </x:c>
      <x:c r="G62" s="159" t="n">
        <x:f>A62*(A62+1)/2</x:f>
        <x:v>1711</x:v>
      </x:c>
      <x:c r="H62" s="159" t="n">
        <x:f>G62*100</x:f>
        <x:v>171100</x:v>
      </x:c>
      <x:c r="I62" s="103" t="str">
        <x:v>100%成功；材料明显缺口，不纳入回收产出</x:v>
      </x:c>
    </x:row>
    <x:row r="63">
      <x:c r="A63" s="101" t="n">
        <x:v>59</x:v>
      </x:c>
      <x:c r="B63" s="102" t="str">
        <x:v>C03</x:v>
      </x:c>
      <x:c r="C63" s="102" t="str">
        <x:v>宁姆格福西域</x:v>
      </x:c>
      <x:c r="D63" s="159" t="n">
        <x:f>IF(A63&lt;=50,A63+9,IF(A63&lt;=100,A63*2-40,IF(A63&lt;=150,A63*3-140,IF(A63&lt;=200,A63*5-440,A63*8-1040))))</x:f>
        <x:v>78</x:v>
      </x:c>
      <x:c r="E63" s="159" t="n">
        <x:v>410000000</x:v>
      </x:c>
      <x:c r="F63" s="159" t="n">
        <x:v>0</x:v>
      </x:c>
      <x:c r="G63" s="159" t="n">
        <x:f>A63*(A63+1)/2</x:f>
        <x:v>1770</x:v>
      </x:c>
      <x:c r="H63" s="159" t="n">
        <x:f>G63*100</x:f>
        <x:v>177000</x:v>
      </x:c>
      <x:c r="I63" s="103" t="str">
        <x:v>100%成功；材料明显缺口，不纳入回收产出</x:v>
      </x:c>
    </x:row>
    <x:row r="64">
      <x:c r="A64" s="101" t="n">
        <x:v>60</x:v>
      </x:c>
      <x:c r="B64" s="102" t="str">
        <x:v>C03</x:v>
      </x:c>
      <x:c r="C64" s="102" t="str">
        <x:v>宁姆格福西域</x:v>
      </x:c>
      <x:c r="D64" s="159" t="n">
        <x:f>IF(A64&lt;=50,A64+9,IF(A64&lt;=100,A64*2-40,IF(A64&lt;=150,A64*3-140,IF(A64&lt;=200,A64*5-440,A64*8-1040))))</x:f>
        <x:v>80</x:v>
      </x:c>
      <x:c r="E64" s="159" t="n">
        <x:v>430000000</x:v>
      </x:c>
      <x:c r="F64" s="159" t="n">
        <x:v>0</x:v>
      </x:c>
      <x:c r="G64" s="159" t="n">
        <x:f>A64*(A64+1)/2</x:f>
        <x:v>1830</x:v>
      </x:c>
      <x:c r="H64" s="159" t="n">
        <x:f>G64*100</x:f>
        <x:v>183000</x:v>
      </x:c>
      <x:c r="I64" s="103" t="str">
        <x:v>100%成功；材料明显缺口，不纳入回收产出</x:v>
      </x:c>
    </x:row>
    <x:row r="65">
      <x:c r="A65" s="101" t="n">
        <x:v>61</x:v>
      </x:c>
      <x:c r="B65" s="102" t="str">
        <x:v>C03</x:v>
      </x:c>
      <x:c r="C65" s="102" t="str">
        <x:v>宁姆格福西域</x:v>
      </x:c>
      <x:c r="D65" s="159" t="n">
        <x:f>IF(A65&lt;=50,A65+9,IF(A65&lt;=100,A65*2-40,IF(A65&lt;=150,A65*3-140,IF(A65&lt;=200,A65*5-440,A65*8-1040))))</x:f>
        <x:v>82</x:v>
      </x:c>
      <x:c r="E65" s="159" t="n">
        <x:v>450000000</x:v>
      </x:c>
      <x:c r="F65" s="159" t="n">
        <x:v>0</x:v>
      </x:c>
      <x:c r="G65" s="159" t="n">
        <x:f>A65*(A65+1)/2</x:f>
        <x:v>1891</x:v>
      </x:c>
      <x:c r="H65" s="159" t="n">
        <x:f>G65*100</x:f>
        <x:v>189100</x:v>
      </x:c>
      <x:c r="I65" s="103" t="str">
        <x:v>100%成功；材料明显缺口，不纳入回收产出</x:v>
      </x:c>
    </x:row>
    <x:row r="66">
      <x:c r="A66" s="101" t="n">
        <x:v>62</x:v>
      </x:c>
      <x:c r="B66" s="102" t="str">
        <x:v>C03</x:v>
      </x:c>
      <x:c r="C66" s="102" t="str">
        <x:v>宁姆格福西域</x:v>
      </x:c>
      <x:c r="D66" s="159" t="n">
        <x:f>IF(A66&lt;=50,A66+9,IF(A66&lt;=100,A66*2-40,IF(A66&lt;=150,A66*3-140,IF(A66&lt;=200,A66*5-440,A66*8-1040))))</x:f>
        <x:v>84</x:v>
      </x:c>
      <x:c r="E66" s="159" t="n">
        <x:v>470000000</x:v>
      </x:c>
      <x:c r="F66" s="159" t="n">
        <x:v>0</x:v>
      </x:c>
      <x:c r="G66" s="159" t="n">
        <x:f>A66*(A66+1)/2</x:f>
        <x:v>1953</x:v>
      </x:c>
      <x:c r="H66" s="159" t="n">
        <x:f>G66*100</x:f>
        <x:v>195300</x:v>
      </x:c>
      <x:c r="I66" s="103" t="str">
        <x:v>100%成功；材料明显缺口，不纳入回收产出</x:v>
      </x:c>
    </x:row>
    <x:row r="67">
      <x:c r="A67" s="101" t="n">
        <x:v>63</x:v>
      </x:c>
      <x:c r="B67" s="102" t="str">
        <x:v>C03</x:v>
      </x:c>
      <x:c r="C67" s="102" t="str">
        <x:v>宁姆格福西域</x:v>
      </x:c>
      <x:c r="D67" s="159" t="n">
        <x:f>IF(A67&lt;=50,A67+9,IF(A67&lt;=100,A67*2-40,IF(A67&lt;=150,A67*3-140,IF(A67&lt;=200,A67*5-440,A67*8-1040))))</x:f>
        <x:v>86</x:v>
      </x:c>
      <x:c r="E67" s="159" t="n">
        <x:v>480000000</x:v>
      </x:c>
      <x:c r="F67" s="159" t="n">
        <x:v>0</x:v>
      </x:c>
      <x:c r="G67" s="159" t="n">
        <x:f>A67*(A67+1)/2</x:f>
        <x:v>2016</x:v>
      </x:c>
      <x:c r="H67" s="159" t="n">
        <x:f>G67*100</x:f>
        <x:v>201600</x:v>
      </x:c>
      <x:c r="I67" s="103" t="str">
        <x:v>100%成功；材料明显缺口，不纳入回收产出</x:v>
      </x:c>
    </x:row>
    <x:row r="68">
      <x:c r="A68" s="101" t="n">
        <x:v>64</x:v>
      </x:c>
      <x:c r="B68" s="102" t="str">
        <x:v>C03</x:v>
      </x:c>
      <x:c r="C68" s="102" t="str">
        <x:v>宁姆格福西域</x:v>
      </x:c>
      <x:c r="D68" s="159" t="n">
        <x:f>IF(A68&lt;=50,A68+9,IF(A68&lt;=100,A68*2-40,IF(A68&lt;=150,A68*3-140,IF(A68&lt;=200,A68*5-440,A68*8-1040))))</x:f>
        <x:v>88</x:v>
      </x:c>
      <x:c r="E68" s="159" t="n">
        <x:v>500000000</x:v>
      </x:c>
      <x:c r="F68" s="159" t="n">
        <x:v>0</x:v>
      </x:c>
      <x:c r="G68" s="159" t="n">
        <x:f>A68*(A68+1)/2</x:f>
        <x:v>2080</x:v>
      </x:c>
      <x:c r="H68" s="159" t="n">
        <x:f>G68*100</x:f>
        <x:v>208000</x:v>
      </x:c>
      <x:c r="I68" s="103" t="str">
        <x:v>100%成功；材料明显缺口，不纳入回收产出</x:v>
      </x:c>
    </x:row>
    <x:row r="69">
      <x:c r="A69" s="101" t="n">
        <x:v>65</x:v>
      </x:c>
      <x:c r="B69" s="102" t="str">
        <x:v>C03</x:v>
      </x:c>
      <x:c r="C69" s="102" t="str">
        <x:v>宁姆格福西域</x:v>
      </x:c>
      <x:c r="D69" s="159" t="n">
        <x:f>IF(A69&lt;=50,A69+9,IF(A69&lt;=100,A69*2-40,IF(A69&lt;=150,A69*3-140,IF(A69&lt;=200,A69*5-440,A69*8-1040))))</x:f>
        <x:v>90</x:v>
      </x:c>
      <x:c r="E69" s="159" t="n">
        <x:v>520000000</x:v>
      </x:c>
      <x:c r="F69" s="159" t="n">
        <x:v>0</x:v>
      </x:c>
      <x:c r="G69" s="159" t="n">
        <x:f>A69*(A69+1)/2</x:f>
        <x:v>2145</x:v>
      </x:c>
      <x:c r="H69" s="159" t="n">
        <x:f>G69*100</x:f>
        <x:v>214500</x:v>
      </x:c>
      <x:c r="I69" s="103" t="str">
        <x:v>100%成功；材料明显缺口，不纳入回收产出</x:v>
      </x:c>
    </x:row>
    <x:row r="70">
      <x:c r="A70" s="101" t="n">
        <x:v>66</x:v>
      </x:c>
      <x:c r="B70" s="102" t="str">
        <x:v>C03</x:v>
      </x:c>
      <x:c r="C70" s="102" t="str">
        <x:v>宁姆格福西域</x:v>
      </x:c>
      <x:c r="D70" s="159" t="n">
        <x:f>IF(A70&lt;=50,A70+9,IF(A70&lt;=100,A70*2-40,IF(A70&lt;=150,A70*3-140,IF(A70&lt;=200,A70*5-440,A70*8-1040))))</x:f>
        <x:v>92</x:v>
      </x:c>
      <x:c r="E70" s="159" t="n">
        <x:v>540000000</x:v>
      </x:c>
      <x:c r="F70" s="159" t="n">
        <x:v>0</x:v>
      </x:c>
      <x:c r="G70" s="159" t="n">
        <x:f>A70*(A70+1)/2</x:f>
        <x:v>2211</x:v>
      </x:c>
      <x:c r="H70" s="159" t="n">
        <x:f>G70*100</x:f>
        <x:v>221100</x:v>
      </x:c>
      <x:c r="I70" s="103" t="str">
        <x:v>100%成功；材料明显缺口，不纳入回收产出</x:v>
      </x:c>
    </x:row>
    <x:row r="71">
      <x:c r="A71" s="101" t="n">
        <x:v>67</x:v>
      </x:c>
      <x:c r="B71" s="102" t="str">
        <x:v>C03</x:v>
      </x:c>
      <x:c r="C71" s="102" t="str">
        <x:v>宁姆格福西域</x:v>
      </x:c>
      <x:c r="D71" s="159" t="n">
        <x:f>IF(A71&lt;=50,A71+9,IF(A71&lt;=100,A71*2-40,IF(A71&lt;=150,A71*3-140,IF(A71&lt;=200,A71*5-440,A71*8-1040))))</x:f>
        <x:v>94</x:v>
      </x:c>
      <x:c r="E71" s="159" t="n">
        <x:v>560000000</x:v>
      </x:c>
      <x:c r="F71" s="159" t="n">
        <x:v>0</x:v>
      </x:c>
      <x:c r="G71" s="159" t="n">
        <x:f>A71*(A71+1)/2</x:f>
        <x:v>2278</x:v>
      </x:c>
      <x:c r="H71" s="159" t="n">
        <x:f>G71*100</x:f>
        <x:v>227800</x:v>
      </x:c>
      <x:c r="I71" s="103" t="str">
        <x:v>100%成功；材料明显缺口，不纳入回收产出</x:v>
      </x:c>
    </x:row>
    <x:row r="72">
      <x:c r="A72" s="101" t="n">
        <x:v>68</x:v>
      </x:c>
      <x:c r="B72" s="102" t="str">
        <x:v>C03</x:v>
      </x:c>
      <x:c r="C72" s="102" t="str">
        <x:v>宁姆格福西域</x:v>
      </x:c>
      <x:c r="D72" s="159" t="n">
        <x:f>IF(A72&lt;=50,A72+9,IF(A72&lt;=100,A72*2-40,IF(A72&lt;=150,A72*3-140,IF(A72&lt;=200,A72*5-440,A72*8-1040))))</x:f>
        <x:v>96</x:v>
      </x:c>
      <x:c r="E72" s="159" t="n">
        <x:v>580000000</x:v>
      </x:c>
      <x:c r="F72" s="159" t="n">
        <x:v>0</x:v>
      </x:c>
      <x:c r="G72" s="159" t="n">
        <x:f>A72*(A72+1)/2</x:f>
        <x:v>2346</x:v>
      </x:c>
      <x:c r="H72" s="159" t="n">
        <x:f>G72*100</x:f>
        <x:v>234600</x:v>
      </x:c>
      <x:c r="I72" s="103" t="str">
        <x:v>100%成功；材料明显缺口，不纳入回收产出</x:v>
      </x:c>
    </x:row>
    <x:row r="73">
      <x:c r="A73" s="101" t="n">
        <x:v>69</x:v>
      </x:c>
      <x:c r="B73" s="102" t="str">
        <x:v>C03</x:v>
      </x:c>
      <x:c r="C73" s="102" t="str">
        <x:v>宁姆格福西域</x:v>
      </x:c>
      <x:c r="D73" s="159" t="n">
        <x:f>IF(A73&lt;=50,A73+9,IF(A73&lt;=100,A73*2-40,IF(A73&lt;=150,A73*3-140,IF(A73&lt;=200,A73*5-440,A73*8-1040))))</x:f>
        <x:v>98</x:v>
      </x:c>
      <x:c r="E73" s="159" t="n">
        <x:v>590000000</x:v>
      </x:c>
      <x:c r="F73" s="159" t="n">
        <x:v>0</x:v>
      </x:c>
      <x:c r="G73" s="159" t="n">
        <x:f>A73*(A73+1)/2</x:f>
        <x:v>2415</x:v>
      </x:c>
      <x:c r="H73" s="159" t="n">
        <x:f>G73*100</x:f>
        <x:v>241500</x:v>
      </x:c>
      <x:c r="I73" s="103" t="str">
        <x:v>100%成功；材料明显缺口，不纳入回收产出</x:v>
      </x:c>
    </x:row>
    <x:row r="74">
      <x:c r="A74" s="101" t="n">
        <x:v>70</x:v>
      </x:c>
      <x:c r="B74" s="102" t="str">
        <x:v>C03</x:v>
      </x:c>
      <x:c r="C74" s="102" t="str">
        <x:v>宁姆格福西域</x:v>
      </x:c>
      <x:c r="D74" s="159" t="n">
        <x:f>IF(A74&lt;=50,A74+9,IF(A74&lt;=100,A74*2-40,IF(A74&lt;=150,A74*3-140,IF(A74&lt;=200,A74*5-440,A74*8-1040))))</x:f>
        <x:v>100</x:v>
      </x:c>
      <x:c r="E74" s="159" t="n">
        <x:v>610000000</x:v>
      </x:c>
      <x:c r="F74" s="159" t="n">
        <x:v>0</x:v>
      </x:c>
      <x:c r="G74" s="159" t="n">
        <x:f>A74*(A74+1)/2</x:f>
        <x:v>2485</x:v>
      </x:c>
      <x:c r="H74" s="159" t="n">
        <x:f>G74*100</x:f>
        <x:v>248500</x:v>
      </x:c>
      <x:c r="I74" s="103" t="str">
        <x:v>100%成功；材料明显缺口，不纳入回收产出</x:v>
      </x:c>
    </x:row>
    <x:row r="75">
      <x:c r="A75" s="101" t="n">
        <x:v>71</x:v>
      </x:c>
      <x:c r="B75" s="102" t="str">
        <x:v>C03</x:v>
      </x:c>
      <x:c r="C75" s="102" t="str">
        <x:v>宁姆格福西域</x:v>
      </x:c>
      <x:c r="D75" s="159" t="n">
        <x:f>IF(A75&lt;=50,A75+9,IF(A75&lt;=100,A75*2-40,IF(A75&lt;=150,A75*3-140,IF(A75&lt;=200,A75*5-440,A75*8-1040))))</x:f>
        <x:v>102</x:v>
      </x:c>
      <x:c r="E75" s="159" t="n">
        <x:v>630000000</x:v>
      </x:c>
      <x:c r="F75" s="159" t="n">
        <x:v>0</x:v>
      </x:c>
      <x:c r="G75" s="159" t="n">
        <x:f>A75*(A75+1)/2</x:f>
        <x:v>2556</x:v>
      </x:c>
      <x:c r="H75" s="159" t="n">
        <x:f>G75*100</x:f>
        <x:v>255600</x:v>
      </x:c>
      <x:c r="I75" s="103" t="str">
        <x:v>100%成功；材料明显缺口，不纳入回收产出</x:v>
      </x:c>
    </x:row>
    <x:row r="76">
      <x:c r="A76" s="101" t="n">
        <x:v>72</x:v>
      </x:c>
      <x:c r="B76" s="102" t="str">
        <x:v>C03</x:v>
      </x:c>
      <x:c r="C76" s="102" t="str">
        <x:v>宁姆格福西域</x:v>
      </x:c>
      <x:c r="D76" s="159" t="n">
        <x:f>IF(A76&lt;=50,A76+9,IF(A76&lt;=100,A76*2-40,IF(A76&lt;=150,A76*3-140,IF(A76&lt;=200,A76*5-440,A76*8-1040))))</x:f>
        <x:v>104</x:v>
      </x:c>
      <x:c r="E76" s="159" t="n">
        <x:v>650000000</x:v>
      </x:c>
      <x:c r="F76" s="159" t="n">
        <x:v>0</x:v>
      </x:c>
      <x:c r="G76" s="159" t="n">
        <x:f>A76*(A76+1)/2</x:f>
        <x:v>2628</x:v>
      </x:c>
      <x:c r="H76" s="159" t="n">
        <x:f>G76*100</x:f>
        <x:v>262800</x:v>
      </x:c>
      <x:c r="I76" s="103" t="str">
        <x:v>100%成功；材料明显缺口，不纳入回收产出</x:v>
      </x:c>
    </x:row>
    <x:row r="77">
      <x:c r="A77" s="101" t="n">
        <x:v>73</x:v>
      </x:c>
      <x:c r="B77" s="102" t="str">
        <x:v>C03</x:v>
      </x:c>
      <x:c r="C77" s="102" t="str">
        <x:v>宁姆格福西域</x:v>
      </x:c>
      <x:c r="D77" s="159" t="n">
        <x:f>IF(A77&lt;=50,A77+9,IF(A77&lt;=100,A77*2-40,IF(A77&lt;=150,A77*3-140,IF(A77&lt;=200,A77*5-440,A77*8-1040))))</x:f>
        <x:v>106</x:v>
      </x:c>
      <x:c r="E77" s="159" t="n">
        <x:v>670000000</x:v>
      </x:c>
      <x:c r="F77" s="159" t="n">
        <x:v>0</x:v>
      </x:c>
      <x:c r="G77" s="159" t="n">
        <x:f>A77*(A77+1)/2</x:f>
        <x:v>2701</x:v>
      </x:c>
      <x:c r="H77" s="159" t="n">
        <x:f>G77*100</x:f>
        <x:v>270100</x:v>
      </x:c>
      <x:c r="I77" s="103" t="str">
        <x:v>100%成功；材料明显缺口，不纳入回收产出</x:v>
      </x:c>
    </x:row>
    <x:row r="78">
      <x:c r="A78" s="101" t="n">
        <x:v>74</x:v>
      </x:c>
      <x:c r="B78" s="102" t="str">
        <x:v>C03</x:v>
      </x:c>
      <x:c r="C78" s="102" t="str">
        <x:v>宁姆格福西域</x:v>
      </x:c>
      <x:c r="D78" s="159" t="n">
        <x:f>IF(A78&lt;=50,A78+9,IF(A78&lt;=100,A78*2-40,IF(A78&lt;=150,A78*3-140,IF(A78&lt;=200,A78*5-440,A78*8-1040))))</x:f>
        <x:v>108</x:v>
      </x:c>
      <x:c r="E78" s="159" t="n">
        <x:v>690000000</x:v>
      </x:c>
      <x:c r="F78" s="159" t="n">
        <x:v>0</x:v>
      </x:c>
      <x:c r="G78" s="159" t="n">
        <x:f>A78*(A78+1)/2</x:f>
        <x:v>2775</x:v>
      </x:c>
      <x:c r="H78" s="159" t="n">
        <x:f>G78*100</x:f>
        <x:v>277500</x:v>
      </x:c>
      <x:c r="I78" s="103" t="str">
        <x:v>100%成功；材料明显缺口，不纳入回收产出</x:v>
      </x:c>
    </x:row>
    <x:row r="79">
      <x:c r="A79" s="101" t="n">
        <x:v>75</x:v>
      </x:c>
      <x:c r="B79" s="102" t="str">
        <x:v>C03</x:v>
      </x:c>
      <x:c r="C79" s="102" t="str">
        <x:v>宁姆格福西域</x:v>
      </x:c>
      <x:c r="D79" s="159" t="n">
        <x:f>IF(A79&lt;=50,A79+9,IF(A79&lt;=100,A79*2-40,IF(A79&lt;=150,A79*3-140,IF(A79&lt;=200,A79*5-440,A79*8-1040))))</x:f>
        <x:v>110</x:v>
      </x:c>
      <x:c r="E79" s="159" t="n">
        <x:v>700000000</x:v>
      </x:c>
      <x:c r="F79" s="159" t="n">
        <x:v>0</x:v>
      </x:c>
      <x:c r="G79" s="159" t="n">
        <x:f>A79*(A79+1)/2</x:f>
        <x:v>2850</x:v>
      </x:c>
      <x:c r="H79" s="159" t="n">
        <x:f>G79*100</x:f>
        <x:v>285000</x:v>
      </x:c>
      <x:c r="I79" s="103" t="str">
        <x:v>100%成功；材料明显缺口，不纳入回收产出</x:v>
      </x:c>
    </x:row>
    <x:row r="80">
      <x:c r="A80" s="101" t="n">
        <x:v>76</x:v>
      </x:c>
      <x:c r="B80" s="102" t="str">
        <x:v>C03</x:v>
      </x:c>
      <x:c r="C80" s="102" t="str">
        <x:v>宁姆格福西域</x:v>
      </x:c>
      <x:c r="D80" s="159" t="n">
        <x:f>IF(A80&lt;=50,A80+9,IF(A80&lt;=100,A80*2-40,IF(A80&lt;=150,A80*3-140,IF(A80&lt;=200,A80*5-440,A80*8-1040))))</x:f>
        <x:v>112</x:v>
      </x:c>
      <x:c r="E80" s="159" t="n">
        <x:v>720000000</x:v>
      </x:c>
      <x:c r="F80" s="159" t="n">
        <x:v>0</x:v>
      </x:c>
      <x:c r="G80" s="159" t="n">
        <x:f>A80*(A80+1)/2</x:f>
        <x:v>2926</x:v>
      </x:c>
      <x:c r="H80" s="159" t="n">
        <x:f>G80*100</x:f>
        <x:v>292600</x:v>
      </x:c>
      <x:c r="I80" s="103" t="str">
        <x:v>100%成功；材料明显缺口，不纳入回收产出</x:v>
      </x:c>
    </x:row>
    <x:row r="81">
      <x:c r="A81" s="101" t="n">
        <x:v>77</x:v>
      </x:c>
      <x:c r="B81" s="102" t="str">
        <x:v>C03</x:v>
      </x:c>
      <x:c r="C81" s="102" t="str">
        <x:v>宁姆格福西域</x:v>
      </x:c>
      <x:c r="D81" s="159" t="n">
        <x:f>IF(A81&lt;=50,A81+9,IF(A81&lt;=100,A81*2-40,IF(A81&lt;=150,A81*3-140,IF(A81&lt;=200,A81*5-440,A81*8-1040))))</x:f>
        <x:v>114</x:v>
      </x:c>
      <x:c r="E81" s="159" t="n">
        <x:v>740000000</x:v>
      </x:c>
      <x:c r="F81" s="159" t="n">
        <x:v>0</x:v>
      </x:c>
      <x:c r="G81" s="159" t="n">
        <x:f>A81*(A81+1)/2</x:f>
        <x:v>3003</x:v>
      </x:c>
      <x:c r="H81" s="159" t="n">
        <x:f>G81*100</x:f>
        <x:v>300300</x:v>
      </x:c>
      <x:c r="I81" s="103" t="str">
        <x:v>100%成功；材料明显缺口，不纳入回收产出</x:v>
      </x:c>
    </x:row>
    <x:row r="82">
      <x:c r="A82" s="101" t="n">
        <x:v>78</x:v>
      </x:c>
      <x:c r="B82" s="102" t="str">
        <x:v>C03</x:v>
      </x:c>
      <x:c r="C82" s="102" t="str">
        <x:v>宁姆格福西域</x:v>
      </x:c>
      <x:c r="D82" s="159" t="n">
        <x:f>IF(A82&lt;=50,A82+9,IF(A82&lt;=100,A82*2-40,IF(A82&lt;=150,A82*3-140,IF(A82&lt;=200,A82*5-440,A82*8-1040))))</x:f>
        <x:v>116</x:v>
      </x:c>
      <x:c r="E82" s="159" t="n">
        <x:v>760000000</x:v>
      </x:c>
      <x:c r="F82" s="159" t="n">
        <x:v>0</x:v>
      </x:c>
      <x:c r="G82" s="159" t="n">
        <x:f>A82*(A82+1)/2</x:f>
        <x:v>3081</x:v>
      </x:c>
      <x:c r="H82" s="159" t="n">
        <x:f>G82*100</x:f>
        <x:v>308100</x:v>
      </x:c>
      <x:c r="I82" s="103" t="str">
        <x:v>100%成功；材料明显缺口，不纳入回收产出</x:v>
      </x:c>
    </x:row>
    <x:row r="83">
      <x:c r="A83" s="101" t="n">
        <x:v>79</x:v>
      </x:c>
      <x:c r="B83" s="102" t="str">
        <x:v>C03</x:v>
      </x:c>
      <x:c r="C83" s="102" t="str">
        <x:v>宁姆格福西域</x:v>
      </x:c>
      <x:c r="D83" s="159" t="n">
        <x:f>IF(A83&lt;=50,A83+9,IF(A83&lt;=100,A83*2-40,IF(A83&lt;=150,A83*3-140,IF(A83&lt;=200,A83*5-440,A83*8-1040))))</x:f>
        <x:v>118</x:v>
      </x:c>
      <x:c r="E83" s="159" t="n">
        <x:v>780000000</x:v>
      </x:c>
      <x:c r="F83" s="159" t="n">
        <x:v>0</x:v>
      </x:c>
      <x:c r="G83" s="159" t="n">
        <x:f>A83*(A83+1)/2</x:f>
        <x:v>3160</x:v>
      </x:c>
      <x:c r="H83" s="159" t="n">
        <x:f>G83*100</x:f>
        <x:v>316000</x:v>
      </x:c>
      <x:c r="I83" s="103" t="str">
        <x:v>100%成功；材料明显缺口，不纳入回收产出</x:v>
      </x:c>
    </x:row>
    <x:row r="84">
      <x:c r="A84" s="101" t="n">
        <x:v>80</x:v>
      </x:c>
      <x:c r="B84" s="102" t="str">
        <x:v>C03</x:v>
      </x:c>
      <x:c r="C84" s="102" t="str">
        <x:v>宁姆格福西域</x:v>
      </x:c>
      <x:c r="D84" s="159" t="n">
        <x:f>IF(A84&lt;=50,A84+9,IF(A84&lt;=100,A84*2-40,IF(A84&lt;=150,A84*3-140,IF(A84&lt;=200,A84*5-440,A84*8-1040))))</x:f>
        <x:v>120</x:v>
      </x:c>
      <x:c r="E84" s="159" t="n">
        <x:v>800000000</x:v>
      </x:c>
      <x:c r="F84" s="159" t="n">
        <x:v>0</x:v>
      </x:c>
      <x:c r="G84" s="159" t="n">
        <x:f>A84*(A84+1)/2</x:f>
        <x:v>3240</x:v>
      </x:c>
      <x:c r="H84" s="159" t="n">
        <x:f>G84*100</x:f>
        <x:v>324000</x:v>
      </x:c>
      <x:c r="I84" s="103" t="str">
        <x:v>100%成功；材料明显缺口，不纳入回收产出</x:v>
      </x:c>
    </x:row>
    <x:row r="85">
      <x:c r="A85" s="101" t="n">
        <x:v>81</x:v>
      </x:c>
      <x:c r="B85" s="102" t="str">
        <x:v>C04</x:v>
      </x:c>
      <x:c r="C85" s="102" t="str">
        <x:v>利耶尼亚海域</x:v>
      </x:c>
      <x:c r="D85" s="159" t="n">
        <x:f>IF(A85&lt;=50,A85+9,IF(A85&lt;=100,A85*2-40,IF(A85&lt;=150,A85*3-140,IF(A85&lt;=200,A85*5-440,A85*8-1040))))</x:f>
        <x:v>122</x:v>
      </x:c>
      <x:c r="E85" s="159" t="n">
        <x:v>330000000</x:v>
      </x:c>
      <x:c r="F85" s="159" t="n">
        <x:v>0</x:v>
      </x:c>
      <x:c r="G85" s="159" t="n">
        <x:f>A85*(A85+1)/2</x:f>
        <x:v>3321</x:v>
      </x:c>
      <x:c r="H85" s="159" t="n">
        <x:f>G85*100</x:f>
        <x:v>332100</x:v>
      </x:c>
      <x:c r="I85" s="103" t="str">
        <x:v>100%成功；材料明显缺口，不纳入回收产出</x:v>
      </x:c>
    </x:row>
    <x:row r="86">
      <x:c r="A86" s="101" t="n">
        <x:v>82</x:v>
      </x:c>
      <x:c r="B86" s="102" t="str">
        <x:v>C04</x:v>
      </x:c>
      <x:c r="C86" s="102" t="str">
        <x:v>利耶尼亚海域</x:v>
      </x:c>
      <x:c r="D86" s="159" t="n">
        <x:f>IF(A86&lt;=50,A86+9,IF(A86&lt;=100,A86*2-40,IF(A86&lt;=150,A86*3-140,IF(A86&lt;=200,A86*5-440,A86*8-1040))))</x:f>
        <x:v>124</x:v>
      </x:c>
      <x:c r="E86" s="159" t="n">
        <x:v>360000000</x:v>
      </x:c>
      <x:c r="F86" s="159" t="n">
        <x:v>0</x:v>
      </x:c>
      <x:c r="G86" s="159" t="n">
        <x:f>A86*(A86+1)/2</x:f>
        <x:v>3403</x:v>
      </x:c>
      <x:c r="H86" s="159" t="n">
        <x:f>G86*100</x:f>
        <x:v>340300</x:v>
      </x:c>
      <x:c r="I86" s="103" t="str">
        <x:v>100%成功；材料明显缺口，不纳入回收产出</x:v>
      </x:c>
    </x:row>
    <x:row r="87">
      <x:c r="A87" s="101" t="n">
        <x:v>83</x:v>
      </x:c>
      <x:c r="B87" s="102" t="str">
        <x:v>C04</x:v>
      </x:c>
      <x:c r="C87" s="102" t="str">
        <x:v>利耶尼亚海域</x:v>
      </x:c>
      <x:c r="D87" s="159" t="n">
        <x:f>IF(A87&lt;=50,A87+9,IF(A87&lt;=100,A87*2-40,IF(A87&lt;=150,A87*3-140,IF(A87&lt;=200,A87*5-440,A87*8-1040))))</x:f>
        <x:v>126</x:v>
      </x:c>
      <x:c r="E87" s="159" t="n">
        <x:v>380000000</x:v>
      </x:c>
      <x:c r="F87" s="159" t="n">
        <x:v>0</x:v>
      </x:c>
      <x:c r="G87" s="159" t="n">
        <x:f>A87*(A87+1)/2</x:f>
        <x:v>3486</x:v>
      </x:c>
      <x:c r="H87" s="159" t="n">
        <x:f>G87*100</x:f>
        <x:v>348600</x:v>
      </x:c>
      <x:c r="I87" s="103" t="str">
        <x:v>100%成功；材料明显缺口，不纳入回收产出</x:v>
      </x:c>
    </x:row>
    <x:row r="88">
      <x:c r="A88" s="101" t="n">
        <x:v>84</x:v>
      </x:c>
      <x:c r="B88" s="102" t="str">
        <x:v>C04</x:v>
      </x:c>
      <x:c r="C88" s="102" t="str">
        <x:v>利耶尼亚海域</x:v>
      </x:c>
      <x:c r="D88" s="159" t="n">
        <x:f>IF(A88&lt;=50,A88+9,IF(A88&lt;=100,A88*2-40,IF(A88&lt;=150,A88*3-140,IF(A88&lt;=200,A88*5-440,A88*8-1040))))</x:f>
        <x:v>128</x:v>
      </x:c>
      <x:c r="E88" s="159" t="n">
        <x:v>400000000</x:v>
      </x:c>
      <x:c r="F88" s="159" t="n">
        <x:v>0</x:v>
      </x:c>
      <x:c r="G88" s="159" t="n">
        <x:f>A88*(A88+1)/2</x:f>
        <x:v>3570</x:v>
      </x:c>
      <x:c r="H88" s="159" t="n">
        <x:f>G88*100</x:f>
        <x:v>357000</x:v>
      </x:c>
      <x:c r="I88" s="103" t="str">
        <x:v>100%成功；材料明显缺口，不纳入回收产出</x:v>
      </x:c>
    </x:row>
    <x:row r="89">
      <x:c r="A89" s="101" t="n">
        <x:v>85</x:v>
      </x:c>
      <x:c r="B89" s="102" t="str">
        <x:v>C04</x:v>
      </x:c>
      <x:c r="C89" s="102" t="str">
        <x:v>利耶尼亚海域</x:v>
      </x:c>
      <x:c r="D89" s="159" t="n">
        <x:f>IF(A89&lt;=50,A89+9,IF(A89&lt;=100,A89*2-40,IF(A89&lt;=150,A89*3-140,IF(A89&lt;=200,A89*5-440,A89*8-1040))))</x:f>
        <x:v>130</x:v>
      </x:c>
      <x:c r="E89" s="159" t="n">
        <x:v>430000000</x:v>
      </x:c>
      <x:c r="F89" s="159" t="n">
        <x:v>0</x:v>
      </x:c>
      <x:c r="G89" s="159" t="n">
        <x:f>A89*(A89+1)/2</x:f>
        <x:v>3655</x:v>
      </x:c>
      <x:c r="H89" s="159" t="n">
        <x:f>G89*100</x:f>
        <x:v>365500</x:v>
      </x:c>
      <x:c r="I89" s="103" t="str">
        <x:v>100%成功；材料明显缺口，不纳入回收产出</x:v>
      </x:c>
    </x:row>
    <x:row r="90">
      <x:c r="A90" s="101" t="n">
        <x:v>86</x:v>
      </x:c>
      <x:c r="B90" s="102" t="str">
        <x:v>C04</x:v>
      </x:c>
      <x:c r="C90" s="102" t="str">
        <x:v>利耶尼亚海域</x:v>
      </x:c>
      <x:c r="D90" s="159" t="n">
        <x:f>IF(A90&lt;=50,A90+9,IF(A90&lt;=100,A90*2-40,IF(A90&lt;=150,A90*3-140,IF(A90&lt;=200,A90*5-440,A90*8-1040))))</x:f>
        <x:v>132</x:v>
      </x:c>
      <x:c r="E90" s="159" t="n">
        <x:v>450000000</x:v>
      </x:c>
      <x:c r="F90" s="159" t="n">
        <x:v>0</x:v>
      </x:c>
      <x:c r="G90" s="159" t="n">
        <x:f>A90*(A90+1)/2</x:f>
        <x:v>3741</x:v>
      </x:c>
      <x:c r="H90" s="159" t="n">
        <x:f>G90*100</x:f>
        <x:v>374100</x:v>
      </x:c>
      <x:c r="I90" s="103" t="str">
        <x:v>100%成功；材料明显缺口，不纳入回收产出</x:v>
      </x:c>
    </x:row>
    <x:row r="91">
      <x:c r="A91" s="101" t="n">
        <x:v>87</x:v>
      </x:c>
      <x:c r="B91" s="102" t="str">
        <x:v>C04</x:v>
      </x:c>
      <x:c r="C91" s="102" t="str">
        <x:v>利耶尼亚海域</x:v>
      </x:c>
      <x:c r="D91" s="159" t="n">
        <x:f>IF(A91&lt;=50,A91+9,IF(A91&lt;=100,A91*2-40,IF(A91&lt;=150,A91*3-140,IF(A91&lt;=200,A91*5-440,A91*8-1040))))</x:f>
        <x:v>134</x:v>
      </x:c>
      <x:c r="E91" s="159" t="n">
        <x:v>470000000</x:v>
      </x:c>
      <x:c r="F91" s="159" t="n">
        <x:v>0</x:v>
      </x:c>
      <x:c r="G91" s="159" t="n">
        <x:f>A91*(A91+1)/2</x:f>
        <x:v>3828</x:v>
      </x:c>
      <x:c r="H91" s="159" t="n">
        <x:f>G91*100</x:f>
        <x:v>382800</x:v>
      </x:c>
      <x:c r="I91" s="103" t="str">
        <x:v>100%成功；材料明显缺口，不纳入回收产出</x:v>
      </x:c>
    </x:row>
    <x:row r="92">
      <x:c r="A92" s="101" t="n">
        <x:v>88</x:v>
      </x:c>
      <x:c r="B92" s="102" t="str">
        <x:v>C04</x:v>
      </x:c>
      <x:c r="C92" s="102" t="str">
        <x:v>利耶尼亚海域</x:v>
      </x:c>
      <x:c r="D92" s="159" t="n">
        <x:f>IF(A92&lt;=50,A92+9,IF(A92&lt;=100,A92*2-40,IF(A92&lt;=150,A92*3-140,IF(A92&lt;=200,A92*5-440,A92*8-1040))))</x:f>
        <x:v>136</x:v>
      </x:c>
      <x:c r="E92" s="159" t="n">
        <x:v>500000000</x:v>
      </x:c>
      <x:c r="F92" s="159" t="n">
        <x:v>0</x:v>
      </x:c>
      <x:c r="G92" s="159" t="n">
        <x:f>A92*(A92+1)/2</x:f>
        <x:v>3916</x:v>
      </x:c>
      <x:c r="H92" s="159" t="n">
        <x:f>G92*100</x:f>
        <x:v>391600</x:v>
      </x:c>
      <x:c r="I92" s="103" t="str">
        <x:v>100%成功；材料明显缺口，不纳入回收产出</x:v>
      </x:c>
    </x:row>
    <x:row r="93">
      <x:c r="A93" s="101" t="n">
        <x:v>89</x:v>
      </x:c>
      <x:c r="B93" s="102" t="str">
        <x:v>C04</x:v>
      </x:c>
      <x:c r="C93" s="102" t="str">
        <x:v>利耶尼亚海域</x:v>
      </x:c>
      <x:c r="D93" s="159" t="n">
        <x:f>IF(A93&lt;=50,A93+9,IF(A93&lt;=100,A93*2-40,IF(A93&lt;=150,A93*3-140,IF(A93&lt;=200,A93*5-440,A93*8-1040))))</x:f>
        <x:v>138</x:v>
      </x:c>
      <x:c r="E93" s="159" t="n">
        <x:v>520000000</x:v>
      </x:c>
      <x:c r="F93" s="159" t="n">
        <x:v>0</x:v>
      </x:c>
      <x:c r="G93" s="159" t="n">
        <x:f>A93*(A93+1)/2</x:f>
        <x:v>4005</x:v>
      </x:c>
      <x:c r="H93" s="159" t="n">
        <x:f>G93*100</x:f>
        <x:v>400500</x:v>
      </x:c>
      <x:c r="I93" s="103" t="str">
        <x:v>100%成功；材料明显缺口，不纳入回收产出</x:v>
      </x:c>
    </x:row>
    <x:row r="94">
      <x:c r="A94" s="101" t="n">
        <x:v>90</x:v>
      </x:c>
      <x:c r="B94" s="102" t="str">
        <x:v>C04</x:v>
      </x:c>
      <x:c r="C94" s="102" t="str">
        <x:v>利耶尼亚海域</x:v>
      </x:c>
      <x:c r="D94" s="159" t="n">
        <x:f>IF(A94&lt;=50,A94+9,IF(A94&lt;=100,A94*2-40,IF(A94&lt;=150,A94*3-140,IF(A94&lt;=200,A94*5-440,A94*8-1040))))</x:f>
        <x:v>140</x:v>
      </x:c>
      <x:c r="E94" s="159" t="n">
        <x:v>540000000</x:v>
      </x:c>
      <x:c r="F94" s="159" t="n">
        <x:v>0</x:v>
      </x:c>
      <x:c r="G94" s="159" t="n">
        <x:f>A94*(A94+1)/2</x:f>
        <x:v>4095</x:v>
      </x:c>
      <x:c r="H94" s="159" t="n">
        <x:f>G94*100</x:f>
        <x:v>409500</x:v>
      </x:c>
      <x:c r="I94" s="103" t="str">
        <x:v>100%成功；材料明显缺口，不纳入回收产出</x:v>
      </x:c>
    </x:row>
    <x:row r="95">
      <x:c r="A95" s="101" t="n">
        <x:v>91</x:v>
      </x:c>
      <x:c r="B95" s="102" t="str">
        <x:v>C04</x:v>
      </x:c>
      <x:c r="C95" s="102" t="str">
        <x:v>利耶尼亚海域</x:v>
      </x:c>
      <x:c r="D95" s="159" t="n">
        <x:f>IF(A95&lt;=50,A95+9,IF(A95&lt;=100,A95*2-40,IF(A95&lt;=150,A95*3-140,IF(A95&lt;=200,A95*5-440,A95*8-1040))))</x:f>
        <x:v>142</x:v>
      </x:c>
      <x:c r="E95" s="159" t="n">
        <x:v>570000000</x:v>
      </x:c>
      <x:c r="F95" s="159" t="n">
        <x:v>0</x:v>
      </x:c>
      <x:c r="G95" s="159" t="n">
        <x:f>A95*(A95+1)/2</x:f>
        <x:v>4186</x:v>
      </x:c>
      <x:c r="H95" s="159" t="n">
        <x:f>G95*100</x:f>
        <x:v>418600</x:v>
      </x:c>
      <x:c r="I95" s="103" t="str">
        <x:v>100%成功；材料明显缺口，不纳入回收产出</x:v>
      </x:c>
    </x:row>
    <x:row r="96">
      <x:c r="A96" s="101" t="n">
        <x:v>92</x:v>
      </x:c>
      <x:c r="B96" s="102" t="str">
        <x:v>C04</x:v>
      </x:c>
      <x:c r="C96" s="102" t="str">
        <x:v>利耶尼亚海域</x:v>
      </x:c>
      <x:c r="D96" s="159" t="n">
        <x:f>IF(A96&lt;=50,A96+9,IF(A96&lt;=100,A96*2-40,IF(A96&lt;=150,A96*3-140,IF(A96&lt;=200,A96*5-440,A96*8-1040))))</x:f>
        <x:v>144</x:v>
      </x:c>
      <x:c r="E96" s="159" t="n">
        <x:v>590000000</x:v>
      </x:c>
      <x:c r="F96" s="159" t="n">
        <x:v>0</x:v>
      </x:c>
      <x:c r="G96" s="159" t="n">
        <x:f>A96*(A96+1)/2</x:f>
        <x:v>4278</x:v>
      </x:c>
      <x:c r="H96" s="159" t="n">
        <x:f>G96*100</x:f>
        <x:v>427800</x:v>
      </x:c>
      <x:c r="I96" s="103" t="str">
        <x:v>100%成功；材料明显缺口，不纳入回收产出</x:v>
      </x:c>
    </x:row>
    <x:row r="97">
      <x:c r="A97" s="101" t="n">
        <x:v>93</x:v>
      </x:c>
      <x:c r="B97" s="102" t="str">
        <x:v>C04</x:v>
      </x:c>
      <x:c r="C97" s="102" t="str">
        <x:v>利耶尼亚海域</x:v>
      </x:c>
      <x:c r="D97" s="159" t="n">
        <x:f>IF(A97&lt;=50,A97+9,IF(A97&lt;=100,A97*2-40,IF(A97&lt;=150,A97*3-140,IF(A97&lt;=200,A97*5-440,A97*8-1040))))</x:f>
        <x:v>146</x:v>
      </x:c>
      <x:c r="E97" s="159" t="n">
        <x:v>610000000</x:v>
      </x:c>
      <x:c r="F97" s="159" t="n">
        <x:v>0</x:v>
      </x:c>
      <x:c r="G97" s="159" t="n">
        <x:f>A97*(A97+1)/2</x:f>
        <x:v>4371</x:v>
      </x:c>
      <x:c r="H97" s="159" t="n">
        <x:f>G97*100</x:f>
        <x:v>437100</x:v>
      </x:c>
      <x:c r="I97" s="103" t="str">
        <x:v>100%成功；材料明显缺口，不纳入回收产出</x:v>
      </x:c>
    </x:row>
    <x:row r="98">
      <x:c r="A98" s="101" t="n">
        <x:v>94</x:v>
      </x:c>
      <x:c r="B98" s="102" t="str">
        <x:v>C04</x:v>
      </x:c>
      <x:c r="C98" s="102" t="str">
        <x:v>利耶尼亚海域</x:v>
      </x:c>
      <x:c r="D98" s="159" t="n">
        <x:f>IF(A98&lt;=50,A98+9,IF(A98&lt;=100,A98*2-40,IF(A98&lt;=150,A98*3-140,IF(A98&lt;=200,A98*5-440,A98*8-1040))))</x:f>
        <x:v>148</x:v>
      </x:c>
      <x:c r="E98" s="159" t="n">
        <x:v>630000000</x:v>
      </x:c>
      <x:c r="F98" s="159" t="n">
        <x:v>0</x:v>
      </x:c>
      <x:c r="G98" s="159" t="n">
        <x:f>A98*(A98+1)/2</x:f>
        <x:v>4465</x:v>
      </x:c>
      <x:c r="H98" s="159" t="n">
        <x:f>G98*100</x:f>
        <x:v>446500</x:v>
      </x:c>
      <x:c r="I98" s="103" t="str">
        <x:v>100%成功；材料明显缺口，不纳入回收产出</x:v>
      </x:c>
    </x:row>
    <x:row r="99">
      <x:c r="A99" s="101" t="n">
        <x:v>95</x:v>
      </x:c>
      <x:c r="B99" s="102" t="str">
        <x:v>C04</x:v>
      </x:c>
      <x:c r="C99" s="102" t="str">
        <x:v>利耶尼亚海域</x:v>
      </x:c>
      <x:c r="D99" s="159" t="n">
        <x:f>IF(A99&lt;=50,A99+9,IF(A99&lt;=100,A99*2-40,IF(A99&lt;=150,A99*3-140,IF(A99&lt;=200,A99*5-440,A99*8-1040))))</x:f>
        <x:v>150</x:v>
      </x:c>
      <x:c r="E99" s="159" t="n">
        <x:v>660000000</x:v>
      </x:c>
      <x:c r="F99" s="159" t="n">
        <x:v>0</x:v>
      </x:c>
      <x:c r="G99" s="159" t="n">
        <x:f>A99*(A99+1)/2</x:f>
        <x:v>4560</x:v>
      </x:c>
      <x:c r="H99" s="159" t="n">
        <x:f>G99*100</x:f>
        <x:v>456000</x:v>
      </x:c>
      <x:c r="I99" s="103" t="str">
        <x:v>100%成功；材料明显缺口，不纳入回收产出</x:v>
      </x:c>
    </x:row>
    <x:row r="100">
      <x:c r="A100" s="101" t="n">
        <x:v>96</x:v>
      </x:c>
      <x:c r="B100" s="102" t="str">
        <x:v>C04</x:v>
      </x:c>
      <x:c r="C100" s="102" t="str">
        <x:v>利耶尼亚海域</x:v>
      </x:c>
      <x:c r="D100" s="159" t="n">
        <x:f>IF(A100&lt;=50,A100+9,IF(A100&lt;=100,A100*2-40,IF(A100&lt;=150,A100*3-140,IF(A100&lt;=200,A100*5-440,A100*8-1040))))</x:f>
        <x:v>152</x:v>
      </x:c>
      <x:c r="E100" s="159" t="n">
        <x:v>680000000</x:v>
      </x:c>
      <x:c r="F100" s="159" t="n">
        <x:v>0</x:v>
      </x:c>
      <x:c r="G100" s="159" t="n">
        <x:f>A100*(A100+1)/2</x:f>
        <x:v>4656</x:v>
      </x:c>
      <x:c r="H100" s="159" t="n">
        <x:f>G100*100</x:f>
        <x:v>465600</x:v>
      </x:c>
      <x:c r="I100" s="103" t="str">
        <x:v>100%成功；材料明显缺口，不纳入回收产出</x:v>
      </x:c>
    </x:row>
    <x:row r="101">
      <x:c r="A101" s="101" t="n">
        <x:v>97</x:v>
      </x:c>
      <x:c r="B101" s="102" t="str">
        <x:v>C04</x:v>
      </x:c>
      <x:c r="C101" s="102" t="str">
        <x:v>利耶尼亚海域</x:v>
      </x:c>
      <x:c r="D101" s="159" t="n">
        <x:f>IF(A101&lt;=50,A101+9,IF(A101&lt;=100,A101*2-40,IF(A101&lt;=150,A101*3-140,IF(A101&lt;=200,A101*5-440,A101*8-1040))))</x:f>
        <x:v>154</x:v>
      </x:c>
      <x:c r="E101" s="159" t="n">
        <x:v>700000000</x:v>
      </x:c>
      <x:c r="F101" s="159" t="n">
        <x:v>0</x:v>
      </x:c>
      <x:c r="G101" s="159" t="n">
        <x:f>A101*(A101+1)/2</x:f>
        <x:v>4753</x:v>
      </x:c>
      <x:c r="H101" s="159" t="n">
        <x:f>G101*100</x:f>
        <x:v>475300</x:v>
      </x:c>
      <x:c r="I101" s="103" t="str">
        <x:v>100%成功；材料明显缺口，不纳入回收产出</x:v>
      </x:c>
    </x:row>
    <x:row r="102">
      <x:c r="A102" s="101" t="n">
        <x:v>98</x:v>
      </x:c>
      <x:c r="B102" s="102" t="str">
        <x:v>C04</x:v>
      </x:c>
      <x:c r="C102" s="102" t="str">
        <x:v>利耶尼亚海域</x:v>
      </x:c>
      <x:c r="D102" s="159" t="n">
        <x:f>IF(A102&lt;=50,A102+9,IF(A102&lt;=100,A102*2-40,IF(A102&lt;=150,A102*3-140,IF(A102&lt;=200,A102*5-440,A102*8-1040))))</x:f>
        <x:v>156</x:v>
      </x:c>
      <x:c r="E102" s="159" t="n">
        <x:v>730000000</x:v>
      </x:c>
      <x:c r="F102" s="159" t="n">
        <x:v>0</x:v>
      </x:c>
      <x:c r="G102" s="159" t="n">
        <x:f>A102*(A102+1)/2</x:f>
        <x:v>4851</x:v>
      </x:c>
      <x:c r="H102" s="159" t="n">
        <x:f>G102*100</x:f>
        <x:v>485100</x:v>
      </x:c>
      <x:c r="I102" s="103" t="str">
        <x:v>100%成功；材料明显缺口，不纳入回收产出</x:v>
      </x:c>
    </x:row>
    <x:row r="103">
      <x:c r="A103" s="101" t="n">
        <x:v>99</x:v>
      </x:c>
      <x:c r="B103" s="102" t="str">
        <x:v>C04</x:v>
      </x:c>
      <x:c r="C103" s="102" t="str">
        <x:v>利耶尼亚海域</x:v>
      </x:c>
      <x:c r="D103" s="159" t="n">
        <x:f>IF(A103&lt;=50,A103+9,IF(A103&lt;=100,A103*2-40,IF(A103&lt;=150,A103*3-140,IF(A103&lt;=200,A103*5-440,A103*8-1040))))</x:f>
        <x:v>158</x:v>
      </x:c>
      <x:c r="E103" s="159" t="n">
        <x:v>750000000</x:v>
      </x:c>
      <x:c r="F103" s="159" t="n">
        <x:v>0</x:v>
      </x:c>
      <x:c r="G103" s="159" t="n">
        <x:f>A103*(A103+1)/2</x:f>
        <x:v>4950</x:v>
      </x:c>
      <x:c r="H103" s="159" t="n">
        <x:f>G103*100</x:f>
        <x:v>495000</x:v>
      </x:c>
      <x:c r="I103" s="103" t="str">
        <x:v>100%成功；材料明显缺口，不纳入回收产出</x:v>
      </x:c>
    </x:row>
    <x:row r="104">
      <x:c r="A104" s="101" t="n">
        <x:v>100</x:v>
      </x:c>
      <x:c r="B104" s="102" t="str">
        <x:v>C04</x:v>
      </x:c>
      <x:c r="C104" s="102" t="str">
        <x:v>利耶尼亚海域</x:v>
      </x:c>
      <x:c r="D104" s="159" t="n">
        <x:f>IF(A104&lt;=50,A104+9,IF(A104&lt;=100,A104*2-40,IF(A104&lt;=150,A104*3-140,IF(A104&lt;=200,A104*5-440,A104*8-1040))))</x:f>
        <x:v>160</x:v>
      </x:c>
      <x:c r="E104" s="159" t="n">
        <x:v>770000000</x:v>
      </x:c>
      <x:c r="F104" s="159" t="n">
        <x:v>0</x:v>
      </x:c>
      <x:c r="G104" s="159" t="n">
        <x:f>A104*(A104+1)/2</x:f>
        <x:v>5050</x:v>
      </x:c>
      <x:c r="H104" s="159" t="n">
        <x:f>G104*100</x:f>
        <x:v>505000</x:v>
      </x:c>
      <x:c r="I104" s="103" t="str">
        <x:v>100%成功；材料明显缺口，不纳入回收产出</x:v>
      </x:c>
    </x:row>
    <x:row r="105">
      <x:c r="A105" s="101" t="n">
        <x:v>101</x:v>
      </x:c>
      <x:c r="B105" s="102" t="str">
        <x:v>C04</x:v>
      </x:c>
      <x:c r="C105" s="102" t="str">
        <x:v>利耶尼亚海域</x:v>
      </x:c>
      <x:c r="D105" s="159" t="n">
        <x:f>IF(A105&lt;=50,A105+9,IF(A105&lt;=100,A105*2-40,IF(A105&lt;=150,A105*3-140,IF(A105&lt;=200,A105*5-440,A105*8-1040))))</x:f>
        <x:v>163</x:v>
      </x:c>
      <x:c r="E105" s="159" t="n">
        <x:v>800000000</x:v>
      </x:c>
      <x:c r="F105" s="159" t="n">
        <x:v>0</x:v>
      </x:c>
      <x:c r="G105" s="159" t="n">
        <x:f>A105*(A105+1)/2</x:f>
        <x:v>5151</x:v>
      </x:c>
      <x:c r="H105" s="159" t="n">
        <x:f>G105*100</x:f>
        <x:v>515100</x:v>
      </x:c>
      <x:c r="I105" s="103" t="str">
        <x:v>100%成功；材料明显缺口，不纳入回收产出</x:v>
      </x:c>
    </x:row>
    <x:row r="106">
      <x:c r="A106" s="101" t="n">
        <x:v>102</x:v>
      </x:c>
      <x:c r="B106" s="102" t="str">
        <x:v>C04</x:v>
      </x:c>
      <x:c r="C106" s="102" t="str">
        <x:v>利耶尼亚海域</x:v>
      </x:c>
      <x:c r="D106" s="159" t="n">
        <x:f>IF(A106&lt;=50,A106+9,IF(A106&lt;=100,A106*2-40,IF(A106&lt;=150,A106*3-140,IF(A106&lt;=200,A106*5-440,A106*8-1040))))</x:f>
        <x:v>166</x:v>
      </x:c>
      <x:c r="E106" s="159" t="n">
        <x:v>820000000</x:v>
      </x:c>
      <x:c r="F106" s="159" t="n">
        <x:v>0</x:v>
      </x:c>
      <x:c r="G106" s="159" t="n">
        <x:f>A106*(A106+1)/2</x:f>
        <x:v>5253</x:v>
      </x:c>
      <x:c r="H106" s="159" t="n">
        <x:f>G106*100</x:f>
        <x:v>525300</x:v>
      </x:c>
      <x:c r="I106" s="103" t="str">
        <x:v>100%成功；材料明显缺口，不纳入回收产出</x:v>
      </x:c>
    </x:row>
    <x:row r="107">
      <x:c r="A107" s="101" t="n">
        <x:v>103</x:v>
      </x:c>
      <x:c r="B107" s="102" t="str">
        <x:v>C04</x:v>
      </x:c>
      <x:c r="C107" s="102" t="str">
        <x:v>利耶尼亚海域</x:v>
      </x:c>
      <x:c r="D107" s="159" t="n">
        <x:f>IF(A107&lt;=50,A107+9,IF(A107&lt;=100,A107*2-40,IF(A107&lt;=150,A107*3-140,IF(A107&lt;=200,A107*5-440,A107*8-1040))))</x:f>
        <x:v>169</x:v>
      </x:c>
      <x:c r="E107" s="159" t="n">
        <x:v>840000000</x:v>
      </x:c>
      <x:c r="F107" s="159" t="n">
        <x:v>0</x:v>
      </x:c>
      <x:c r="G107" s="159" t="n">
        <x:f>A107*(A107+1)/2</x:f>
        <x:v>5356</x:v>
      </x:c>
      <x:c r="H107" s="159" t="n">
        <x:f>G107*100</x:f>
        <x:v>535600</x:v>
      </x:c>
      <x:c r="I107" s="103" t="str">
        <x:v>100%成功；材料明显缺口，不纳入回收产出</x:v>
      </x:c>
    </x:row>
    <x:row r="108">
      <x:c r="A108" s="101" t="n">
        <x:v>104</x:v>
      </x:c>
      <x:c r="B108" s="102" t="str">
        <x:v>C04</x:v>
      </x:c>
      <x:c r="C108" s="102" t="str">
        <x:v>利耶尼亚海域</x:v>
      </x:c>
      <x:c r="D108" s="159" t="n">
        <x:f>IF(A108&lt;=50,A108+9,IF(A108&lt;=100,A108*2-40,IF(A108&lt;=150,A108*3-140,IF(A108&lt;=200,A108*5-440,A108*8-1040))))</x:f>
        <x:v>172</x:v>
      </x:c>
      <x:c r="E108" s="159" t="n">
        <x:v>870000000</x:v>
      </x:c>
      <x:c r="F108" s="159" t="n">
        <x:v>0</x:v>
      </x:c>
      <x:c r="G108" s="159" t="n">
        <x:f>A108*(A108+1)/2</x:f>
        <x:v>5460</x:v>
      </x:c>
      <x:c r="H108" s="159" t="n">
        <x:f>G108*100</x:f>
        <x:v>546000</x:v>
      </x:c>
      <x:c r="I108" s="103" t="str">
        <x:v>100%成功；材料明显缺口，不纳入回收产出</x:v>
      </x:c>
    </x:row>
    <x:row r="109">
      <x:c r="A109" s="101" t="n">
        <x:v>105</x:v>
      </x:c>
      <x:c r="B109" s="102" t="str">
        <x:v>C04</x:v>
      </x:c>
      <x:c r="C109" s="102" t="str">
        <x:v>利耶尼亚海域</x:v>
      </x:c>
      <x:c r="D109" s="159" t="n">
        <x:f>IF(A109&lt;=50,A109+9,IF(A109&lt;=100,A109*2-40,IF(A109&lt;=150,A109*3-140,IF(A109&lt;=200,A109*5-440,A109*8-1040))))</x:f>
        <x:v>175</x:v>
      </x:c>
      <x:c r="E109" s="159" t="n">
        <x:v>890000000</x:v>
      </x:c>
      <x:c r="F109" s="159" t="n">
        <x:v>0</x:v>
      </x:c>
      <x:c r="G109" s="159" t="n">
        <x:f>A109*(A109+1)/2</x:f>
        <x:v>5565</x:v>
      </x:c>
      <x:c r="H109" s="159" t="n">
        <x:f>G109*100</x:f>
        <x:v>556500</x:v>
      </x:c>
      <x:c r="I109" s="103" t="str">
        <x:v>100%成功；材料明显缺口，不纳入回收产出</x:v>
      </x:c>
    </x:row>
    <x:row r="110">
      <x:c r="A110" s="101" t="n">
        <x:v>106</x:v>
      </x:c>
      <x:c r="B110" s="102" t="str">
        <x:v>C04</x:v>
      </x:c>
      <x:c r="C110" s="102" t="str">
        <x:v>利耶尼亚海域</x:v>
      </x:c>
      <x:c r="D110" s="159" t="n">
        <x:f>IF(A110&lt;=50,A110+9,IF(A110&lt;=100,A110*2-40,IF(A110&lt;=150,A110*3-140,IF(A110&lt;=200,A110*5-440,A110*8-1040))))</x:f>
        <x:v>178</x:v>
      </x:c>
      <x:c r="E110" s="159" t="n">
        <x:v>910000000</x:v>
      </x:c>
      <x:c r="F110" s="159" t="n">
        <x:v>0</x:v>
      </x:c>
      <x:c r="G110" s="159" t="n">
        <x:f>A110*(A110+1)/2</x:f>
        <x:v>5671</x:v>
      </x:c>
      <x:c r="H110" s="159" t="n">
        <x:f>G110*100</x:f>
        <x:v>567100</x:v>
      </x:c>
      <x:c r="I110" s="103" t="str">
        <x:v>100%成功；材料明显缺口，不纳入回收产出</x:v>
      </x:c>
    </x:row>
    <x:row r="111">
      <x:c r="A111" s="101" t="n">
        <x:v>107</x:v>
      </x:c>
      <x:c r="B111" s="102" t="str">
        <x:v>C04</x:v>
      </x:c>
      <x:c r="C111" s="102" t="str">
        <x:v>利耶尼亚海域</x:v>
      </x:c>
      <x:c r="D111" s="159" t="n">
        <x:f>IF(A111&lt;=50,A111+9,IF(A111&lt;=100,A111*2-40,IF(A111&lt;=150,A111*3-140,IF(A111&lt;=200,A111*5-440,A111*8-1040))))</x:f>
        <x:v>181</x:v>
      </x:c>
      <x:c r="E111" s="159" t="n">
        <x:v>930000000</x:v>
      </x:c>
      <x:c r="F111" s="159" t="n">
        <x:v>0</x:v>
      </x:c>
      <x:c r="G111" s="159" t="n">
        <x:f>A111*(A111+1)/2</x:f>
        <x:v>5778</x:v>
      </x:c>
      <x:c r="H111" s="159" t="n">
        <x:f>G111*100</x:f>
        <x:v>577800</x:v>
      </x:c>
      <x:c r="I111" s="103" t="str">
        <x:v>100%成功；材料明显缺口，不纳入回收产出</x:v>
      </x:c>
    </x:row>
    <x:row r="112">
      <x:c r="A112" s="101" t="n">
        <x:v>108</x:v>
      </x:c>
      <x:c r="B112" s="102" t="str">
        <x:v>C04</x:v>
      </x:c>
      <x:c r="C112" s="102" t="str">
        <x:v>利耶尼亚海域</x:v>
      </x:c>
      <x:c r="D112" s="159" t="n">
        <x:f>IF(A112&lt;=50,A112+9,IF(A112&lt;=100,A112*2-40,IF(A112&lt;=150,A112*3-140,IF(A112&lt;=200,A112*5-440,A112*8-1040))))</x:f>
        <x:v>184</x:v>
      </x:c>
      <x:c r="E112" s="159" t="n">
        <x:v>960000000</x:v>
      </x:c>
      <x:c r="F112" s="159" t="n">
        <x:v>0</x:v>
      </x:c>
      <x:c r="G112" s="159" t="n">
        <x:f>A112*(A112+1)/2</x:f>
        <x:v>5886</x:v>
      </x:c>
      <x:c r="H112" s="159" t="n">
        <x:f>G112*100</x:f>
        <x:v>588600</x:v>
      </x:c>
      <x:c r="I112" s="103" t="str">
        <x:v>100%成功；材料明显缺口，不纳入回收产出</x:v>
      </x:c>
    </x:row>
    <x:row r="113">
      <x:c r="A113" s="101" t="n">
        <x:v>109</x:v>
      </x:c>
      <x:c r="B113" s="102" t="str">
        <x:v>C04</x:v>
      </x:c>
      <x:c r="C113" s="102" t="str">
        <x:v>利耶尼亚海域</x:v>
      </x:c>
      <x:c r="D113" s="159" t="n">
        <x:f>IF(A113&lt;=50,A113+9,IF(A113&lt;=100,A113*2-40,IF(A113&lt;=150,A113*3-140,IF(A113&lt;=200,A113*5-440,A113*8-1040))))</x:f>
        <x:v>187</x:v>
      </x:c>
      <x:c r="E113" s="159" t="n">
        <x:v>980000000</x:v>
      </x:c>
      <x:c r="F113" s="159" t="n">
        <x:v>0</x:v>
      </x:c>
      <x:c r="G113" s="159" t="n">
        <x:f>A113*(A113+1)/2</x:f>
        <x:v>5995</x:v>
      </x:c>
      <x:c r="H113" s="159" t="n">
        <x:f>G113*100</x:f>
        <x:v>599500</x:v>
      </x:c>
      <x:c r="I113" s="103" t="str">
        <x:v>100%成功；材料明显缺口，不纳入回收产出</x:v>
      </x:c>
    </x:row>
    <x:row r="114">
      <x:c r="A114" s="101" t="n">
        <x:v>110</x:v>
      </x:c>
      <x:c r="B114" s="102" t="str">
        <x:v>C04</x:v>
      </x:c>
      <x:c r="C114" s="102" t="str">
        <x:v>利耶尼亚海域</x:v>
      </x:c>
      <x:c r="D114" s="159" t="n">
        <x:f>IF(A114&lt;=50,A114+9,IF(A114&lt;=100,A114*2-40,IF(A114&lt;=150,A114*3-140,IF(A114&lt;=200,A114*5-440,A114*8-1040))))</x:f>
        <x:v>190</x:v>
      </x:c>
      <x:c r="E114" s="159" t="n">
        <x:v>1000000000</x:v>
      </x:c>
      <x:c r="F114" s="159" t="n">
        <x:v>0</x:v>
      </x:c>
      <x:c r="G114" s="159" t="n">
        <x:f>A114*(A114+1)/2</x:f>
        <x:v>6105</x:v>
      </x:c>
      <x:c r="H114" s="159" t="n">
        <x:f>G114*100</x:f>
        <x:v>610500</x:v>
      </x:c>
      <x:c r="I114" s="103" t="str">
        <x:v>100%成功；材料明显缺口，不纳入回收产出</x:v>
      </x:c>
    </x:row>
    <x:row r="115">
      <x:c r="A115" s="101" t="n">
        <x:v>111</x:v>
      </x:c>
      <x:c r="B115" s="102" t="str">
        <x:v>C05</x:v>
      </x:c>
      <x:c r="C115" s="102" t="str">
        <x:v>湖之利耶尼亚</x:v>
      </x:c>
      <x:c r="D115" s="159" t="n">
        <x:f>IF(A115&lt;=50,A115+9,IF(A115&lt;=100,A115*2-40,IF(A115&lt;=150,A115*3-140,IF(A115&lt;=200,A115*5-440,A115*8-1040))))</x:f>
        <x:v>193</x:v>
      </x:c>
      <x:c r="E115" s="159" t="n">
        <x:v>570000000</x:v>
      </x:c>
      <x:c r="F115" s="159" t="n">
        <x:v>0</x:v>
      </x:c>
      <x:c r="G115" s="159" t="n">
        <x:f>A115*(A115+1)/2</x:f>
        <x:v>6216</x:v>
      </x:c>
      <x:c r="H115" s="159" t="n">
        <x:f>G115*100</x:f>
        <x:v>621600</x:v>
      </x:c>
      <x:c r="I115" s="103" t="str">
        <x:v>100%成功；材料明显缺口，不纳入回收产出</x:v>
      </x:c>
    </x:row>
    <x:row r="116">
      <x:c r="A116" s="101" t="n">
        <x:v>112</x:v>
      </x:c>
      <x:c r="B116" s="102" t="str">
        <x:v>C05</x:v>
      </x:c>
      <x:c r="C116" s="102" t="str">
        <x:v>湖之利耶尼亚</x:v>
      </x:c>
      <x:c r="D116" s="159" t="n">
        <x:f>IF(A116&lt;=50,A116+9,IF(A116&lt;=100,A116*2-40,IF(A116&lt;=150,A116*3-140,IF(A116&lt;=200,A116*5-440,A116*8-1040))))</x:f>
        <x:v>196</x:v>
      </x:c>
      <x:c r="E116" s="159" t="n">
        <x:v>610000000</x:v>
      </x:c>
      <x:c r="F116" s="159" t="n">
        <x:v>0</x:v>
      </x:c>
      <x:c r="G116" s="159" t="n">
        <x:f>A116*(A116+1)/2</x:f>
        <x:v>6328</x:v>
      </x:c>
      <x:c r="H116" s="159" t="n">
        <x:f>G116*100</x:f>
        <x:v>632800</x:v>
      </x:c>
      <x:c r="I116" s="103" t="str">
        <x:v>100%成功；材料明显缺口，不纳入回收产出</x:v>
      </x:c>
    </x:row>
    <x:row r="117">
      <x:c r="A117" s="101" t="n">
        <x:v>113</x:v>
      </x:c>
      <x:c r="B117" s="102" t="str">
        <x:v>C05</x:v>
      </x:c>
      <x:c r="C117" s="102" t="str">
        <x:v>湖之利耶尼亚</x:v>
      </x:c>
      <x:c r="D117" s="159" t="n">
        <x:f>IF(A117&lt;=50,A117+9,IF(A117&lt;=100,A117*2-40,IF(A117&lt;=150,A117*3-140,IF(A117&lt;=200,A117*5-440,A117*8-1040))))</x:f>
        <x:v>199</x:v>
      </x:c>
      <x:c r="E117" s="159" t="n">
        <x:v>650000000</x:v>
      </x:c>
      <x:c r="F117" s="159" t="n">
        <x:v>0</x:v>
      </x:c>
      <x:c r="G117" s="159" t="n">
        <x:f>A117*(A117+1)/2</x:f>
        <x:v>6441</x:v>
      </x:c>
      <x:c r="H117" s="159" t="n">
        <x:f>G117*100</x:f>
        <x:v>644100</x:v>
      </x:c>
      <x:c r="I117" s="103" t="str">
        <x:v>100%成功；材料明显缺口，不纳入回收产出</x:v>
      </x:c>
    </x:row>
    <x:row r="118">
      <x:c r="A118" s="101" t="n">
        <x:v>114</x:v>
      </x:c>
      <x:c r="B118" s="102" t="str">
        <x:v>C05</x:v>
      </x:c>
      <x:c r="C118" s="102" t="str">
        <x:v>湖之利耶尼亚</x:v>
      </x:c>
      <x:c r="D118" s="159" t="n">
        <x:f>IF(A118&lt;=50,A118+9,IF(A118&lt;=100,A118*2-40,IF(A118&lt;=150,A118*3-140,IF(A118&lt;=200,A118*5-440,A118*8-1040))))</x:f>
        <x:v>202</x:v>
      </x:c>
      <x:c r="E118" s="159" t="n">
        <x:v>690000000</x:v>
      </x:c>
      <x:c r="F118" s="159" t="n">
        <x:v>0</x:v>
      </x:c>
      <x:c r="G118" s="159" t="n">
        <x:f>A118*(A118+1)/2</x:f>
        <x:v>6555</x:v>
      </x:c>
      <x:c r="H118" s="159" t="n">
        <x:f>G118*100</x:f>
        <x:v>655500</x:v>
      </x:c>
      <x:c r="I118" s="103" t="str">
        <x:v>100%成功；材料明显缺口，不纳入回收产出</x:v>
      </x:c>
    </x:row>
    <x:row r="119">
      <x:c r="A119" s="101" t="n">
        <x:v>115</x:v>
      </x:c>
      <x:c r="B119" s="102" t="str">
        <x:v>C05</x:v>
      </x:c>
      <x:c r="C119" s="102" t="str">
        <x:v>湖之利耶尼亚</x:v>
      </x:c>
      <x:c r="D119" s="159" t="n">
        <x:f>IF(A119&lt;=50,A119+9,IF(A119&lt;=100,A119*2-40,IF(A119&lt;=150,A119*3-140,IF(A119&lt;=200,A119*5-440,A119*8-1040))))</x:f>
        <x:v>205</x:v>
      </x:c>
      <x:c r="E119" s="159" t="n">
        <x:v>730000000</x:v>
      </x:c>
      <x:c r="F119" s="159" t="n">
        <x:v>0</x:v>
      </x:c>
      <x:c r="G119" s="159" t="n">
        <x:f>A119*(A119+1)/2</x:f>
        <x:v>6670</x:v>
      </x:c>
      <x:c r="H119" s="159" t="n">
        <x:f>G119*100</x:f>
        <x:v>667000</x:v>
      </x:c>
      <x:c r="I119" s="103" t="str">
        <x:v>100%成功；材料明显缺口，不纳入回收产出</x:v>
      </x:c>
    </x:row>
    <x:row r="120">
      <x:c r="A120" s="101" t="n">
        <x:v>116</x:v>
      </x:c>
      <x:c r="B120" s="102" t="str">
        <x:v>C05</x:v>
      </x:c>
      <x:c r="C120" s="102" t="str">
        <x:v>湖之利耶尼亚</x:v>
      </x:c>
      <x:c r="D120" s="159" t="n">
        <x:f>IF(A120&lt;=50,A120+9,IF(A120&lt;=100,A120*2-40,IF(A120&lt;=150,A120*3-140,IF(A120&lt;=200,A120*5-440,A120*8-1040))))</x:f>
        <x:v>208</x:v>
      </x:c>
      <x:c r="E120" s="159" t="n">
        <x:v>770000000</x:v>
      </x:c>
      <x:c r="F120" s="159" t="n">
        <x:v>0</x:v>
      </x:c>
      <x:c r="G120" s="159" t="n">
        <x:f>A120*(A120+1)/2</x:f>
        <x:v>6786</x:v>
      </x:c>
      <x:c r="H120" s="159" t="n">
        <x:f>G120*100</x:f>
        <x:v>678600</x:v>
      </x:c>
      <x:c r="I120" s="103" t="str">
        <x:v>100%成功；材料明显缺口，不纳入回收产出</x:v>
      </x:c>
    </x:row>
    <x:row r="121">
      <x:c r="A121" s="101" t="n">
        <x:v>117</x:v>
      </x:c>
      <x:c r="B121" s="102" t="str">
        <x:v>C05</x:v>
      </x:c>
      <x:c r="C121" s="102" t="str">
        <x:v>湖之利耶尼亚</x:v>
      </x:c>
      <x:c r="D121" s="159" t="n">
        <x:f>IF(A121&lt;=50,A121+9,IF(A121&lt;=100,A121*2-40,IF(A121&lt;=150,A121*3-140,IF(A121&lt;=200,A121*5-440,A121*8-1040))))</x:f>
        <x:v>211</x:v>
      </x:c>
      <x:c r="E121" s="159" t="n">
        <x:v>810000000</x:v>
      </x:c>
      <x:c r="F121" s="159" t="n">
        <x:v>0</x:v>
      </x:c>
      <x:c r="G121" s="159" t="n">
        <x:f>A121*(A121+1)/2</x:f>
        <x:v>6903</x:v>
      </x:c>
      <x:c r="H121" s="159" t="n">
        <x:f>G121*100</x:f>
        <x:v>690300</x:v>
      </x:c>
      <x:c r="I121" s="103" t="str">
        <x:v>100%成功；材料明显缺口，不纳入回收产出</x:v>
      </x:c>
    </x:row>
    <x:row r="122">
      <x:c r="A122" s="101" t="n">
        <x:v>118</x:v>
      </x:c>
      <x:c r="B122" s="102" t="str">
        <x:v>C05</x:v>
      </x:c>
      <x:c r="C122" s="102" t="str">
        <x:v>湖之利耶尼亚</x:v>
      </x:c>
      <x:c r="D122" s="159" t="n">
        <x:f>IF(A122&lt;=50,A122+9,IF(A122&lt;=100,A122*2-40,IF(A122&lt;=150,A122*3-140,IF(A122&lt;=200,A122*5-440,A122*8-1040))))</x:f>
        <x:v>214</x:v>
      </x:c>
      <x:c r="E122" s="159" t="n">
        <x:v>850000000</x:v>
      </x:c>
      <x:c r="F122" s="159" t="n">
        <x:v>0</x:v>
      </x:c>
      <x:c r="G122" s="159" t="n">
        <x:f>A122*(A122+1)/2</x:f>
        <x:v>7021</x:v>
      </x:c>
      <x:c r="H122" s="159" t="n">
        <x:f>G122*100</x:f>
        <x:v>702100</x:v>
      </x:c>
      <x:c r="I122" s="103" t="str">
        <x:v>100%成功；材料明显缺口，不纳入回收产出</x:v>
      </x:c>
    </x:row>
    <x:row r="123">
      <x:c r="A123" s="101" t="n">
        <x:v>119</x:v>
      </x:c>
      <x:c r="B123" s="102" t="str">
        <x:v>C05</x:v>
      </x:c>
      <x:c r="C123" s="102" t="str">
        <x:v>湖之利耶尼亚</x:v>
      </x:c>
      <x:c r="D123" s="159" t="n">
        <x:f>IF(A123&lt;=50,A123+9,IF(A123&lt;=100,A123*2-40,IF(A123&lt;=150,A123*3-140,IF(A123&lt;=200,A123*5-440,A123*8-1040))))</x:f>
        <x:v>217</x:v>
      </x:c>
      <x:c r="E123" s="159" t="n">
        <x:v>890000000</x:v>
      </x:c>
      <x:c r="F123" s="159" t="n">
        <x:v>0</x:v>
      </x:c>
      <x:c r="G123" s="159" t="n">
        <x:f>A123*(A123+1)/2</x:f>
        <x:v>7140</x:v>
      </x:c>
      <x:c r="H123" s="159" t="n">
        <x:f>G123*100</x:f>
        <x:v>714000</x:v>
      </x:c>
      <x:c r="I123" s="103" t="str">
        <x:v>100%成功；材料明显缺口，不纳入回收产出</x:v>
      </x:c>
    </x:row>
    <x:row r="124">
      <x:c r="A124" s="101" t="n">
        <x:v>120</x:v>
      </x:c>
      <x:c r="B124" s="102" t="str">
        <x:v>C05</x:v>
      </x:c>
      <x:c r="C124" s="102" t="str">
        <x:v>湖之利耶尼亚</x:v>
      </x:c>
      <x:c r="D124" s="159" t="n">
        <x:f>IF(A124&lt;=50,A124+9,IF(A124&lt;=100,A124*2-40,IF(A124&lt;=150,A124*3-140,IF(A124&lt;=200,A124*5-440,A124*8-1040))))</x:f>
        <x:v>220</x:v>
      </x:c>
      <x:c r="E124" s="159" t="n">
        <x:v>920000000</x:v>
      </x:c>
      <x:c r="F124" s="159" t="n">
        <x:v>0</x:v>
      </x:c>
      <x:c r="G124" s="159" t="n">
        <x:f>A124*(A124+1)/2</x:f>
        <x:v>7260</x:v>
      </x:c>
      <x:c r="H124" s="159" t="n">
        <x:f>G124*100</x:f>
        <x:v>726000</x:v>
      </x:c>
      <x:c r="I124" s="103" t="str">
        <x:v>100%成功；材料明显缺口，不纳入回收产出</x:v>
      </x:c>
    </x:row>
    <x:row r="125">
      <x:c r="A125" s="101" t="n">
        <x:v>121</x:v>
      </x:c>
      <x:c r="B125" s="102" t="str">
        <x:v>C05</x:v>
      </x:c>
      <x:c r="C125" s="102" t="str">
        <x:v>湖之利耶尼亚</x:v>
      </x:c>
      <x:c r="D125" s="159" t="n">
        <x:f>IF(A125&lt;=50,A125+9,IF(A125&lt;=100,A125*2-40,IF(A125&lt;=150,A125*3-140,IF(A125&lt;=200,A125*5-440,A125*8-1040))))</x:f>
        <x:v>223</x:v>
      </x:c>
      <x:c r="E125" s="159" t="n">
        <x:v>960000000</x:v>
      </x:c>
      <x:c r="F125" s="159" t="n">
        <x:v>0</x:v>
      </x:c>
      <x:c r="G125" s="159" t="n">
        <x:f>A125*(A125+1)/2</x:f>
        <x:v>7381</x:v>
      </x:c>
      <x:c r="H125" s="159" t="n">
        <x:f>G125*100</x:f>
        <x:v>738100</x:v>
      </x:c>
      <x:c r="I125" s="103" t="str">
        <x:v>100%成功；材料明显缺口，不纳入回收产出</x:v>
      </x:c>
    </x:row>
    <x:row r="126">
      <x:c r="A126" s="101" t="n">
        <x:v>122</x:v>
      </x:c>
      <x:c r="B126" s="102" t="str">
        <x:v>C05</x:v>
      </x:c>
      <x:c r="C126" s="102" t="str">
        <x:v>湖之利耶尼亚</x:v>
      </x:c>
      <x:c r="D126" s="159" t="n">
        <x:f>IF(A126&lt;=50,A126+9,IF(A126&lt;=100,A126*2-40,IF(A126&lt;=150,A126*3-140,IF(A126&lt;=200,A126*5-440,A126*8-1040))))</x:f>
        <x:v>226</x:v>
      </x:c>
      <x:c r="E126" s="159" t="n">
        <x:v>1000000000</x:v>
      </x:c>
      <x:c r="F126" s="159" t="n">
        <x:v>0</x:v>
      </x:c>
      <x:c r="G126" s="159" t="n">
        <x:f>A126*(A126+1)/2</x:f>
        <x:v>7503</x:v>
      </x:c>
      <x:c r="H126" s="159" t="n">
        <x:f>G126*100</x:f>
        <x:v>750300</x:v>
      </x:c>
      <x:c r="I126" s="103" t="str">
        <x:v>100%成功；材料明显缺口，不纳入回收产出</x:v>
      </x:c>
    </x:row>
    <x:row r="127">
      <x:c r="A127" s="101" t="n">
        <x:v>123</x:v>
      </x:c>
      <x:c r="B127" s="102" t="str">
        <x:v>C05</x:v>
      </x:c>
      <x:c r="C127" s="102" t="str">
        <x:v>湖之利耶尼亚</x:v>
      </x:c>
      <x:c r="D127" s="159" t="n">
        <x:f>IF(A127&lt;=50,A127+9,IF(A127&lt;=100,A127*2-40,IF(A127&lt;=150,A127*3-140,IF(A127&lt;=200,A127*5-440,A127*8-1040))))</x:f>
        <x:v>229</x:v>
      </x:c>
      <x:c r="E127" s="159" t="n">
        <x:v>1000000000</x:v>
      </x:c>
      <x:c r="F127" s="159" t="n">
        <x:v>0</x:v>
      </x:c>
      <x:c r="G127" s="159" t="n">
        <x:f>A127*(A127+1)/2</x:f>
        <x:v>7626</x:v>
      </x:c>
      <x:c r="H127" s="159" t="n">
        <x:f>G127*100</x:f>
        <x:v>762600</x:v>
      </x:c>
      <x:c r="I127" s="103" t="str">
        <x:v>100%成功；材料明显缺口，不纳入回收产出</x:v>
      </x:c>
    </x:row>
    <x:row r="128">
      <x:c r="A128" s="101" t="n">
        <x:v>124</x:v>
      </x:c>
      <x:c r="B128" s="102" t="str">
        <x:v>C05</x:v>
      </x:c>
      <x:c r="C128" s="102" t="str">
        <x:v>湖之利耶尼亚</x:v>
      </x:c>
      <x:c r="D128" s="159" t="n">
        <x:f>IF(A128&lt;=50,A128+9,IF(A128&lt;=100,A128*2-40,IF(A128&lt;=150,A128*3-140,IF(A128&lt;=200,A128*5-440,A128*8-1040))))</x:f>
        <x:v>232</x:v>
      </x:c>
      <x:c r="E128" s="159" t="n">
        <x:v>1100000000</x:v>
      </x:c>
      <x:c r="F128" s="159" t="n">
        <x:v>0</x:v>
      </x:c>
      <x:c r="G128" s="159" t="n">
        <x:f>A128*(A128+1)/2</x:f>
        <x:v>7750</x:v>
      </x:c>
      <x:c r="H128" s="159" t="n">
        <x:f>G128*100</x:f>
        <x:v>775000</x:v>
      </x:c>
      <x:c r="I128" s="103" t="str">
        <x:v>100%成功；材料明显缺口，不纳入回收产出</x:v>
      </x:c>
    </x:row>
    <x:row r="129">
      <x:c r="A129" s="101" t="n">
        <x:v>125</x:v>
      </x:c>
      <x:c r="B129" s="102" t="str">
        <x:v>C05</x:v>
      </x:c>
      <x:c r="C129" s="102" t="str">
        <x:v>湖之利耶尼亚</x:v>
      </x:c>
      <x:c r="D129" s="159" t="n">
        <x:f>IF(A129&lt;=50,A129+9,IF(A129&lt;=100,A129*2-40,IF(A129&lt;=150,A129*3-140,IF(A129&lt;=200,A129*5-440,A129*8-1040))))</x:f>
        <x:v>235</x:v>
      </x:c>
      <x:c r="E129" s="159" t="n">
        <x:v>1100000000</x:v>
      </x:c>
      <x:c r="F129" s="159" t="n">
        <x:v>0</x:v>
      </x:c>
      <x:c r="G129" s="159" t="n">
        <x:f>A129*(A129+1)/2</x:f>
        <x:v>7875</x:v>
      </x:c>
      <x:c r="H129" s="159" t="n">
        <x:f>G129*100</x:f>
        <x:v>787500</x:v>
      </x:c>
      <x:c r="I129" s="103" t="str">
        <x:v>100%成功；材料明显缺口，不纳入回收产出</x:v>
      </x:c>
    </x:row>
    <x:row r="130">
      <x:c r="A130" s="101" t="n">
        <x:v>126</x:v>
      </x:c>
      <x:c r="B130" s="102" t="str">
        <x:v>C05</x:v>
      </x:c>
      <x:c r="C130" s="102" t="str">
        <x:v>湖之利耶尼亚</x:v>
      </x:c>
      <x:c r="D130" s="159" t="n">
        <x:f>IF(A130&lt;=50,A130+9,IF(A130&lt;=100,A130*2-40,IF(A130&lt;=150,A130*3-140,IF(A130&lt;=200,A130*5-440,A130*8-1040))))</x:f>
        <x:v>238</x:v>
      </x:c>
      <x:c r="E130" s="159" t="n">
        <x:v>1200000000</x:v>
      </x:c>
      <x:c r="F130" s="159" t="n">
        <x:v>0</x:v>
      </x:c>
      <x:c r="G130" s="159" t="n">
        <x:f>A130*(A130+1)/2</x:f>
        <x:v>8001</x:v>
      </x:c>
      <x:c r="H130" s="159" t="n">
        <x:f>G130*100</x:f>
        <x:v>800100</x:v>
      </x:c>
      <x:c r="I130" s="103" t="str">
        <x:v>100%成功；材料明显缺口，不纳入回收产出</x:v>
      </x:c>
    </x:row>
    <x:row r="131">
      <x:c r="A131" s="101" t="n">
        <x:v>127</x:v>
      </x:c>
      <x:c r="B131" s="102" t="str">
        <x:v>C05</x:v>
      </x:c>
      <x:c r="C131" s="102" t="str">
        <x:v>湖之利耶尼亚</x:v>
      </x:c>
      <x:c r="D131" s="159" t="n">
        <x:f>IF(A131&lt;=50,A131+9,IF(A131&lt;=100,A131*2-40,IF(A131&lt;=150,A131*3-140,IF(A131&lt;=200,A131*5-440,A131*8-1040))))</x:f>
        <x:v>241</x:v>
      </x:c>
      <x:c r="E131" s="159" t="n">
        <x:v>1200000000</x:v>
      </x:c>
      <x:c r="F131" s="159" t="n">
        <x:v>0</x:v>
      </x:c>
      <x:c r="G131" s="159" t="n">
        <x:f>A131*(A131+1)/2</x:f>
        <x:v>8128</x:v>
      </x:c>
      <x:c r="H131" s="159" t="n">
        <x:f>G131*100</x:f>
        <x:v>812800</x:v>
      </x:c>
      <x:c r="I131" s="103" t="str">
        <x:v>100%成功；材料明显缺口，不纳入回收产出</x:v>
      </x:c>
    </x:row>
    <x:row r="132">
      <x:c r="A132" s="101" t="n">
        <x:v>128</x:v>
      </x:c>
      <x:c r="B132" s="102" t="str">
        <x:v>C05</x:v>
      </x:c>
      <x:c r="C132" s="102" t="str">
        <x:v>湖之利耶尼亚</x:v>
      </x:c>
      <x:c r="D132" s="159" t="n">
        <x:f>IF(A132&lt;=50,A132+9,IF(A132&lt;=100,A132*2-40,IF(A132&lt;=150,A132*3-140,IF(A132&lt;=200,A132*5-440,A132*8-1040))))</x:f>
        <x:v>244</x:v>
      </x:c>
      <x:c r="E132" s="159" t="n">
        <x:v>1200000000</x:v>
      </x:c>
      <x:c r="F132" s="159" t="n">
        <x:v>0</x:v>
      </x:c>
      <x:c r="G132" s="159" t="n">
        <x:f>A132*(A132+1)/2</x:f>
        <x:v>8256</x:v>
      </x:c>
      <x:c r="H132" s="159" t="n">
        <x:f>G132*100</x:f>
        <x:v>825600</x:v>
      </x:c>
      <x:c r="I132" s="103" t="str">
        <x:v>100%成功；材料明显缺口，不纳入回收产出</x:v>
      </x:c>
    </x:row>
    <x:row r="133">
      <x:c r="A133" s="101" t="n">
        <x:v>129</x:v>
      </x:c>
      <x:c r="B133" s="102" t="str">
        <x:v>C05</x:v>
      </x:c>
      <x:c r="C133" s="102" t="str">
        <x:v>湖之利耶尼亚</x:v>
      </x:c>
      <x:c r="D133" s="159" t="n">
        <x:f>IF(A133&lt;=50,A133+9,IF(A133&lt;=100,A133*2-40,IF(A133&lt;=150,A133*3-140,IF(A133&lt;=200,A133*5-440,A133*8-1040))))</x:f>
        <x:v>247</x:v>
      </x:c>
      <x:c r="E133" s="159" t="n">
        <x:v>1300000000</x:v>
      </x:c>
      <x:c r="F133" s="159" t="n">
        <x:v>0</x:v>
      </x:c>
      <x:c r="G133" s="159" t="n">
        <x:f>A133*(A133+1)/2</x:f>
        <x:v>8385</x:v>
      </x:c>
      <x:c r="H133" s="159" t="n">
        <x:f>G133*100</x:f>
        <x:v>838500</x:v>
      </x:c>
      <x:c r="I133" s="103" t="str">
        <x:v>100%成功；材料明显缺口，不纳入回收产出</x:v>
      </x:c>
    </x:row>
    <x:row r="134">
      <x:c r="A134" s="101" t="n">
        <x:v>130</x:v>
      </x:c>
      <x:c r="B134" s="102" t="str">
        <x:v>C05</x:v>
      </x:c>
      <x:c r="C134" s="102" t="str">
        <x:v>湖之利耶尼亚</x:v>
      </x:c>
      <x:c r="D134" s="159" t="n">
        <x:f>IF(A134&lt;=50,A134+9,IF(A134&lt;=100,A134*2-40,IF(A134&lt;=150,A134*3-140,IF(A134&lt;=200,A134*5-440,A134*8-1040))))</x:f>
        <x:v>250</x:v>
      </x:c>
      <x:c r="E134" s="159" t="n">
        <x:v>1300000000</x:v>
      </x:c>
      <x:c r="F134" s="159" t="n">
        <x:v>0</x:v>
      </x:c>
      <x:c r="G134" s="159" t="n">
        <x:f>A134*(A134+1)/2</x:f>
        <x:v>8515</x:v>
      </x:c>
      <x:c r="H134" s="159" t="n">
        <x:f>G134*100</x:f>
        <x:v>851500</x:v>
      </x:c>
      <x:c r="I134" s="103" t="str">
        <x:v>100%成功；材料明显缺口，不纳入回收产出</x:v>
      </x:c>
    </x:row>
    <x:row r="135">
      <x:c r="A135" s="101" t="n">
        <x:v>131</x:v>
      </x:c>
      <x:c r="B135" s="102" t="str">
        <x:v>C05</x:v>
      </x:c>
      <x:c r="C135" s="102" t="str">
        <x:v>湖之利耶尼亚</x:v>
      </x:c>
      <x:c r="D135" s="159" t="n">
        <x:f>IF(A135&lt;=50,A135+9,IF(A135&lt;=100,A135*2-40,IF(A135&lt;=150,A135*3-140,IF(A135&lt;=200,A135*5-440,A135*8-1040))))</x:f>
        <x:v>253</x:v>
      </x:c>
      <x:c r="E135" s="159" t="n">
        <x:v>1400000000</x:v>
      </x:c>
      <x:c r="F135" s="159" t="n">
        <x:v>0</x:v>
      </x:c>
      <x:c r="G135" s="159" t="n">
        <x:f>A135*(A135+1)/2</x:f>
        <x:v>8646</x:v>
      </x:c>
      <x:c r="H135" s="159" t="n">
        <x:f>G135*100</x:f>
        <x:v>864600</x:v>
      </x:c>
      <x:c r="I135" s="103" t="str">
        <x:v>100%成功；材料明显缺口，不纳入回收产出</x:v>
      </x:c>
    </x:row>
    <x:row r="136">
      <x:c r="A136" s="101" t="n">
        <x:v>132</x:v>
      </x:c>
      <x:c r="B136" s="102" t="str">
        <x:v>C05</x:v>
      </x:c>
      <x:c r="C136" s="102" t="str">
        <x:v>湖之利耶尼亚</x:v>
      </x:c>
      <x:c r="D136" s="159" t="n">
        <x:f>IF(A136&lt;=50,A136+9,IF(A136&lt;=100,A136*2-40,IF(A136&lt;=150,A136*3-140,IF(A136&lt;=200,A136*5-440,A136*8-1040))))</x:f>
        <x:v>256</x:v>
      </x:c>
      <x:c r="E136" s="159" t="n">
        <x:v>1400000000</x:v>
      </x:c>
      <x:c r="F136" s="159" t="n">
        <x:v>0</x:v>
      </x:c>
      <x:c r="G136" s="159" t="n">
        <x:f>A136*(A136+1)/2</x:f>
        <x:v>8778</x:v>
      </x:c>
      <x:c r="H136" s="159" t="n">
        <x:f>G136*100</x:f>
        <x:v>877800</x:v>
      </x:c>
      <x:c r="I136" s="103" t="str">
        <x:v>100%成功；材料明显缺口，不纳入回收产出</x:v>
      </x:c>
    </x:row>
    <x:row r="137">
      <x:c r="A137" s="101" t="n">
        <x:v>133</x:v>
      </x:c>
      <x:c r="B137" s="102" t="str">
        <x:v>C05</x:v>
      </x:c>
      <x:c r="C137" s="102" t="str">
        <x:v>湖之利耶尼亚</x:v>
      </x:c>
      <x:c r="D137" s="159" t="n">
        <x:f>IF(A137&lt;=50,A137+9,IF(A137&lt;=100,A137*2-40,IF(A137&lt;=150,A137*3-140,IF(A137&lt;=200,A137*5-440,A137*8-1040))))</x:f>
        <x:v>259</x:v>
      </x:c>
      <x:c r="E137" s="159" t="n">
        <x:v>1400000000</x:v>
      </x:c>
      <x:c r="F137" s="159" t="n">
        <x:v>0</x:v>
      </x:c>
      <x:c r="G137" s="159" t="n">
        <x:f>A137*(A137+1)/2</x:f>
        <x:v>8911</x:v>
      </x:c>
      <x:c r="H137" s="159" t="n">
        <x:f>G137*100</x:f>
        <x:v>891100</x:v>
      </x:c>
      <x:c r="I137" s="103" t="str">
        <x:v>100%成功；材料明显缺口，不纳入回收产出</x:v>
      </x:c>
    </x:row>
    <x:row r="138">
      <x:c r="A138" s="101" t="n">
        <x:v>134</x:v>
      </x:c>
      <x:c r="B138" s="102" t="str">
        <x:v>C05</x:v>
      </x:c>
      <x:c r="C138" s="102" t="str">
        <x:v>湖之利耶尼亚</x:v>
      </x:c>
      <x:c r="D138" s="159" t="n">
        <x:f>IF(A138&lt;=50,A138+9,IF(A138&lt;=100,A138*2-40,IF(A138&lt;=150,A138*3-140,IF(A138&lt;=200,A138*5-440,A138*8-1040))))</x:f>
        <x:v>262</x:v>
      </x:c>
      <x:c r="E138" s="159" t="n">
        <x:v>1500000000</x:v>
      </x:c>
      <x:c r="F138" s="159" t="n">
        <x:v>0</x:v>
      </x:c>
      <x:c r="G138" s="159" t="n">
        <x:f>A138*(A138+1)/2</x:f>
        <x:v>9045</x:v>
      </x:c>
      <x:c r="H138" s="159" t="n">
        <x:f>G138*100</x:f>
        <x:v>904500</x:v>
      </x:c>
      <x:c r="I138" s="103" t="str">
        <x:v>100%成功；材料明显缺口，不纳入回收产出</x:v>
      </x:c>
    </x:row>
    <x:row r="139">
      <x:c r="A139" s="101" t="n">
        <x:v>135</x:v>
      </x:c>
      <x:c r="B139" s="102" t="str">
        <x:v>C05</x:v>
      </x:c>
      <x:c r="C139" s="102" t="str">
        <x:v>湖之利耶尼亚</x:v>
      </x:c>
      <x:c r="D139" s="159" t="n">
        <x:f>IF(A139&lt;=50,A139+9,IF(A139&lt;=100,A139*2-40,IF(A139&lt;=150,A139*3-140,IF(A139&lt;=200,A139*5-440,A139*8-1040))))</x:f>
        <x:v>265</x:v>
      </x:c>
      <x:c r="E139" s="159" t="n">
        <x:v>1500000000</x:v>
      </x:c>
      <x:c r="F139" s="159" t="n">
        <x:v>0</x:v>
      </x:c>
      <x:c r="G139" s="159" t="n">
        <x:f>A139*(A139+1)/2</x:f>
        <x:v>9180</x:v>
      </x:c>
      <x:c r="H139" s="159" t="n">
        <x:f>G139*100</x:f>
        <x:v>918000</x:v>
      </x:c>
      <x:c r="I139" s="103" t="str">
        <x:v>100%成功；材料明显缺口，不纳入回收产出</x:v>
      </x:c>
    </x:row>
    <x:row r="140">
      <x:c r="A140" s="101" t="n">
        <x:v>136</x:v>
      </x:c>
      <x:c r="B140" s="102" t="str">
        <x:v>C05</x:v>
      </x:c>
      <x:c r="C140" s="102" t="str">
        <x:v>湖之利耶尼亚</x:v>
      </x:c>
      <x:c r="D140" s="159" t="n">
        <x:f>IF(A140&lt;=50,A140+9,IF(A140&lt;=100,A140*2-40,IF(A140&lt;=150,A140*3-140,IF(A140&lt;=200,A140*5-440,A140*8-1040))))</x:f>
        <x:v>268</x:v>
      </x:c>
      <x:c r="E140" s="159" t="n">
        <x:v>1600000000</x:v>
      </x:c>
      <x:c r="F140" s="159" t="n">
        <x:v>0</x:v>
      </x:c>
      <x:c r="G140" s="159" t="n">
        <x:f>A140*(A140+1)/2</x:f>
        <x:v>9316</x:v>
      </x:c>
      <x:c r="H140" s="159" t="n">
        <x:f>G140*100</x:f>
        <x:v>931600</x:v>
      </x:c>
      <x:c r="I140" s="103" t="str">
        <x:v>100%成功；材料明显缺口，不纳入回收产出</x:v>
      </x:c>
    </x:row>
    <x:row r="141">
      <x:c r="A141" s="101" t="n">
        <x:v>137</x:v>
      </x:c>
      <x:c r="B141" s="102" t="str">
        <x:v>C05</x:v>
      </x:c>
      <x:c r="C141" s="102" t="str">
        <x:v>湖之利耶尼亚</x:v>
      </x:c>
      <x:c r="D141" s="159" t="n">
        <x:f>IF(A141&lt;=50,A141+9,IF(A141&lt;=100,A141*2-40,IF(A141&lt;=150,A141*3-140,IF(A141&lt;=200,A141*5-440,A141*8-1040))))</x:f>
        <x:v>271</x:v>
      </x:c>
      <x:c r="E141" s="159" t="n">
        <x:v>1600000000</x:v>
      </x:c>
      <x:c r="F141" s="159" t="n">
        <x:v>0</x:v>
      </x:c>
      <x:c r="G141" s="159" t="n">
        <x:f>A141*(A141+1)/2</x:f>
        <x:v>9453</x:v>
      </x:c>
      <x:c r="H141" s="159" t="n">
        <x:f>G141*100</x:f>
        <x:v>945300</x:v>
      </x:c>
      <x:c r="I141" s="103" t="str">
        <x:v>100%成功；材料明显缺口，不纳入回收产出</x:v>
      </x:c>
    </x:row>
    <x:row r="142">
      <x:c r="A142" s="101" t="n">
        <x:v>138</x:v>
      </x:c>
      <x:c r="B142" s="102" t="str">
        <x:v>C05</x:v>
      </x:c>
      <x:c r="C142" s="102" t="str">
        <x:v>湖之利耶尼亚</x:v>
      </x:c>
      <x:c r="D142" s="159" t="n">
        <x:f>IF(A142&lt;=50,A142+9,IF(A142&lt;=100,A142*2-40,IF(A142&lt;=150,A142*3-140,IF(A142&lt;=200,A142*5-440,A142*8-1040))))</x:f>
        <x:v>274</x:v>
      </x:c>
      <x:c r="E142" s="159" t="n">
        <x:v>1600000000</x:v>
      </x:c>
      <x:c r="F142" s="159" t="n">
        <x:v>0</x:v>
      </x:c>
      <x:c r="G142" s="159" t="n">
        <x:f>A142*(A142+1)/2</x:f>
        <x:v>9591</x:v>
      </x:c>
      <x:c r="H142" s="159" t="n">
        <x:f>G142*100</x:f>
        <x:v>959100</x:v>
      </x:c>
      <x:c r="I142" s="103" t="str">
        <x:v>100%成功；材料明显缺口，不纳入回收产出</x:v>
      </x:c>
    </x:row>
    <x:row r="143">
      <x:c r="A143" s="101" t="n">
        <x:v>139</x:v>
      </x:c>
      <x:c r="B143" s="102" t="str">
        <x:v>C05</x:v>
      </x:c>
      <x:c r="C143" s="102" t="str">
        <x:v>湖之利耶尼亚</x:v>
      </x:c>
      <x:c r="D143" s="159" t="n">
        <x:f>IF(A143&lt;=50,A143+9,IF(A143&lt;=100,A143*2-40,IF(A143&lt;=150,A143*3-140,IF(A143&lt;=200,A143*5-440,A143*8-1040))))</x:f>
        <x:v>277</x:v>
      </x:c>
      <x:c r="E143" s="159" t="n">
        <x:v>1700000000</x:v>
      </x:c>
      <x:c r="F143" s="159" t="n">
        <x:v>0</x:v>
      </x:c>
      <x:c r="G143" s="159" t="n">
        <x:f>A143*(A143+1)/2</x:f>
        <x:v>9730</x:v>
      </x:c>
      <x:c r="H143" s="159" t="n">
        <x:f>G143*100</x:f>
        <x:v>973000</x:v>
      </x:c>
      <x:c r="I143" s="103" t="str">
        <x:v>100%成功；材料明显缺口，不纳入回收产出</x:v>
      </x:c>
    </x:row>
    <x:row r="144">
      <x:c r="A144" s="101" t="n">
        <x:v>140</x:v>
      </x:c>
      <x:c r="B144" s="102" t="str">
        <x:v>C05</x:v>
      </x:c>
      <x:c r="C144" s="102" t="str">
        <x:v>湖之利耶尼亚</x:v>
      </x:c>
      <x:c r="D144" s="159" t="n">
        <x:f>IF(A144&lt;=50,A144+9,IF(A144&lt;=100,A144*2-40,IF(A144&lt;=150,A144*3-140,IF(A144&lt;=200,A144*5-440,A144*8-1040))))</x:f>
        <x:v>280</x:v>
      </x:c>
      <x:c r="E144" s="159" t="n">
        <x:v>1700000000</x:v>
      </x:c>
      <x:c r="F144" s="159" t="n">
        <x:v>0</x:v>
      </x:c>
      <x:c r="G144" s="159" t="n">
        <x:f>A144*(A144+1)/2</x:f>
        <x:v>9870</x:v>
      </x:c>
      <x:c r="H144" s="159" t="n">
        <x:f>G144*100</x:f>
        <x:v>987000</x:v>
      </x:c>
      <x:c r="I144" s="103" t="str">
        <x:v>100%成功；材料明显缺口，不纳入回收产出</x:v>
      </x:c>
    </x:row>
    <x:row r="145">
      <x:c r="A145" s="101" t="n">
        <x:v>141</x:v>
      </x:c>
      <x:c r="B145" s="102" t="str">
        <x:v>C06</x:v>
      </x:c>
      <x:c r="C145" s="102" t="str">
        <x:v>盖利德</x:v>
      </x:c>
      <x:c r="D145" s="159" t="n">
        <x:f>IF(A145&lt;=50,A145+9,IF(A145&lt;=100,A145*2-40,IF(A145&lt;=150,A145*3-140,IF(A145&lt;=200,A145*5-440,A145*8-1040))))</x:f>
        <x:v>283</x:v>
      </x:c>
      <x:c r="E145" s="159" t="n">
        <x:v>810000000</x:v>
      </x:c>
      <x:c r="F145" s="159" t="n">
        <x:v>0</x:v>
      </x:c>
      <x:c r="G145" s="159" t="n">
        <x:f>A145*(A145+1)/2</x:f>
        <x:v>10011</x:v>
      </x:c>
      <x:c r="H145" s="159" t="n">
        <x:f>G145*100</x:f>
        <x:v>1001100</x:v>
      </x:c>
      <x:c r="I145" s="103" t="str">
        <x:v>100%成功；材料明显缺口，不纳入回收产出</x:v>
      </x:c>
    </x:row>
    <x:row r="146">
      <x:c r="A146" s="101" t="n">
        <x:v>142</x:v>
      </x:c>
      <x:c r="B146" s="102" t="str">
        <x:v>C06</x:v>
      </x:c>
      <x:c r="C146" s="102" t="str">
        <x:v>盖利德</x:v>
      </x:c>
      <x:c r="D146" s="159" t="n">
        <x:f>IF(A146&lt;=50,A146+9,IF(A146&lt;=100,A146*2-40,IF(A146&lt;=150,A146*3-140,IF(A146&lt;=200,A146*5-440,A146*8-1040))))</x:f>
        <x:v>286</x:v>
      </x:c>
      <x:c r="E146" s="159" t="n">
        <x:v>870000000</x:v>
      </x:c>
      <x:c r="F146" s="159" t="n">
        <x:v>0</x:v>
      </x:c>
      <x:c r="G146" s="159" t="n">
        <x:f>A146*(A146+1)/2</x:f>
        <x:v>10153</x:v>
      </x:c>
      <x:c r="H146" s="159" t="n">
        <x:f>G146*100</x:f>
        <x:v>1015300</x:v>
      </x:c>
      <x:c r="I146" s="103" t="str">
        <x:v>100%成功；材料明显缺口，不纳入回收产出</x:v>
      </x:c>
    </x:row>
    <x:row r="147">
      <x:c r="A147" s="101" t="n">
        <x:v>143</x:v>
      </x:c>
      <x:c r="B147" s="102" t="str">
        <x:v>C06</x:v>
      </x:c>
      <x:c r="C147" s="102" t="str">
        <x:v>盖利德</x:v>
      </x:c>
      <x:c r="D147" s="159" t="n">
        <x:f>IF(A147&lt;=50,A147+9,IF(A147&lt;=100,A147*2-40,IF(A147&lt;=150,A147*3-140,IF(A147&lt;=200,A147*5-440,A147*8-1040))))</x:f>
        <x:v>289</x:v>
      </x:c>
      <x:c r="E147" s="159" t="n">
        <x:v>920000000</x:v>
      </x:c>
      <x:c r="F147" s="159" t="n">
        <x:v>0</x:v>
      </x:c>
      <x:c r="G147" s="159" t="n">
        <x:f>A147*(A147+1)/2</x:f>
        <x:v>10296</x:v>
      </x:c>
      <x:c r="H147" s="159" t="n">
        <x:f>G147*100</x:f>
        <x:v>1029600</x:v>
      </x:c>
      <x:c r="I147" s="103" t="str">
        <x:v>100%成功；材料明显缺口，不纳入回收产出</x:v>
      </x:c>
    </x:row>
    <x:row r="148">
      <x:c r="A148" s="101" t="n">
        <x:v>144</x:v>
      </x:c>
      <x:c r="B148" s="102" t="str">
        <x:v>C06</x:v>
      </x:c>
      <x:c r="C148" s="102" t="str">
        <x:v>盖利德</x:v>
      </x:c>
      <x:c r="D148" s="159" t="n">
        <x:f>IF(A148&lt;=50,A148+9,IF(A148&lt;=100,A148*2-40,IF(A148&lt;=150,A148*3-140,IF(A148&lt;=200,A148*5-440,A148*8-1040))))</x:f>
        <x:v>292</x:v>
      </x:c>
      <x:c r="E148" s="159" t="n">
        <x:v>980000000</x:v>
      </x:c>
      <x:c r="F148" s="159" t="n">
        <x:v>0</x:v>
      </x:c>
      <x:c r="G148" s="159" t="n">
        <x:f>A148*(A148+1)/2</x:f>
        <x:v>10440</x:v>
      </x:c>
      <x:c r="H148" s="159" t="n">
        <x:f>G148*100</x:f>
        <x:v>1044000</x:v>
      </x:c>
      <x:c r="I148" s="103" t="str">
        <x:v>100%成功；材料明显缺口，不纳入回收产出</x:v>
      </x:c>
    </x:row>
    <x:row r="149">
      <x:c r="A149" s="101" t="n">
        <x:v>145</x:v>
      </x:c>
      <x:c r="B149" s="102" t="str">
        <x:v>C06</x:v>
      </x:c>
      <x:c r="C149" s="102" t="str">
        <x:v>盖利德</x:v>
      </x:c>
      <x:c r="D149" s="159" t="n">
        <x:f>IF(A149&lt;=50,A149+9,IF(A149&lt;=100,A149*2-40,IF(A149&lt;=150,A149*3-140,IF(A149&lt;=200,A149*5-440,A149*8-1040))))</x:f>
        <x:v>295</x:v>
      </x:c>
      <x:c r="E149" s="159" t="n">
        <x:v>1000000000</x:v>
      </x:c>
      <x:c r="F149" s="159" t="n">
        <x:v>0</x:v>
      </x:c>
      <x:c r="G149" s="159" t="n">
        <x:f>A149*(A149+1)/2</x:f>
        <x:v>10585</x:v>
      </x:c>
      <x:c r="H149" s="159" t="n">
        <x:f>G149*100</x:f>
        <x:v>1058500</x:v>
      </x:c>
      <x:c r="I149" s="103" t="str">
        <x:v>100%成功；材料明显缺口，不纳入回收产出</x:v>
      </x:c>
    </x:row>
    <x:row r="150">
      <x:c r="A150" s="101" t="n">
        <x:v>146</x:v>
      </x:c>
      <x:c r="B150" s="102" t="str">
        <x:v>C06</x:v>
      </x:c>
      <x:c r="C150" s="102" t="str">
        <x:v>盖利德</x:v>
      </x:c>
      <x:c r="D150" s="159" t="n">
        <x:f>IF(A150&lt;=50,A150+9,IF(A150&lt;=100,A150*2-40,IF(A150&lt;=150,A150*3-140,IF(A150&lt;=200,A150*5-440,A150*8-1040))))</x:f>
        <x:v>298</x:v>
      </x:c>
      <x:c r="E150" s="159" t="n">
        <x:v>1100000000</x:v>
      </x:c>
      <x:c r="F150" s="159" t="n">
        <x:v>0</x:v>
      </x:c>
      <x:c r="G150" s="159" t="n">
        <x:f>A150*(A150+1)/2</x:f>
        <x:v>10731</x:v>
      </x:c>
      <x:c r="H150" s="159" t="n">
        <x:f>G150*100</x:f>
        <x:v>1073100</x:v>
      </x:c>
      <x:c r="I150" s="103" t="str">
        <x:v>100%成功；材料明显缺口，不纳入回收产出</x:v>
      </x:c>
    </x:row>
    <x:row r="151">
      <x:c r="A151" s="101" t="n">
        <x:v>147</x:v>
      </x:c>
      <x:c r="B151" s="102" t="str">
        <x:v>C06</x:v>
      </x:c>
      <x:c r="C151" s="102" t="str">
        <x:v>盖利德</x:v>
      </x:c>
      <x:c r="D151" s="159" t="n">
        <x:f>IF(A151&lt;=50,A151+9,IF(A151&lt;=100,A151*2-40,IF(A151&lt;=150,A151*3-140,IF(A151&lt;=200,A151*5-440,A151*8-1040))))</x:f>
        <x:v>301</x:v>
      </x:c>
      <x:c r="E151" s="159" t="n">
        <x:v>1100000000</x:v>
      </x:c>
      <x:c r="F151" s="159" t="n">
        <x:v>0</x:v>
      </x:c>
      <x:c r="G151" s="159" t="n">
        <x:f>A151*(A151+1)/2</x:f>
        <x:v>10878</x:v>
      </x:c>
      <x:c r="H151" s="159" t="n">
        <x:f>G151*100</x:f>
        <x:v>1087800</x:v>
      </x:c>
      <x:c r="I151" s="103" t="str">
        <x:v>100%成功；材料明显缺口，不纳入回收产出</x:v>
      </x:c>
    </x:row>
    <x:row r="152">
      <x:c r="A152" s="101" t="n">
        <x:v>148</x:v>
      </x:c>
      <x:c r="B152" s="102" t="str">
        <x:v>C06</x:v>
      </x:c>
      <x:c r="C152" s="102" t="str">
        <x:v>盖利德</x:v>
      </x:c>
      <x:c r="D152" s="159" t="n">
        <x:f>IF(A152&lt;=50,A152+9,IF(A152&lt;=100,A152*2-40,IF(A152&lt;=150,A152*3-140,IF(A152&lt;=200,A152*5-440,A152*8-1040))))</x:f>
        <x:v>304</x:v>
      </x:c>
      <x:c r="E152" s="159" t="n">
        <x:v>1200000000</x:v>
      </x:c>
      <x:c r="F152" s="159" t="n">
        <x:v>0</x:v>
      </x:c>
      <x:c r="G152" s="159" t="n">
        <x:f>A152*(A152+1)/2</x:f>
        <x:v>11026</x:v>
      </x:c>
      <x:c r="H152" s="159" t="n">
        <x:f>G152*100</x:f>
        <x:v>1102600</x:v>
      </x:c>
      <x:c r="I152" s="103" t="str">
        <x:v>100%成功；材料明显缺口，不纳入回收产出</x:v>
      </x:c>
    </x:row>
    <x:row r="153">
      <x:c r="A153" s="101" t="n">
        <x:v>149</x:v>
      </x:c>
      <x:c r="B153" s="102" t="str">
        <x:v>C06</x:v>
      </x:c>
      <x:c r="C153" s="102" t="str">
        <x:v>盖利德</x:v>
      </x:c>
      <x:c r="D153" s="159" t="n">
        <x:f>IF(A153&lt;=50,A153+9,IF(A153&lt;=100,A153*2-40,IF(A153&lt;=150,A153*3-140,IF(A153&lt;=200,A153*5-440,A153*8-1040))))</x:f>
        <x:v>307</x:v>
      </x:c>
      <x:c r="E153" s="159" t="n">
        <x:v>1300000000</x:v>
      </x:c>
      <x:c r="F153" s="159" t="n">
        <x:v>0</x:v>
      </x:c>
      <x:c r="G153" s="159" t="n">
        <x:f>A153*(A153+1)/2</x:f>
        <x:v>11175</x:v>
      </x:c>
      <x:c r="H153" s="159" t="n">
        <x:f>G153*100</x:f>
        <x:v>1117500</x:v>
      </x:c>
      <x:c r="I153" s="103" t="str">
        <x:v>100%成功；材料明显缺口，不纳入回收产出</x:v>
      </x:c>
    </x:row>
    <x:row r="154">
      <x:c r="A154" s="101" t="n">
        <x:v>150</x:v>
      </x:c>
      <x:c r="B154" s="102" t="str">
        <x:v>C06</x:v>
      </x:c>
      <x:c r="C154" s="102" t="str">
        <x:v>盖利德</x:v>
      </x:c>
      <x:c r="D154" s="159" t="n">
        <x:f>IF(A154&lt;=50,A154+9,IF(A154&lt;=100,A154*2-40,IF(A154&lt;=150,A154*3-140,IF(A154&lt;=200,A154*5-440,A154*8-1040))))</x:f>
        <x:v>310</x:v>
      </x:c>
      <x:c r="E154" s="159" t="n">
        <x:v>1300000000</x:v>
      </x:c>
      <x:c r="F154" s="159" t="n">
        <x:v>0</x:v>
      </x:c>
      <x:c r="G154" s="159" t="n">
        <x:f>A154*(A154+1)/2</x:f>
        <x:v>11325</x:v>
      </x:c>
      <x:c r="H154" s="159" t="n">
        <x:f>G154*100</x:f>
        <x:v>1132500</x:v>
      </x:c>
      <x:c r="I154" s="103" t="str">
        <x:v>100%成功；材料明显缺口，不纳入回收产出</x:v>
      </x:c>
    </x:row>
    <x:row r="155">
      <x:c r="A155" s="101" t="n">
        <x:v>151</x:v>
      </x:c>
      <x:c r="B155" s="102" t="str">
        <x:v>C06</x:v>
      </x:c>
      <x:c r="C155" s="102" t="str">
        <x:v>盖利德</x:v>
      </x:c>
      <x:c r="D155" s="159" t="n">
        <x:f>IF(A155&lt;=50,A155+9,IF(A155&lt;=100,A155*2-40,IF(A155&lt;=150,A155*3-140,IF(A155&lt;=200,A155*5-440,A155*8-1040))))</x:f>
        <x:v>315</x:v>
      </x:c>
      <x:c r="E155" s="159" t="n">
        <x:v>1400000000</x:v>
      </x:c>
      <x:c r="F155" s="159" t="n">
        <x:v>0</x:v>
      </x:c>
      <x:c r="G155" s="159" t="n">
        <x:f>A155*(A155+1)/2</x:f>
        <x:v>11476</x:v>
      </x:c>
      <x:c r="H155" s="159" t="n">
        <x:f>G155*100</x:f>
        <x:v>1147600</x:v>
      </x:c>
      <x:c r="I155" s="103" t="str">
        <x:v>100%成功；材料明显缺口，不纳入回收产出</x:v>
      </x:c>
    </x:row>
    <x:row r="156">
      <x:c r="A156" s="101" t="n">
        <x:v>152</x:v>
      </x:c>
      <x:c r="B156" s="102" t="str">
        <x:v>C06</x:v>
      </x:c>
      <x:c r="C156" s="102" t="str">
        <x:v>盖利德</x:v>
      </x:c>
      <x:c r="D156" s="159" t="n">
        <x:f>IF(A156&lt;=50,A156+9,IF(A156&lt;=100,A156*2-40,IF(A156&lt;=150,A156*3-140,IF(A156&lt;=200,A156*5-440,A156*8-1040))))</x:f>
        <x:v>320</x:v>
      </x:c>
      <x:c r="E156" s="159" t="n">
        <x:v>1400000000</x:v>
      </x:c>
      <x:c r="F156" s="159" t="n">
        <x:v>0</x:v>
      </x:c>
      <x:c r="G156" s="159" t="n">
        <x:f>A156*(A156+1)/2</x:f>
        <x:v>11628</x:v>
      </x:c>
      <x:c r="H156" s="159" t="n">
        <x:f>G156*100</x:f>
        <x:v>1162800</x:v>
      </x:c>
      <x:c r="I156" s="103" t="str">
        <x:v>100%成功；材料明显缺口，不纳入回收产出</x:v>
      </x:c>
    </x:row>
    <x:row r="157">
      <x:c r="A157" s="101" t="n">
        <x:v>153</x:v>
      </x:c>
      <x:c r="B157" s="102" t="str">
        <x:v>C06</x:v>
      </x:c>
      <x:c r="C157" s="102" t="str">
        <x:v>盖利德</x:v>
      </x:c>
      <x:c r="D157" s="159" t="n">
        <x:f>IF(A157&lt;=50,A157+9,IF(A157&lt;=100,A157*2-40,IF(A157&lt;=150,A157*3-140,IF(A157&lt;=200,A157*5-440,A157*8-1040))))</x:f>
        <x:v>325</x:v>
      </x:c>
      <x:c r="E157" s="159" t="n">
        <x:v>1500000000</x:v>
      </x:c>
      <x:c r="F157" s="159" t="n">
        <x:v>0</x:v>
      </x:c>
      <x:c r="G157" s="159" t="n">
        <x:f>A157*(A157+1)/2</x:f>
        <x:v>11781</x:v>
      </x:c>
      <x:c r="H157" s="159" t="n">
        <x:f>G157*100</x:f>
        <x:v>1178100</x:v>
      </x:c>
      <x:c r="I157" s="103" t="str">
        <x:v>100%成功；材料明显缺口，不纳入回收产出</x:v>
      </x:c>
    </x:row>
    <x:row r="158">
      <x:c r="A158" s="101" t="n">
        <x:v>154</x:v>
      </x:c>
      <x:c r="B158" s="102" t="str">
        <x:v>C06</x:v>
      </x:c>
      <x:c r="C158" s="102" t="str">
        <x:v>盖利德</x:v>
      </x:c>
      <x:c r="D158" s="159" t="n">
        <x:f>IF(A158&lt;=50,A158+9,IF(A158&lt;=100,A158*2-40,IF(A158&lt;=150,A158*3-140,IF(A158&lt;=200,A158*5-440,A158*8-1040))))</x:f>
        <x:v>330</x:v>
      </x:c>
      <x:c r="E158" s="159" t="n">
        <x:v>1500000000</x:v>
      </x:c>
      <x:c r="F158" s="159" t="n">
        <x:v>0</x:v>
      </x:c>
      <x:c r="G158" s="159" t="n">
        <x:f>A158*(A158+1)/2</x:f>
        <x:v>11935</x:v>
      </x:c>
      <x:c r="H158" s="159" t="n">
        <x:f>G158*100</x:f>
        <x:v>1193500</x:v>
      </x:c>
      <x:c r="I158" s="103" t="str">
        <x:v>100%成功；材料明显缺口，不纳入回收产出</x:v>
      </x:c>
    </x:row>
    <x:row r="159">
      <x:c r="A159" s="101" t="n">
        <x:v>155</x:v>
      </x:c>
      <x:c r="B159" s="102" t="str">
        <x:v>C06</x:v>
      </x:c>
      <x:c r="C159" s="102" t="str">
        <x:v>盖利德</x:v>
      </x:c>
      <x:c r="D159" s="159" t="n">
        <x:f>IF(A159&lt;=50,A159+9,IF(A159&lt;=100,A159*2-40,IF(A159&lt;=150,A159*3-140,IF(A159&lt;=200,A159*5-440,A159*8-1040))))</x:f>
        <x:v>335</x:v>
      </x:c>
      <x:c r="E159" s="159" t="n">
        <x:v>1600000000</x:v>
      </x:c>
      <x:c r="F159" s="159" t="n">
        <x:v>0</x:v>
      </x:c>
      <x:c r="G159" s="159" t="n">
        <x:f>A159*(A159+1)/2</x:f>
        <x:v>12090</x:v>
      </x:c>
      <x:c r="H159" s="159" t="n">
        <x:f>G159*100</x:f>
        <x:v>1209000</x:v>
      </x:c>
      <x:c r="I159" s="103" t="str">
        <x:v>100%成功；材料明显缺口，不纳入回收产出</x:v>
      </x:c>
    </x:row>
    <x:row r="160">
      <x:c r="A160" s="101" t="n">
        <x:v>156</x:v>
      </x:c>
      <x:c r="B160" s="102" t="str">
        <x:v>C06</x:v>
      </x:c>
      <x:c r="C160" s="102" t="str">
        <x:v>盖利德</x:v>
      </x:c>
      <x:c r="D160" s="159" t="n">
        <x:f>IF(A160&lt;=50,A160+9,IF(A160&lt;=100,A160*2-40,IF(A160&lt;=150,A160*3-140,IF(A160&lt;=200,A160*5-440,A160*8-1040))))</x:f>
        <x:v>340</x:v>
      </x:c>
      <x:c r="E160" s="159" t="n">
        <x:v>1600000000</x:v>
      </x:c>
      <x:c r="F160" s="159" t="n">
        <x:v>0</x:v>
      </x:c>
      <x:c r="G160" s="159" t="n">
        <x:f>A160*(A160+1)/2</x:f>
        <x:v>12246</x:v>
      </x:c>
      <x:c r="H160" s="159" t="n">
        <x:f>G160*100</x:f>
        <x:v>1224600</x:v>
      </x:c>
      <x:c r="I160" s="103" t="str">
        <x:v>100%成功；材料明显缺口，不纳入回收产出</x:v>
      </x:c>
    </x:row>
    <x:row r="161">
      <x:c r="A161" s="101" t="n">
        <x:v>157</x:v>
      </x:c>
      <x:c r="B161" s="102" t="str">
        <x:v>C06</x:v>
      </x:c>
      <x:c r="C161" s="102" t="str">
        <x:v>盖利德</x:v>
      </x:c>
      <x:c r="D161" s="159" t="n">
        <x:f>IF(A161&lt;=50,A161+9,IF(A161&lt;=100,A161*2-40,IF(A161&lt;=150,A161*3-140,IF(A161&lt;=200,A161*5-440,A161*8-1040))))</x:f>
        <x:v>345</x:v>
      </x:c>
      <x:c r="E161" s="159" t="n">
        <x:v>1700000000</x:v>
      </x:c>
      <x:c r="F161" s="159" t="n">
        <x:v>0</x:v>
      </x:c>
      <x:c r="G161" s="159" t="n">
        <x:f>A161*(A161+1)/2</x:f>
        <x:v>12403</x:v>
      </x:c>
      <x:c r="H161" s="159" t="n">
        <x:f>G161*100</x:f>
        <x:v>1240300</x:v>
      </x:c>
      <x:c r="I161" s="103" t="str">
        <x:v>100%成功；材料明显缺口，不纳入回收产出</x:v>
      </x:c>
    </x:row>
    <x:row r="162">
      <x:c r="A162" s="101" t="n">
        <x:v>158</x:v>
      </x:c>
      <x:c r="B162" s="102" t="str">
        <x:v>C06</x:v>
      </x:c>
      <x:c r="C162" s="102" t="str">
        <x:v>盖利德</x:v>
      </x:c>
      <x:c r="D162" s="159" t="n">
        <x:f>IF(A162&lt;=50,A162+9,IF(A162&lt;=100,A162*2-40,IF(A162&lt;=150,A162*3-140,IF(A162&lt;=200,A162*5-440,A162*8-1040))))</x:f>
        <x:v>350</x:v>
      </x:c>
      <x:c r="E162" s="159" t="n">
        <x:v>1800000000</x:v>
      </x:c>
      <x:c r="F162" s="159" t="n">
        <x:v>0</x:v>
      </x:c>
      <x:c r="G162" s="159" t="n">
        <x:f>A162*(A162+1)/2</x:f>
        <x:v>12561</x:v>
      </x:c>
      <x:c r="H162" s="159" t="n">
        <x:f>G162*100</x:f>
        <x:v>1256100</x:v>
      </x:c>
      <x:c r="I162" s="103" t="str">
        <x:v>100%成功；材料明显缺口，不纳入回收产出</x:v>
      </x:c>
    </x:row>
    <x:row r="163">
      <x:c r="A163" s="101" t="n">
        <x:v>159</x:v>
      </x:c>
      <x:c r="B163" s="102" t="str">
        <x:v>C06</x:v>
      </x:c>
      <x:c r="C163" s="102" t="str">
        <x:v>盖利德</x:v>
      </x:c>
      <x:c r="D163" s="159" t="n">
        <x:f>IF(A163&lt;=50,A163+9,IF(A163&lt;=100,A163*2-40,IF(A163&lt;=150,A163*3-140,IF(A163&lt;=200,A163*5-440,A163*8-1040))))</x:f>
        <x:v>355</x:v>
      </x:c>
      <x:c r="E163" s="159" t="n">
        <x:v>1800000000</x:v>
      </x:c>
      <x:c r="F163" s="159" t="n">
        <x:v>0</x:v>
      </x:c>
      <x:c r="G163" s="159" t="n">
        <x:f>A163*(A163+1)/2</x:f>
        <x:v>12720</x:v>
      </x:c>
      <x:c r="H163" s="159" t="n">
        <x:f>G163*100</x:f>
        <x:v>1272000</x:v>
      </x:c>
      <x:c r="I163" s="103" t="str">
        <x:v>100%成功；材料明显缺口，不纳入回收产出</x:v>
      </x:c>
    </x:row>
    <x:row r="164">
      <x:c r="A164" s="101" t="n">
        <x:v>160</x:v>
      </x:c>
      <x:c r="B164" s="102" t="str">
        <x:v>C06</x:v>
      </x:c>
      <x:c r="C164" s="102" t="str">
        <x:v>盖利德</x:v>
      </x:c>
      <x:c r="D164" s="159" t="n">
        <x:f>IF(A164&lt;=50,A164+9,IF(A164&lt;=100,A164*2-40,IF(A164&lt;=150,A164*3-140,IF(A164&lt;=200,A164*5-440,A164*8-1040))))</x:f>
        <x:v>360</x:v>
      </x:c>
      <x:c r="E164" s="159" t="n">
        <x:v>1900000000</x:v>
      </x:c>
      <x:c r="F164" s="159" t="n">
        <x:v>0</x:v>
      </x:c>
      <x:c r="G164" s="159" t="n">
        <x:f>A164*(A164+1)/2</x:f>
        <x:v>12880</x:v>
      </x:c>
      <x:c r="H164" s="159" t="n">
        <x:f>G164*100</x:f>
        <x:v>1288000</x:v>
      </x:c>
      <x:c r="I164" s="103" t="str">
        <x:v>100%成功；材料明显缺口，不纳入回收产出</x:v>
      </x:c>
    </x:row>
    <x:row r="165">
      <x:c r="A165" s="101" t="n">
        <x:v>161</x:v>
      </x:c>
      <x:c r="B165" s="102" t="str">
        <x:v>C06</x:v>
      </x:c>
      <x:c r="C165" s="102" t="str">
        <x:v>盖利德</x:v>
      </x:c>
      <x:c r="D165" s="159" t="n">
        <x:f>IF(A165&lt;=50,A165+9,IF(A165&lt;=100,A165*2-40,IF(A165&lt;=150,A165*3-140,IF(A165&lt;=200,A165*5-440,A165*8-1040))))</x:f>
        <x:v>365</x:v>
      </x:c>
      <x:c r="E165" s="159" t="n">
        <x:v>1900000000</x:v>
      </x:c>
      <x:c r="F165" s="159" t="n">
        <x:v>0</x:v>
      </x:c>
      <x:c r="G165" s="159" t="n">
        <x:f>A165*(A165+1)/2</x:f>
        <x:v>13041</x:v>
      </x:c>
      <x:c r="H165" s="159" t="n">
        <x:f>G165*100</x:f>
        <x:v>1304100</x:v>
      </x:c>
      <x:c r="I165" s="103" t="str">
        <x:v>100%成功；材料明显缺口，不纳入回收产出</x:v>
      </x:c>
    </x:row>
    <x:row r="166">
      <x:c r="A166" s="101" t="n">
        <x:v>162</x:v>
      </x:c>
      <x:c r="B166" s="102" t="str">
        <x:v>C06</x:v>
      </x:c>
      <x:c r="C166" s="102" t="str">
        <x:v>盖利德</x:v>
      </x:c>
      <x:c r="D166" s="159" t="n">
        <x:f>IF(A166&lt;=50,A166+9,IF(A166&lt;=100,A166*2-40,IF(A166&lt;=150,A166*3-140,IF(A166&lt;=200,A166*5-440,A166*8-1040))))</x:f>
        <x:v>370</x:v>
      </x:c>
      <x:c r="E166" s="159" t="n">
        <x:v>2000000000</x:v>
      </x:c>
      <x:c r="F166" s="159" t="n">
        <x:v>0</x:v>
      </x:c>
      <x:c r="G166" s="159" t="n">
        <x:f>A166*(A166+1)/2</x:f>
        <x:v>13203</x:v>
      </x:c>
      <x:c r="H166" s="159" t="n">
        <x:f>G166*100</x:f>
        <x:v>1320300</x:v>
      </x:c>
      <x:c r="I166" s="103" t="str">
        <x:v>100%成功；材料明显缺口，不纳入回收产出</x:v>
      </x:c>
    </x:row>
    <x:row r="167">
      <x:c r="A167" s="101" t="n">
        <x:v>163</x:v>
      </x:c>
      <x:c r="B167" s="102" t="str">
        <x:v>C06</x:v>
      </x:c>
      <x:c r="C167" s="102" t="str">
        <x:v>盖利德</x:v>
      </x:c>
      <x:c r="D167" s="159" t="n">
        <x:f>IF(A167&lt;=50,A167+9,IF(A167&lt;=100,A167*2-40,IF(A167&lt;=150,A167*3-140,IF(A167&lt;=200,A167*5-440,A167*8-1040))))</x:f>
        <x:v>375</x:v>
      </x:c>
      <x:c r="E167" s="159" t="n">
        <x:v>2000000000</x:v>
      </x:c>
      <x:c r="F167" s="159" t="n">
        <x:v>0</x:v>
      </x:c>
      <x:c r="G167" s="159" t="n">
        <x:f>A167*(A167+1)/2</x:f>
        <x:v>13366</x:v>
      </x:c>
      <x:c r="H167" s="159" t="n">
        <x:f>G167*100</x:f>
        <x:v>1336600</x:v>
      </x:c>
      <x:c r="I167" s="103" t="str">
        <x:v>100%成功；材料明显缺口，不纳入回收产出</x:v>
      </x:c>
    </x:row>
    <x:row r="168">
      <x:c r="A168" s="101" t="n">
        <x:v>164</x:v>
      </x:c>
      <x:c r="B168" s="102" t="str">
        <x:v>C06</x:v>
      </x:c>
      <x:c r="C168" s="102" t="str">
        <x:v>盖利德</x:v>
      </x:c>
      <x:c r="D168" s="159" t="n">
        <x:f>IF(A168&lt;=50,A168+9,IF(A168&lt;=100,A168*2-40,IF(A168&lt;=150,A168*3-140,IF(A168&lt;=200,A168*5-440,A168*8-1040))))</x:f>
        <x:v>380</x:v>
      </x:c>
      <x:c r="E168" s="159" t="n">
        <x:v>2100000000</x:v>
      </x:c>
      <x:c r="F168" s="159" t="n">
        <x:v>0</x:v>
      </x:c>
      <x:c r="G168" s="159" t="n">
        <x:f>A168*(A168+1)/2</x:f>
        <x:v>13530</x:v>
      </x:c>
      <x:c r="H168" s="159" t="n">
        <x:f>G168*100</x:f>
        <x:v>1353000</x:v>
      </x:c>
      <x:c r="I168" s="103" t="str">
        <x:v>100%成功；材料明显缺口，不纳入回收产出</x:v>
      </x:c>
    </x:row>
    <x:row r="169">
      <x:c r="A169" s="101" t="n">
        <x:v>165</x:v>
      </x:c>
      <x:c r="B169" s="102" t="str">
        <x:v>C06</x:v>
      </x:c>
      <x:c r="C169" s="102" t="str">
        <x:v>盖利德</x:v>
      </x:c>
      <x:c r="D169" s="159" t="n">
        <x:f>IF(A169&lt;=50,A169+9,IF(A169&lt;=100,A169*2-40,IF(A169&lt;=150,A169*3-140,IF(A169&lt;=200,A169*5-440,A169*8-1040))))</x:f>
        <x:v>385</x:v>
      </x:c>
      <x:c r="E169" s="159" t="n">
        <x:v>2100000000</x:v>
      </x:c>
      <x:c r="F169" s="159" t="n">
        <x:v>0</x:v>
      </x:c>
      <x:c r="G169" s="159" t="n">
        <x:f>A169*(A169+1)/2</x:f>
        <x:v>13695</x:v>
      </x:c>
      <x:c r="H169" s="159" t="n">
        <x:f>G169*100</x:f>
        <x:v>1369500</x:v>
      </x:c>
      <x:c r="I169" s="103" t="str">
        <x:v>100%成功；材料明显缺口，不纳入回收产出</x:v>
      </x:c>
    </x:row>
    <x:row r="170">
      <x:c r="A170" s="101" t="n">
        <x:v>166</x:v>
      </x:c>
      <x:c r="B170" s="102" t="str">
        <x:v>C06</x:v>
      </x:c>
      <x:c r="C170" s="102" t="str">
        <x:v>盖利德</x:v>
      </x:c>
      <x:c r="D170" s="159" t="n">
        <x:f>IF(A170&lt;=50,A170+9,IF(A170&lt;=100,A170*2-40,IF(A170&lt;=150,A170*3-140,IF(A170&lt;=200,A170*5-440,A170*8-1040))))</x:f>
        <x:v>390</x:v>
      </x:c>
      <x:c r="E170" s="159" t="n">
        <x:v>2200000000</x:v>
      </x:c>
      <x:c r="F170" s="159" t="n">
        <x:v>0</x:v>
      </x:c>
      <x:c r="G170" s="159" t="n">
        <x:f>A170*(A170+1)/2</x:f>
        <x:v>13861</x:v>
      </x:c>
      <x:c r="H170" s="159" t="n">
        <x:f>G170*100</x:f>
        <x:v>1386100</x:v>
      </x:c>
      <x:c r="I170" s="103" t="str">
        <x:v>100%成功；材料明显缺口，不纳入回收产出</x:v>
      </x:c>
    </x:row>
    <x:row r="171">
      <x:c r="A171" s="101" t="n">
        <x:v>167</x:v>
      </x:c>
      <x:c r="B171" s="102" t="str">
        <x:v>C06</x:v>
      </x:c>
      <x:c r="C171" s="102" t="str">
        <x:v>盖利德</x:v>
      </x:c>
      <x:c r="D171" s="159" t="n">
        <x:f>IF(A171&lt;=50,A171+9,IF(A171&lt;=100,A171*2-40,IF(A171&lt;=150,A171*3-140,IF(A171&lt;=200,A171*5-440,A171*8-1040))))</x:f>
        <x:v>395</x:v>
      </x:c>
      <x:c r="E171" s="159" t="n">
        <x:v>2300000000</x:v>
      </x:c>
      <x:c r="F171" s="159" t="n">
        <x:v>0</x:v>
      </x:c>
      <x:c r="G171" s="159" t="n">
        <x:f>A171*(A171+1)/2</x:f>
        <x:v>14028</x:v>
      </x:c>
      <x:c r="H171" s="159" t="n">
        <x:f>G171*100</x:f>
        <x:v>1402800</x:v>
      </x:c>
      <x:c r="I171" s="103" t="str">
        <x:v>100%成功；材料明显缺口，不纳入回收产出</x:v>
      </x:c>
    </x:row>
    <x:row r="172">
      <x:c r="A172" s="101" t="n">
        <x:v>168</x:v>
      </x:c>
      <x:c r="B172" s="102" t="str">
        <x:v>C06</x:v>
      </x:c>
      <x:c r="C172" s="102" t="str">
        <x:v>盖利德</x:v>
      </x:c>
      <x:c r="D172" s="159" t="n">
        <x:f>IF(A172&lt;=50,A172+9,IF(A172&lt;=100,A172*2-40,IF(A172&lt;=150,A172*3-140,IF(A172&lt;=200,A172*5-440,A172*8-1040))))</x:f>
        <x:v>400</x:v>
      </x:c>
      <x:c r="E172" s="159" t="n">
        <x:v>2300000000</x:v>
      </x:c>
      <x:c r="F172" s="159" t="n">
        <x:v>0</x:v>
      </x:c>
      <x:c r="G172" s="159" t="n">
        <x:f>A172*(A172+1)/2</x:f>
        <x:v>14196</x:v>
      </x:c>
      <x:c r="H172" s="159" t="n">
        <x:f>G172*100</x:f>
        <x:v>1419600</x:v>
      </x:c>
      <x:c r="I172" s="103" t="str">
        <x:v>100%成功；材料明显缺口，不纳入回收产出</x:v>
      </x:c>
    </x:row>
    <x:row r="173">
      <x:c r="A173" s="101" t="n">
        <x:v>169</x:v>
      </x:c>
      <x:c r="B173" s="102" t="str">
        <x:v>C06</x:v>
      </x:c>
      <x:c r="C173" s="102" t="str">
        <x:v>盖利德</x:v>
      </x:c>
      <x:c r="D173" s="159" t="n">
        <x:f>IF(A173&lt;=50,A173+9,IF(A173&lt;=100,A173*2-40,IF(A173&lt;=150,A173*3-140,IF(A173&lt;=200,A173*5-440,A173*8-1040))))</x:f>
        <x:v>405</x:v>
      </x:c>
      <x:c r="E173" s="159" t="n">
        <x:v>2400000000</x:v>
      </x:c>
      <x:c r="F173" s="159" t="n">
        <x:v>0</x:v>
      </x:c>
      <x:c r="G173" s="159" t="n">
        <x:f>A173*(A173+1)/2</x:f>
        <x:v>14365</x:v>
      </x:c>
      <x:c r="H173" s="159" t="n">
        <x:f>G173*100</x:f>
        <x:v>1436500</x:v>
      </x:c>
      <x:c r="I173" s="103" t="str">
        <x:v>100%成功；材料明显缺口，不纳入回收产出</x:v>
      </x:c>
    </x:row>
    <x:row r="174">
      <x:c r="A174" s="101" t="n">
        <x:v>170</x:v>
      </x:c>
      <x:c r="B174" s="102" t="str">
        <x:v>C06</x:v>
      </x:c>
      <x:c r="C174" s="102" t="str">
        <x:v>盖利德</x:v>
      </x:c>
      <x:c r="D174" s="159" t="n">
        <x:f>IF(A174&lt;=50,A174+9,IF(A174&lt;=100,A174*2-40,IF(A174&lt;=150,A174*3-140,IF(A174&lt;=200,A174*5-440,A174*8-1040))))</x:f>
        <x:v>410</x:v>
      </x:c>
      <x:c r="E174" s="159" t="n">
        <x:v>2400000000</x:v>
      </x:c>
      <x:c r="F174" s="159" t="n">
        <x:v>0</x:v>
      </x:c>
      <x:c r="G174" s="159" t="n">
        <x:f>A174*(A174+1)/2</x:f>
        <x:v>14535</x:v>
      </x:c>
      <x:c r="H174" s="159" t="n">
        <x:f>G174*100</x:f>
        <x:v>1453500</x:v>
      </x:c>
      <x:c r="I174" s="103" t="str">
        <x:v>100%成功；材料明显缺口，不纳入回收产出</x:v>
      </x:c>
    </x:row>
    <x:row r="175">
      <x:c r="A175" s="101" t="n">
        <x:v>171</x:v>
      </x:c>
      <x:c r="B175" s="102" t="str">
        <x:v>C07</x:v>
      </x:c>
      <x:c r="C175" s="102" t="str">
        <x:v>化圣雪原</x:v>
      </x:c>
      <x:c r="D175" s="159" t="n">
        <x:f>IF(A175&lt;=50,A175+9,IF(A175&lt;=100,A175*2-40,IF(A175&lt;=150,A175*3-140,IF(A175&lt;=200,A175*5-440,A175*8-1040))))</x:f>
        <x:v>415</x:v>
      </x:c>
      <x:c r="E175" s="159" t="n">
        <x:v>1600000000</x:v>
      </x:c>
      <x:c r="F175" s="159" t="n">
        <x:v>0</x:v>
      </x:c>
      <x:c r="G175" s="159" t="n">
        <x:f>A175*(A175+1)/2</x:f>
        <x:v>14706</x:v>
      </x:c>
      <x:c r="H175" s="159" t="n">
        <x:f>G175*100</x:f>
        <x:v>1470600</x:v>
      </x:c>
      <x:c r="I175" s="103" t="str">
        <x:v>100%成功；材料明显缺口，不纳入回收产出</x:v>
      </x:c>
    </x:row>
    <x:row r="176">
      <x:c r="A176" s="101" t="n">
        <x:v>172</x:v>
      </x:c>
      <x:c r="B176" s="102" t="str">
        <x:v>C07</x:v>
      </x:c>
      <x:c r="C176" s="102" t="str">
        <x:v>化圣雪原</x:v>
      </x:c>
      <x:c r="D176" s="159" t="n">
        <x:f>IF(A176&lt;=50,A176+9,IF(A176&lt;=100,A176*2-40,IF(A176&lt;=150,A176*3-140,IF(A176&lt;=200,A176*5-440,A176*8-1040))))</x:f>
        <x:v>420</x:v>
      </x:c>
      <x:c r="E176" s="159" t="n">
        <x:v>1800000000</x:v>
      </x:c>
      <x:c r="F176" s="159" t="n">
        <x:v>0</x:v>
      </x:c>
      <x:c r="G176" s="159" t="n">
        <x:f>A176*(A176+1)/2</x:f>
        <x:v>14878</x:v>
      </x:c>
      <x:c r="H176" s="159" t="n">
        <x:f>G176*100</x:f>
        <x:v>1487800</x:v>
      </x:c>
      <x:c r="I176" s="103" t="str">
        <x:v>100%成功；材料明显缺口，不纳入回收产出</x:v>
      </x:c>
    </x:row>
    <x:row r="177">
      <x:c r="A177" s="101" t="n">
        <x:v>173</x:v>
      </x:c>
      <x:c r="B177" s="102" t="str">
        <x:v>C07</x:v>
      </x:c>
      <x:c r="C177" s="102" t="str">
        <x:v>化圣雪原</x:v>
      </x:c>
      <x:c r="D177" s="159" t="n">
        <x:f>IF(A177&lt;=50,A177+9,IF(A177&lt;=100,A177*2-40,IF(A177&lt;=150,A177*3-140,IF(A177&lt;=200,A177*5-440,A177*8-1040))))</x:f>
        <x:v>425</x:v>
      </x:c>
      <x:c r="E177" s="159" t="n">
        <x:v>1900000000</x:v>
      </x:c>
      <x:c r="F177" s="159" t="n">
        <x:v>0</x:v>
      </x:c>
      <x:c r="G177" s="159" t="n">
        <x:f>A177*(A177+1)/2</x:f>
        <x:v>15051</x:v>
      </x:c>
      <x:c r="H177" s="159" t="n">
        <x:f>G177*100</x:f>
        <x:v>1505100</x:v>
      </x:c>
      <x:c r="I177" s="103" t="str">
        <x:v>100%成功；材料明显缺口，不纳入回收产出</x:v>
      </x:c>
    </x:row>
    <x:row r="178">
      <x:c r="A178" s="101" t="n">
        <x:v>174</x:v>
      </x:c>
      <x:c r="B178" s="102" t="str">
        <x:v>C07</x:v>
      </x:c>
      <x:c r="C178" s="102" t="str">
        <x:v>化圣雪原</x:v>
      </x:c>
      <x:c r="D178" s="159" t="n">
        <x:f>IF(A178&lt;=50,A178+9,IF(A178&lt;=100,A178*2-40,IF(A178&lt;=150,A178*3-140,IF(A178&lt;=200,A178*5-440,A178*8-1040))))</x:f>
        <x:v>430</x:v>
      </x:c>
      <x:c r="E178" s="159" t="n">
        <x:v>2000000000</x:v>
      </x:c>
      <x:c r="F178" s="159" t="n">
        <x:v>0</x:v>
      </x:c>
      <x:c r="G178" s="159" t="n">
        <x:f>A178*(A178+1)/2</x:f>
        <x:v>15225</x:v>
      </x:c>
      <x:c r="H178" s="159" t="n">
        <x:f>G178*100</x:f>
        <x:v>1522500</x:v>
      </x:c>
      <x:c r="I178" s="103" t="str">
        <x:v>100%成功；材料明显缺口，不纳入回收产出</x:v>
      </x:c>
    </x:row>
    <x:row r="179">
      <x:c r="A179" s="101" t="n">
        <x:v>175</x:v>
      </x:c>
      <x:c r="B179" s="102" t="str">
        <x:v>C07</x:v>
      </x:c>
      <x:c r="C179" s="102" t="str">
        <x:v>化圣雪原</x:v>
      </x:c>
      <x:c r="D179" s="159" t="n">
        <x:f>IF(A179&lt;=50,A179+9,IF(A179&lt;=100,A179*2-40,IF(A179&lt;=150,A179*3-140,IF(A179&lt;=200,A179*5-440,A179*8-1040))))</x:f>
        <x:v>435</x:v>
      </x:c>
      <x:c r="E179" s="159" t="n">
        <x:v>2200000000</x:v>
      </x:c>
      <x:c r="F179" s="159" t="n">
        <x:v>0</x:v>
      </x:c>
      <x:c r="G179" s="159" t="n">
        <x:f>A179*(A179+1)/2</x:f>
        <x:v>15400</x:v>
      </x:c>
      <x:c r="H179" s="159" t="n">
        <x:f>G179*100</x:f>
        <x:v>1540000</x:v>
      </x:c>
      <x:c r="I179" s="103" t="str">
        <x:v>100%成功；材料明显缺口，不纳入回收产出</x:v>
      </x:c>
    </x:row>
    <x:row r="180">
      <x:c r="A180" s="101" t="n">
        <x:v>176</x:v>
      </x:c>
      <x:c r="B180" s="102" t="str">
        <x:v>C07</x:v>
      </x:c>
      <x:c r="C180" s="102" t="str">
        <x:v>化圣雪原</x:v>
      </x:c>
      <x:c r="D180" s="159" t="n">
        <x:f>IF(A180&lt;=50,A180+9,IF(A180&lt;=100,A180*2-40,IF(A180&lt;=150,A180*3-140,IF(A180&lt;=200,A180*5-440,A180*8-1040))))</x:f>
        <x:v>440</x:v>
      </x:c>
      <x:c r="E180" s="159" t="n">
        <x:v>2300000000</x:v>
      </x:c>
      <x:c r="F180" s="159" t="n">
        <x:v>0</x:v>
      </x:c>
      <x:c r="G180" s="159" t="n">
        <x:f>A180*(A180+1)/2</x:f>
        <x:v>15576</x:v>
      </x:c>
      <x:c r="H180" s="159" t="n">
        <x:f>G180*100</x:f>
        <x:v>1557600</x:v>
      </x:c>
      <x:c r="I180" s="103" t="str">
        <x:v>100%成功；材料明显缺口，不纳入回收产出</x:v>
      </x:c>
    </x:row>
    <x:row r="181">
      <x:c r="A181" s="101" t="n">
        <x:v>177</x:v>
      </x:c>
      <x:c r="B181" s="102" t="str">
        <x:v>C07</x:v>
      </x:c>
      <x:c r="C181" s="102" t="str">
        <x:v>化圣雪原</x:v>
      </x:c>
      <x:c r="D181" s="159" t="n">
        <x:f>IF(A181&lt;=50,A181+9,IF(A181&lt;=100,A181*2-40,IF(A181&lt;=150,A181*3-140,IF(A181&lt;=200,A181*5-440,A181*8-1040))))</x:f>
        <x:v>445</x:v>
      </x:c>
      <x:c r="E181" s="159" t="n">
        <x:v>2500000000</x:v>
      </x:c>
      <x:c r="F181" s="159" t="n">
        <x:v>0</x:v>
      </x:c>
      <x:c r="G181" s="159" t="n">
        <x:f>A181*(A181+1)/2</x:f>
        <x:v>15753</x:v>
      </x:c>
      <x:c r="H181" s="159" t="n">
        <x:f>G181*100</x:f>
        <x:v>1575300</x:v>
      </x:c>
      <x:c r="I181" s="103" t="str">
        <x:v>100%成功；材料明显缺口，不纳入回收产出</x:v>
      </x:c>
    </x:row>
    <x:row r="182">
      <x:c r="A182" s="101" t="n">
        <x:v>178</x:v>
      </x:c>
      <x:c r="B182" s="102" t="str">
        <x:v>C07</x:v>
      </x:c>
      <x:c r="C182" s="102" t="str">
        <x:v>化圣雪原</x:v>
      </x:c>
      <x:c r="D182" s="159" t="n">
        <x:f>IF(A182&lt;=50,A182+9,IF(A182&lt;=100,A182*2-40,IF(A182&lt;=150,A182*3-140,IF(A182&lt;=200,A182*5-440,A182*8-1040))))</x:f>
        <x:v>450</x:v>
      </x:c>
      <x:c r="E182" s="159" t="n">
        <x:v>2600000000</x:v>
      </x:c>
      <x:c r="F182" s="159" t="n">
        <x:v>0</x:v>
      </x:c>
      <x:c r="G182" s="159" t="n">
        <x:f>A182*(A182+1)/2</x:f>
        <x:v>15931</x:v>
      </x:c>
      <x:c r="H182" s="159" t="n">
        <x:f>G182*100</x:f>
        <x:v>1593100</x:v>
      </x:c>
      <x:c r="I182" s="103" t="str">
        <x:v>100%成功；材料明显缺口，不纳入回收产出</x:v>
      </x:c>
    </x:row>
    <x:row r="183">
      <x:c r="A183" s="101" t="n">
        <x:v>179</x:v>
      </x:c>
      <x:c r="B183" s="102" t="str">
        <x:v>C07</x:v>
      </x:c>
      <x:c r="C183" s="102" t="str">
        <x:v>化圣雪原</x:v>
      </x:c>
      <x:c r="D183" s="159" t="n">
        <x:f>IF(A183&lt;=50,A183+9,IF(A183&lt;=100,A183*2-40,IF(A183&lt;=150,A183*3-140,IF(A183&lt;=200,A183*5-440,A183*8-1040))))</x:f>
        <x:v>455</x:v>
      </x:c>
      <x:c r="E183" s="159" t="n">
        <x:v>2700000000</x:v>
      </x:c>
      <x:c r="F183" s="159" t="n">
        <x:v>0</x:v>
      </x:c>
      <x:c r="G183" s="159" t="n">
        <x:f>A183*(A183+1)/2</x:f>
        <x:v>16110</x:v>
      </x:c>
      <x:c r="H183" s="159" t="n">
        <x:f>G183*100</x:f>
        <x:v>1611000</x:v>
      </x:c>
      <x:c r="I183" s="103" t="str">
        <x:v>100%成功；材料明显缺口，不纳入回收产出</x:v>
      </x:c>
    </x:row>
    <x:row r="184">
      <x:c r="A184" s="101" t="n">
        <x:v>180</x:v>
      </x:c>
      <x:c r="B184" s="102" t="str">
        <x:v>C07</x:v>
      </x:c>
      <x:c r="C184" s="102" t="str">
        <x:v>化圣雪原</x:v>
      </x:c>
      <x:c r="D184" s="159" t="n">
        <x:f>IF(A184&lt;=50,A184+9,IF(A184&lt;=100,A184*2-40,IF(A184&lt;=150,A184*3-140,IF(A184&lt;=200,A184*5-440,A184*8-1040))))</x:f>
        <x:v>460</x:v>
      </x:c>
      <x:c r="E184" s="159" t="n">
        <x:v>2900000000</x:v>
      </x:c>
      <x:c r="F184" s="159" t="n">
        <x:v>0</x:v>
      </x:c>
      <x:c r="G184" s="159" t="n">
        <x:f>A184*(A184+1)/2</x:f>
        <x:v>16290</x:v>
      </x:c>
      <x:c r="H184" s="159" t="n">
        <x:f>G184*100</x:f>
        <x:v>1629000</x:v>
      </x:c>
      <x:c r="I184" s="103" t="str">
        <x:v>100%成功；材料明显缺口，不纳入回收产出</x:v>
      </x:c>
    </x:row>
    <x:row r="185">
      <x:c r="A185" s="101" t="n">
        <x:v>181</x:v>
      </x:c>
      <x:c r="B185" s="102" t="str">
        <x:v>C07</x:v>
      </x:c>
      <x:c r="C185" s="102" t="str">
        <x:v>化圣雪原</x:v>
      </x:c>
      <x:c r="D185" s="159" t="n">
        <x:f>IF(A185&lt;=50,A185+9,IF(A185&lt;=100,A185*2-40,IF(A185&lt;=150,A185*3-140,IF(A185&lt;=200,A185*5-440,A185*8-1040))))</x:f>
        <x:v>465</x:v>
      </x:c>
      <x:c r="E185" s="159" t="n">
        <x:v>3000000000</x:v>
      </x:c>
      <x:c r="F185" s="159" t="n">
        <x:v>0</x:v>
      </x:c>
      <x:c r="G185" s="159" t="n">
        <x:f>A185*(A185+1)/2</x:f>
        <x:v>16471</x:v>
      </x:c>
      <x:c r="H185" s="159" t="n">
        <x:f>G185*100</x:f>
        <x:v>1647100</x:v>
      </x:c>
      <x:c r="I185" s="103" t="str">
        <x:v>100%成功；材料明显缺口，不纳入回收产出</x:v>
      </x:c>
    </x:row>
    <x:row r="186">
      <x:c r="A186" s="101" t="n">
        <x:v>182</x:v>
      </x:c>
      <x:c r="B186" s="102" t="str">
        <x:v>C07</x:v>
      </x:c>
      <x:c r="C186" s="102" t="str">
        <x:v>化圣雪原</x:v>
      </x:c>
      <x:c r="D186" s="159" t="n">
        <x:f>IF(A186&lt;=50,A186+9,IF(A186&lt;=100,A186*2-40,IF(A186&lt;=150,A186*3-140,IF(A186&lt;=200,A186*5-440,A186*8-1040))))</x:f>
        <x:v>470</x:v>
      </x:c>
      <x:c r="E186" s="159" t="n">
        <x:v>3100000000</x:v>
      </x:c>
      <x:c r="F186" s="159" t="n">
        <x:v>0</x:v>
      </x:c>
      <x:c r="G186" s="159" t="n">
        <x:f>A186*(A186+1)/2</x:f>
        <x:v>16653</x:v>
      </x:c>
      <x:c r="H186" s="159" t="n">
        <x:f>G186*100</x:f>
        <x:v>1665300</x:v>
      </x:c>
      <x:c r="I186" s="103" t="str">
        <x:v>100%成功；材料明显缺口，不纳入回收产出</x:v>
      </x:c>
    </x:row>
    <x:row r="187">
      <x:c r="A187" s="101" t="n">
        <x:v>183</x:v>
      </x:c>
      <x:c r="B187" s="102" t="str">
        <x:v>C07</x:v>
      </x:c>
      <x:c r="C187" s="102" t="str">
        <x:v>化圣雪原</x:v>
      </x:c>
      <x:c r="D187" s="159" t="n">
        <x:f>IF(A187&lt;=50,A187+9,IF(A187&lt;=100,A187*2-40,IF(A187&lt;=150,A187*3-140,IF(A187&lt;=200,A187*5-440,A187*8-1040))))</x:f>
        <x:v>475</x:v>
      </x:c>
      <x:c r="E187" s="159" t="n">
        <x:v>3300000000</x:v>
      </x:c>
      <x:c r="F187" s="159" t="n">
        <x:v>0</x:v>
      </x:c>
      <x:c r="G187" s="159" t="n">
        <x:f>A187*(A187+1)/2</x:f>
        <x:v>16836</x:v>
      </x:c>
      <x:c r="H187" s="159" t="n">
        <x:f>G187*100</x:f>
        <x:v>1683600</x:v>
      </x:c>
      <x:c r="I187" s="103" t="str">
        <x:v>100%成功；材料明显缺口，不纳入回收产出</x:v>
      </x:c>
    </x:row>
    <x:row r="188">
      <x:c r="A188" s="101" t="n">
        <x:v>184</x:v>
      </x:c>
      <x:c r="B188" s="102" t="str">
        <x:v>C07</x:v>
      </x:c>
      <x:c r="C188" s="102" t="str">
        <x:v>化圣雪原</x:v>
      </x:c>
      <x:c r="D188" s="159" t="n">
        <x:f>IF(A188&lt;=50,A188+9,IF(A188&lt;=100,A188*2-40,IF(A188&lt;=150,A188*3-140,IF(A188&lt;=200,A188*5-440,A188*8-1040))))</x:f>
        <x:v>480</x:v>
      </x:c>
      <x:c r="E188" s="159" t="n">
        <x:v>3400000000</x:v>
      </x:c>
      <x:c r="F188" s="159" t="n">
        <x:v>0</x:v>
      </x:c>
      <x:c r="G188" s="159" t="n">
        <x:f>A188*(A188+1)/2</x:f>
        <x:v>17020</x:v>
      </x:c>
      <x:c r="H188" s="159" t="n">
        <x:f>G188*100</x:f>
        <x:v>1702000</x:v>
      </x:c>
      <x:c r="I188" s="103" t="str">
        <x:v>100%成功；材料明显缺口，不纳入回收产出</x:v>
      </x:c>
    </x:row>
    <x:row r="189">
      <x:c r="A189" s="101" t="n">
        <x:v>185</x:v>
      </x:c>
      <x:c r="B189" s="102" t="str">
        <x:v>C07</x:v>
      </x:c>
      <x:c r="C189" s="102" t="str">
        <x:v>化圣雪原</x:v>
      </x:c>
      <x:c r="D189" s="159" t="n">
        <x:f>IF(A189&lt;=50,A189+9,IF(A189&lt;=100,A189*2-40,IF(A189&lt;=150,A189*3-140,IF(A189&lt;=200,A189*5-440,A189*8-1040))))</x:f>
        <x:v>485</x:v>
      </x:c>
      <x:c r="E189" s="159" t="n">
        <x:v>3500000000</x:v>
      </x:c>
      <x:c r="F189" s="159" t="n">
        <x:v>0</x:v>
      </x:c>
      <x:c r="G189" s="159" t="n">
        <x:f>A189*(A189+1)/2</x:f>
        <x:v>17205</x:v>
      </x:c>
      <x:c r="H189" s="159" t="n">
        <x:f>G189*100</x:f>
        <x:v>1720500</x:v>
      </x:c>
      <x:c r="I189" s="103" t="str">
        <x:v>100%成功；材料明显缺口，不纳入回收产出</x:v>
      </x:c>
    </x:row>
    <x:row r="190">
      <x:c r="A190" s="101" t="n">
        <x:v>186</x:v>
      </x:c>
      <x:c r="B190" s="102" t="str">
        <x:v>C07</x:v>
      </x:c>
      <x:c r="C190" s="102" t="str">
        <x:v>化圣雪原</x:v>
      </x:c>
      <x:c r="D190" s="159" t="n">
        <x:f>IF(A190&lt;=50,A190+9,IF(A190&lt;=100,A190*2-40,IF(A190&lt;=150,A190*3-140,IF(A190&lt;=200,A190*5-440,A190*8-1040))))</x:f>
        <x:v>490</x:v>
      </x:c>
      <x:c r="E190" s="159" t="n">
        <x:v>3700000000</x:v>
      </x:c>
      <x:c r="F190" s="159" t="n">
        <x:v>0</x:v>
      </x:c>
      <x:c r="G190" s="159" t="n">
        <x:f>A190*(A190+1)/2</x:f>
        <x:v>17391</x:v>
      </x:c>
      <x:c r="H190" s="159" t="n">
        <x:f>G190*100</x:f>
        <x:v>1739100</x:v>
      </x:c>
      <x:c r="I190" s="103" t="str">
        <x:v>100%成功；材料明显缺口，不纳入回收产出</x:v>
      </x:c>
    </x:row>
    <x:row r="191">
      <x:c r="A191" s="101" t="n">
        <x:v>187</x:v>
      </x:c>
      <x:c r="B191" s="102" t="str">
        <x:v>C07</x:v>
      </x:c>
      <x:c r="C191" s="102" t="str">
        <x:v>化圣雪原</x:v>
      </x:c>
      <x:c r="D191" s="159" t="n">
        <x:f>IF(A191&lt;=50,A191+9,IF(A191&lt;=100,A191*2-40,IF(A191&lt;=150,A191*3-140,IF(A191&lt;=200,A191*5-440,A191*8-1040))))</x:f>
        <x:v>495</x:v>
      </x:c>
      <x:c r="E191" s="159" t="n">
        <x:v>3800000000</x:v>
      </x:c>
      <x:c r="F191" s="159" t="n">
        <x:v>0</x:v>
      </x:c>
      <x:c r="G191" s="159" t="n">
        <x:f>A191*(A191+1)/2</x:f>
        <x:v>17578</x:v>
      </x:c>
      <x:c r="H191" s="159" t="n">
        <x:f>G191*100</x:f>
        <x:v>1757800</x:v>
      </x:c>
      <x:c r="I191" s="103" t="str">
        <x:v>100%成功；材料明显缺口，不纳入回收产出</x:v>
      </x:c>
    </x:row>
    <x:row r="192">
      <x:c r="A192" s="101" t="n">
        <x:v>188</x:v>
      </x:c>
      <x:c r="B192" s="102" t="str">
        <x:v>C07</x:v>
      </x:c>
      <x:c r="C192" s="102" t="str">
        <x:v>化圣雪原</x:v>
      </x:c>
      <x:c r="D192" s="159" t="n">
        <x:f>IF(A192&lt;=50,A192+9,IF(A192&lt;=100,A192*2-40,IF(A192&lt;=150,A192*3-140,IF(A192&lt;=200,A192*5-440,A192*8-1040))))</x:f>
        <x:v>500</x:v>
      </x:c>
      <x:c r="E192" s="159" t="n">
        <x:v>4000000000</x:v>
      </x:c>
      <x:c r="F192" s="159" t="n">
        <x:v>0</x:v>
      </x:c>
      <x:c r="G192" s="159" t="n">
        <x:f>A192*(A192+1)/2</x:f>
        <x:v>17766</x:v>
      </x:c>
      <x:c r="H192" s="159" t="n">
        <x:f>G192*100</x:f>
        <x:v>1776600</x:v>
      </x:c>
      <x:c r="I192" s="103" t="str">
        <x:v>100%成功；材料明显缺口，不纳入回收产出</x:v>
      </x:c>
    </x:row>
    <x:row r="193">
      <x:c r="A193" s="101" t="n">
        <x:v>189</x:v>
      </x:c>
      <x:c r="B193" s="102" t="str">
        <x:v>C07</x:v>
      </x:c>
      <x:c r="C193" s="102" t="str">
        <x:v>化圣雪原</x:v>
      </x:c>
      <x:c r="D193" s="159" t="n">
        <x:f>IF(A193&lt;=50,A193+9,IF(A193&lt;=100,A193*2-40,IF(A193&lt;=150,A193*3-140,IF(A193&lt;=200,A193*5-440,A193*8-1040))))</x:f>
        <x:v>505</x:v>
      </x:c>
      <x:c r="E193" s="159" t="n">
        <x:v>4100000000</x:v>
      </x:c>
      <x:c r="F193" s="159" t="n">
        <x:v>0</x:v>
      </x:c>
      <x:c r="G193" s="159" t="n">
        <x:f>A193*(A193+1)/2</x:f>
        <x:v>17955</x:v>
      </x:c>
      <x:c r="H193" s="159" t="n">
        <x:f>G193*100</x:f>
        <x:v>1795500</x:v>
      </x:c>
      <x:c r="I193" s="103" t="str">
        <x:v>100%成功；材料明显缺口，不纳入回收产出</x:v>
      </x:c>
    </x:row>
    <x:row r="194">
      <x:c r="A194" s="101" t="n">
        <x:v>190</x:v>
      </x:c>
      <x:c r="B194" s="102" t="str">
        <x:v>C07</x:v>
      </x:c>
      <x:c r="C194" s="102" t="str">
        <x:v>化圣雪原</x:v>
      </x:c>
      <x:c r="D194" s="159" t="n">
        <x:f>IF(A194&lt;=50,A194+9,IF(A194&lt;=100,A194*2-40,IF(A194&lt;=150,A194*3-140,IF(A194&lt;=200,A194*5-440,A194*8-1040))))</x:f>
        <x:v>510</x:v>
      </x:c>
      <x:c r="E194" s="159" t="n">
        <x:v>4200000000</x:v>
      </x:c>
      <x:c r="F194" s="159" t="n">
        <x:v>0</x:v>
      </x:c>
      <x:c r="G194" s="159" t="n">
        <x:f>A194*(A194+1)/2</x:f>
        <x:v>18145</x:v>
      </x:c>
      <x:c r="H194" s="159" t="n">
        <x:f>G194*100</x:f>
        <x:v>1814500</x:v>
      </x:c>
      <x:c r="I194" s="103" t="str">
        <x:v>100%成功；材料明显缺口，不纳入回收产出</x:v>
      </x:c>
    </x:row>
    <x:row r="195">
      <x:c r="A195" s="101" t="n">
        <x:v>191</x:v>
      </x:c>
      <x:c r="B195" s="102" t="str">
        <x:v>C07</x:v>
      </x:c>
      <x:c r="C195" s="102" t="str">
        <x:v>化圣雪原</x:v>
      </x:c>
      <x:c r="D195" s="159" t="n">
        <x:f>IF(A195&lt;=50,A195+9,IF(A195&lt;=100,A195*2-40,IF(A195&lt;=150,A195*3-140,IF(A195&lt;=200,A195*5-440,A195*8-1040))))</x:f>
        <x:v>515</x:v>
      </x:c>
      <x:c r="E195" s="159" t="n">
        <x:v>4400000000</x:v>
      </x:c>
      <x:c r="F195" s="159" t="n">
        <x:v>0</x:v>
      </x:c>
      <x:c r="G195" s="159" t="n">
        <x:f>A195*(A195+1)/2</x:f>
        <x:v>18336</x:v>
      </x:c>
      <x:c r="H195" s="159" t="n">
        <x:f>G195*100</x:f>
        <x:v>1833600</x:v>
      </x:c>
      <x:c r="I195" s="103" t="str">
        <x:v>100%成功；材料明显缺口，不纳入回收产出</x:v>
      </x:c>
    </x:row>
    <x:row r="196">
      <x:c r="A196" s="101" t="n">
        <x:v>192</x:v>
      </x:c>
      <x:c r="B196" s="102" t="str">
        <x:v>C07</x:v>
      </x:c>
      <x:c r="C196" s="102" t="str">
        <x:v>化圣雪原</x:v>
      </x:c>
      <x:c r="D196" s="159" t="n">
        <x:f>IF(A196&lt;=50,A196+9,IF(A196&lt;=100,A196*2-40,IF(A196&lt;=150,A196*3-140,IF(A196&lt;=200,A196*5-440,A196*8-1040))))</x:f>
        <x:v>520</x:v>
      </x:c>
      <x:c r="E196" s="159" t="n">
        <x:v>4500000000</x:v>
      </x:c>
      <x:c r="F196" s="159" t="n">
        <x:v>0</x:v>
      </x:c>
      <x:c r="G196" s="159" t="n">
        <x:f>A196*(A196+1)/2</x:f>
        <x:v>18528</x:v>
      </x:c>
      <x:c r="H196" s="159" t="n">
        <x:f>G196*100</x:f>
        <x:v>1852800</x:v>
      </x:c>
      <x:c r="I196" s="103" t="str">
        <x:v>100%成功；材料明显缺口，不纳入回收产出</x:v>
      </x:c>
    </x:row>
    <x:row r="197">
      <x:c r="A197" s="101" t="n">
        <x:v>193</x:v>
      </x:c>
      <x:c r="B197" s="102" t="str">
        <x:v>C07</x:v>
      </x:c>
      <x:c r="C197" s="102" t="str">
        <x:v>化圣雪原</x:v>
      </x:c>
      <x:c r="D197" s="159" t="n">
        <x:f>IF(A197&lt;=50,A197+9,IF(A197&lt;=100,A197*2-40,IF(A197&lt;=150,A197*3-140,IF(A197&lt;=200,A197*5-440,A197*8-1040))))</x:f>
        <x:v>525</x:v>
      </x:c>
      <x:c r="E197" s="159" t="n">
        <x:v>4600000000</x:v>
      </x:c>
      <x:c r="F197" s="159" t="n">
        <x:v>0</x:v>
      </x:c>
      <x:c r="G197" s="159" t="n">
        <x:f>A197*(A197+1)/2</x:f>
        <x:v>18721</x:v>
      </x:c>
      <x:c r="H197" s="159" t="n">
        <x:f>G197*100</x:f>
        <x:v>1872100</x:v>
      </x:c>
      <x:c r="I197" s="103" t="str">
        <x:v>100%成功；材料明显缺口，不纳入回收产出</x:v>
      </x:c>
    </x:row>
    <x:row r="198">
      <x:c r="A198" s="101" t="n">
        <x:v>194</x:v>
      </x:c>
      <x:c r="B198" s="102" t="str">
        <x:v>C07</x:v>
      </x:c>
      <x:c r="C198" s="102" t="str">
        <x:v>化圣雪原</x:v>
      </x:c>
      <x:c r="D198" s="159" t="n">
        <x:f>IF(A198&lt;=50,A198+9,IF(A198&lt;=100,A198*2-40,IF(A198&lt;=150,A198*3-140,IF(A198&lt;=200,A198*5-440,A198*8-1040))))</x:f>
        <x:v>530</x:v>
      </x:c>
      <x:c r="E198" s="159" t="n">
        <x:v>4800000000</x:v>
      </x:c>
      <x:c r="F198" s="159" t="n">
        <x:v>0</x:v>
      </x:c>
      <x:c r="G198" s="159" t="n">
        <x:f>A198*(A198+1)/2</x:f>
        <x:v>18915</x:v>
      </x:c>
      <x:c r="H198" s="159" t="n">
        <x:f>G198*100</x:f>
        <x:v>1891500</x:v>
      </x:c>
      <x:c r="I198" s="103" t="str">
        <x:v>100%成功；材料明显缺口，不纳入回收产出</x:v>
      </x:c>
    </x:row>
    <x:row r="199">
      <x:c r="A199" s="101" t="n">
        <x:v>195</x:v>
      </x:c>
      <x:c r="B199" s="102" t="str">
        <x:v>C07</x:v>
      </x:c>
      <x:c r="C199" s="102" t="str">
        <x:v>化圣雪原</x:v>
      </x:c>
      <x:c r="D199" s="159" t="n">
        <x:f>IF(A199&lt;=50,A199+9,IF(A199&lt;=100,A199*2-40,IF(A199&lt;=150,A199*3-140,IF(A199&lt;=200,A199*5-440,A199*8-1040))))</x:f>
        <x:v>535</x:v>
      </x:c>
      <x:c r="E199" s="159" t="n">
        <x:v>4900000000</x:v>
      </x:c>
      <x:c r="F199" s="159" t="n">
        <x:v>0</x:v>
      </x:c>
      <x:c r="G199" s="159" t="n">
        <x:f>A199*(A199+1)/2</x:f>
        <x:v>19110</x:v>
      </x:c>
      <x:c r="H199" s="159" t="n">
        <x:f>G199*100</x:f>
        <x:v>1911000</x:v>
      </x:c>
      <x:c r="I199" s="103" t="str">
        <x:v>100%成功；材料明显缺口，不纳入回收产出</x:v>
      </x:c>
    </x:row>
    <x:row r="200">
      <x:c r="A200" s="101" t="n">
        <x:v>196</x:v>
      </x:c>
      <x:c r="B200" s="102" t="str">
        <x:v>C08</x:v>
      </x:c>
      <x:c r="C200" s="102" t="str">
        <x:v>巨人山顶</x:v>
      </x:c>
      <x:c r="D200" s="159" t="n">
        <x:f>IF(A200&lt;=50,A200+9,IF(A200&lt;=100,A200*2-40,IF(A200&lt;=150,A200*3-140,IF(A200&lt;=200,A200*5-440,A200*8-1040))))</x:f>
        <x:v>540</x:v>
      </x:c>
      <x:c r="E200" s="159" t="n">
        <x:v>2000000000</x:v>
      </x:c>
      <x:c r="F200" s="159" t="n">
        <x:v>0</x:v>
      </x:c>
      <x:c r="G200" s="159" t="n">
        <x:f>A200*(A200+1)/2</x:f>
        <x:v>19306</x:v>
      </x:c>
      <x:c r="H200" s="159" t="n">
        <x:f>G200*100</x:f>
        <x:v>1930600</x:v>
      </x:c>
      <x:c r="I200" s="103" t="str">
        <x:v>100%成功；材料明显缺口，不纳入回收产出</x:v>
      </x:c>
    </x:row>
    <x:row r="201">
      <x:c r="A201" s="101" t="n">
        <x:v>197</x:v>
      </x:c>
      <x:c r="B201" s="102" t="str">
        <x:v>C08</x:v>
      </x:c>
      <x:c r="C201" s="102" t="str">
        <x:v>巨人山顶</x:v>
      </x:c>
      <x:c r="D201" s="159" t="n">
        <x:f>IF(A201&lt;=50,A201+9,IF(A201&lt;=100,A201*2-40,IF(A201&lt;=150,A201*3-140,IF(A201&lt;=200,A201*5-440,A201*8-1040))))</x:f>
        <x:v>545</x:v>
      </x:c>
      <x:c r="E201" s="159" t="n">
        <x:v>2100000000</x:v>
      </x:c>
      <x:c r="F201" s="159" t="n">
        <x:v>0</x:v>
      </x:c>
      <x:c r="G201" s="159" t="n">
        <x:f>A201*(A201+1)/2</x:f>
        <x:v>19503</x:v>
      </x:c>
      <x:c r="H201" s="159" t="n">
        <x:f>G201*100</x:f>
        <x:v>1950300</x:v>
      </x:c>
      <x:c r="I201" s="103" t="str">
        <x:v>100%成功；材料明显缺口，不纳入回收产出</x:v>
      </x:c>
    </x:row>
    <x:row r="202">
      <x:c r="A202" s="101" t="n">
        <x:v>198</x:v>
      </x:c>
      <x:c r="B202" s="102" t="str">
        <x:v>C08</x:v>
      </x:c>
      <x:c r="C202" s="102" t="str">
        <x:v>巨人山顶</x:v>
      </x:c>
      <x:c r="D202" s="159" t="n">
        <x:f>IF(A202&lt;=50,A202+9,IF(A202&lt;=100,A202*2-40,IF(A202&lt;=150,A202*3-140,IF(A202&lt;=200,A202*5-440,A202*8-1040))))</x:f>
        <x:v>550</x:v>
      </x:c>
      <x:c r="E202" s="159" t="n">
        <x:v>2300000000</x:v>
      </x:c>
      <x:c r="F202" s="159" t="n">
        <x:v>0</x:v>
      </x:c>
      <x:c r="G202" s="159" t="n">
        <x:f>A202*(A202+1)/2</x:f>
        <x:v>19701</x:v>
      </x:c>
      <x:c r="H202" s="159" t="n">
        <x:f>G202*100</x:f>
        <x:v>1970100</x:v>
      </x:c>
      <x:c r="I202" s="103" t="str">
        <x:v>100%成功；材料明显缺口，不纳入回收产出</x:v>
      </x:c>
    </x:row>
    <x:row r="203">
      <x:c r="A203" s="101" t="n">
        <x:v>199</x:v>
      </x:c>
      <x:c r="B203" s="102" t="str">
        <x:v>C08</x:v>
      </x:c>
      <x:c r="C203" s="102" t="str">
        <x:v>巨人山顶</x:v>
      </x:c>
      <x:c r="D203" s="159" t="n">
        <x:f>IF(A203&lt;=50,A203+9,IF(A203&lt;=100,A203*2-40,IF(A203&lt;=150,A203*3-140,IF(A203&lt;=200,A203*5-440,A203*8-1040))))</x:f>
        <x:v>555</x:v>
      </x:c>
      <x:c r="E203" s="159" t="n">
        <x:v>2500000000</x:v>
      </x:c>
      <x:c r="F203" s="159" t="n">
        <x:v>0</x:v>
      </x:c>
      <x:c r="G203" s="159" t="n">
        <x:f>A203*(A203+1)/2</x:f>
        <x:v>19900</x:v>
      </x:c>
      <x:c r="H203" s="159" t="n">
        <x:f>G203*100</x:f>
        <x:v>1990000</x:v>
      </x:c>
      <x:c r="I203" s="103" t="str">
        <x:v>100%成功；材料明显缺口，不纳入回收产出</x:v>
      </x:c>
    </x:row>
    <x:row r="204">
      <x:c r="A204" s="101" t="n">
        <x:v>200</x:v>
      </x:c>
      <x:c r="B204" s="102" t="str">
        <x:v>C08</x:v>
      </x:c>
      <x:c r="C204" s="102" t="str">
        <x:v>巨人山顶</x:v>
      </x:c>
      <x:c r="D204" s="159" t="n">
        <x:f>IF(A204&lt;=50,A204+9,IF(A204&lt;=100,A204*2-40,IF(A204&lt;=150,A204*3-140,IF(A204&lt;=200,A204*5-440,A204*8-1040))))</x:f>
        <x:v>560</x:v>
      </x:c>
      <x:c r="E204" s="159" t="n">
        <x:v>2600000000</x:v>
      </x:c>
      <x:c r="F204" s="159" t="n">
        <x:v>0</x:v>
      </x:c>
      <x:c r="G204" s="159" t="n">
        <x:f>A204*(A204+1)/2</x:f>
        <x:v>20100</x:v>
      </x:c>
      <x:c r="H204" s="159" t="n">
        <x:f>G204*100</x:f>
        <x:v>2010000</x:v>
      </x:c>
      <x:c r="I204" s="103" t="str">
        <x:v>100%成功；材料明显缺口，不纳入回收产出</x:v>
      </x:c>
    </x:row>
    <x:row r="205">
      <x:c r="A205" s="101" t="n">
        <x:v>201</x:v>
      </x:c>
      <x:c r="B205" s="102" t="str">
        <x:v>C08</x:v>
      </x:c>
      <x:c r="C205" s="102" t="str">
        <x:v>巨人山顶</x:v>
      </x:c>
      <x:c r="D205" s="159" t="n">
        <x:f>IF(A205&lt;=50,A205+9,IF(A205&lt;=100,A205*2-40,IF(A205&lt;=150,A205*3-140,IF(A205&lt;=200,A205*5-440,A205*8-1040))))</x:f>
        <x:v>568</x:v>
      </x:c>
      <x:c r="E205" s="159" t="n">
        <x:v>2800000000</x:v>
      </x:c>
      <x:c r="F205" s="159" t="n">
        <x:v>0</x:v>
      </x:c>
      <x:c r="G205" s="159" t="n">
        <x:f>A205*(A205+1)/2</x:f>
        <x:v>20301</x:v>
      </x:c>
      <x:c r="H205" s="159" t="n">
        <x:f>G205*100</x:f>
        <x:v>2030100</x:v>
      </x:c>
      <x:c r="I205" s="103" t="str">
        <x:v>100%成功；材料明显缺口，不纳入回收产出</x:v>
      </x:c>
    </x:row>
    <x:row r="206">
      <x:c r="A206" s="101" t="n">
        <x:v>202</x:v>
      </x:c>
      <x:c r="B206" s="102" t="str">
        <x:v>C08</x:v>
      </x:c>
      <x:c r="C206" s="102" t="str">
        <x:v>巨人山顶</x:v>
      </x:c>
      <x:c r="D206" s="159" t="n">
        <x:f>IF(A206&lt;=50,A206+9,IF(A206&lt;=100,A206*2-40,IF(A206&lt;=150,A206*3-140,IF(A206&lt;=200,A206*5-440,A206*8-1040))))</x:f>
        <x:v>576</x:v>
      </x:c>
      <x:c r="E206" s="159" t="n">
        <x:v>3000000000</x:v>
      </x:c>
      <x:c r="F206" s="159" t="n">
        <x:v>0</x:v>
      </x:c>
      <x:c r="G206" s="159" t="n">
        <x:f>A206*(A206+1)/2</x:f>
        <x:v>20503</x:v>
      </x:c>
      <x:c r="H206" s="159" t="n">
        <x:f>G206*100</x:f>
        <x:v>2050300</x:v>
      </x:c>
      <x:c r="I206" s="103" t="str">
        <x:v>100%成功；材料明显缺口，不纳入回收产出</x:v>
      </x:c>
    </x:row>
    <x:row r="207">
      <x:c r="A207" s="101" t="n">
        <x:v>203</x:v>
      </x:c>
      <x:c r="B207" s="102" t="str">
        <x:v>C08</x:v>
      </x:c>
      <x:c r="C207" s="102" t="str">
        <x:v>巨人山顶</x:v>
      </x:c>
      <x:c r="D207" s="159" t="n">
        <x:f>IF(A207&lt;=50,A207+9,IF(A207&lt;=100,A207*2-40,IF(A207&lt;=150,A207*3-140,IF(A207&lt;=200,A207*5-440,A207*8-1040))))</x:f>
        <x:v>584</x:v>
      </x:c>
      <x:c r="E207" s="159" t="n">
        <x:v>3100000000</x:v>
      </x:c>
      <x:c r="F207" s="159" t="n">
        <x:v>0</x:v>
      </x:c>
      <x:c r="G207" s="159" t="n">
        <x:f>A207*(A207+1)/2</x:f>
        <x:v>20706</x:v>
      </x:c>
      <x:c r="H207" s="159" t="n">
        <x:f>G207*100</x:f>
        <x:v>2070600</x:v>
      </x:c>
      <x:c r="I207" s="103" t="str">
        <x:v>100%成功；材料明显缺口，不纳入回收产出</x:v>
      </x:c>
    </x:row>
    <x:row r="208">
      <x:c r="A208" s="101" t="n">
        <x:v>204</x:v>
      </x:c>
      <x:c r="B208" s="102" t="str">
        <x:v>C08</x:v>
      </x:c>
      <x:c r="C208" s="102" t="str">
        <x:v>巨人山顶</x:v>
      </x:c>
      <x:c r="D208" s="159" t="n">
        <x:f>IF(A208&lt;=50,A208+9,IF(A208&lt;=100,A208*2-40,IF(A208&lt;=150,A208*3-140,IF(A208&lt;=200,A208*5-440,A208*8-1040))))</x:f>
        <x:v>592</x:v>
      </x:c>
      <x:c r="E208" s="159" t="n">
        <x:v>3300000000</x:v>
      </x:c>
      <x:c r="F208" s="159" t="n">
        <x:v>0</x:v>
      </x:c>
      <x:c r="G208" s="159" t="n">
        <x:f>A208*(A208+1)/2</x:f>
        <x:v>20910</x:v>
      </x:c>
      <x:c r="H208" s="159" t="n">
        <x:f>G208*100</x:f>
        <x:v>2091000</x:v>
      </x:c>
      <x:c r="I208" s="103" t="str">
        <x:v>100%成功；材料明显缺口，不纳入回收产出</x:v>
      </x:c>
    </x:row>
    <x:row r="209">
      <x:c r="A209" s="101" t="n">
        <x:v>205</x:v>
      </x:c>
      <x:c r="B209" s="102" t="str">
        <x:v>C08</x:v>
      </x:c>
      <x:c r="C209" s="102" t="str">
        <x:v>巨人山顶</x:v>
      </x:c>
      <x:c r="D209" s="159" t="n">
        <x:f>IF(A209&lt;=50,A209+9,IF(A209&lt;=100,A209*2-40,IF(A209&lt;=150,A209*3-140,IF(A209&lt;=200,A209*5-440,A209*8-1040))))</x:f>
        <x:v>600</x:v>
      </x:c>
      <x:c r="E209" s="159" t="n">
        <x:v>3500000000</x:v>
      </x:c>
      <x:c r="F209" s="159" t="n">
        <x:v>0</x:v>
      </x:c>
      <x:c r="G209" s="159" t="n">
        <x:f>A209*(A209+1)/2</x:f>
        <x:v>21115</x:v>
      </x:c>
      <x:c r="H209" s="159" t="n">
        <x:f>G209*100</x:f>
        <x:v>2111500</x:v>
      </x:c>
      <x:c r="I209" s="103" t="str">
        <x:v>100%成功；材料明显缺口，不纳入回收产出</x:v>
      </x:c>
    </x:row>
    <x:row r="210">
      <x:c r="A210" s="101" t="n">
        <x:v>206</x:v>
      </x:c>
      <x:c r="B210" s="102" t="str">
        <x:v>C08</x:v>
      </x:c>
      <x:c r="C210" s="102" t="str">
        <x:v>巨人山顶</x:v>
      </x:c>
      <x:c r="D210" s="159" t="n">
        <x:f>IF(A210&lt;=50,A210+9,IF(A210&lt;=100,A210*2-40,IF(A210&lt;=150,A210*3-140,IF(A210&lt;=200,A210*5-440,A210*8-1040))))</x:f>
        <x:v>608</x:v>
      </x:c>
      <x:c r="E210" s="159" t="n">
        <x:v>3600000000</x:v>
      </x:c>
      <x:c r="F210" s="159" t="n">
        <x:v>0</x:v>
      </x:c>
      <x:c r="G210" s="159" t="n">
        <x:f>A210*(A210+1)/2</x:f>
        <x:v>21321</x:v>
      </x:c>
      <x:c r="H210" s="159" t="n">
        <x:f>G210*100</x:f>
        <x:v>2132100</x:v>
      </x:c>
      <x:c r="I210" s="103" t="str">
        <x:v>100%成功；材料明显缺口，不纳入回收产出</x:v>
      </x:c>
    </x:row>
    <x:row r="211">
      <x:c r="A211" s="101" t="n">
        <x:v>207</x:v>
      </x:c>
      <x:c r="B211" s="102" t="str">
        <x:v>C08</x:v>
      </x:c>
      <x:c r="C211" s="102" t="str">
        <x:v>巨人山顶</x:v>
      </x:c>
      <x:c r="D211" s="159" t="n">
        <x:f>IF(A211&lt;=50,A211+9,IF(A211&lt;=100,A211*2-40,IF(A211&lt;=150,A211*3-140,IF(A211&lt;=200,A211*5-440,A211*8-1040))))</x:f>
        <x:v>616</x:v>
      </x:c>
      <x:c r="E211" s="159" t="n">
        <x:v>3800000000</x:v>
      </x:c>
      <x:c r="F211" s="159" t="n">
        <x:v>0</x:v>
      </x:c>
      <x:c r="G211" s="159" t="n">
        <x:f>A211*(A211+1)/2</x:f>
        <x:v>21528</x:v>
      </x:c>
      <x:c r="H211" s="159" t="n">
        <x:f>G211*100</x:f>
        <x:v>2152800</x:v>
      </x:c>
      <x:c r="I211" s="103" t="str">
        <x:v>100%成功；材料明显缺口，不纳入回收产出</x:v>
      </x:c>
    </x:row>
    <x:row r="212">
      <x:c r="A212" s="101" t="n">
        <x:v>208</x:v>
      </x:c>
      <x:c r="B212" s="102" t="str">
        <x:v>C08</x:v>
      </x:c>
      <x:c r="C212" s="102" t="str">
        <x:v>巨人山顶</x:v>
      </x:c>
      <x:c r="D212" s="159" t="n">
        <x:f>IF(A212&lt;=50,A212+9,IF(A212&lt;=100,A212*2-40,IF(A212&lt;=150,A212*3-140,IF(A212&lt;=200,A212*5-440,A212*8-1040))))</x:f>
        <x:v>624</x:v>
      </x:c>
      <x:c r="E212" s="159" t="n">
        <x:v>4000000000</x:v>
      </x:c>
      <x:c r="F212" s="159" t="n">
        <x:v>0</x:v>
      </x:c>
      <x:c r="G212" s="159" t="n">
        <x:f>A212*(A212+1)/2</x:f>
        <x:v>21736</x:v>
      </x:c>
      <x:c r="H212" s="159" t="n">
        <x:f>G212*100</x:f>
        <x:v>2173600</x:v>
      </x:c>
      <x:c r="I212" s="103" t="str">
        <x:v>100%成功；材料明显缺口，不纳入回收产出</x:v>
      </x:c>
    </x:row>
    <x:row r="213">
      <x:c r="A213" s="101" t="n">
        <x:v>209</x:v>
      </x:c>
      <x:c r="B213" s="102" t="str">
        <x:v>C08</x:v>
      </x:c>
      <x:c r="C213" s="102" t="str">
        <x:v>巨人山顶</x:v>
      </x:c>
      <x:c r="D213" s="159" t="n">
        <x:f>IF(A213&lt;=50,A213+9,IF(A213&lt;=100,A213*2-40,IF(A213&lt;=150,A213*3-140,IF(A213&lt;=200,A213*5-440,A213*8-1040))))</x:f>
        <x:v>632</x:v>
      </x:c>
      <x:c r="E213" s="159" t="n">
        <x:v>4100000000</x:v>
      </x:c>
      <x:c r="F213" s="159" t="n">
        <x:v>0</x:v>
      </x:c>
      <x:c r="G213" s="159" t="n">
        <x:f>A213*(A213+1)/2</x:f>
        <x:v>21945</x:v>
      </x:c>
      <x:c r="H213" s="159" t="n">
        <x:f>G213*100</x:f>
        <x:v>2194500</x:v>
      </x:c>
      <x:c r="I213" s="103" t="str">
        <x:v>100%成功；材料明显缺口，不纳入回收产出</x:v>
      </x:c>
    </x:row>
    <x:row r="214">
      <x:c r="A214" s="101" t="n">
        <x:v>210</x:v>
      </x:c>
      <x:c r="B214" s="102" t="str">
        <x:v>C08</x:v>
      </x:c>
      <x:c r="C214" s="102" t="str">
        <x:v>巨人山顶</x:v>
      </x:c>
      <x:c r="D214" s="159" t="n">
        <x:f>IF(A214&lt;=50,A214+9,IF(A214&lt;=100,A214*2-40,IF(A214&lt;=150,A214*3-140,IF(A214&lt;=200,A214*5-440,A214*8-1040))))</x:f>
        <x:v>640</x:v>
      </x:c>
      <x:c r="E214" s="159" t="n">
        <x:v>4300000000</x:v>
      </x:c>
      <x:c r="F214" s="159" t="n">
        <x:v>0</x:v>
      </x:c>
      <x:c r="G214" s="159" t="n">
        <x:f>A214*(A214+1)/2</x:f>
        <x:v>22155</x:v>
      </x:c>
      <x:c r="H214" s="159" t="n">
        <x:f>G214*100</x:f>
        <x:v>2215500</x:v>
      </x:c>
      <x:c r="I214" s="103" t="str">
        <x:v>100%成功；材料明显缺口，不纳入回收产出</x:v>
      </x:c>
    </x:row>
    <x:row r="215">
      <x:c r="A215" s="101" t="n">
        <x:v>211</x:v>
      </x:c>
      <x:c r="B215" s="102" t="str">
        <x:v>C08</x:v>
      </x:c>
      <x:c r="C215" s="102" t="str">
        <x:v>巨人山顶</x:v>
      </x:c>
      <x:c r="D215" s="159" t="n">
        <x:f>IF(A215&lt;=50,A215+9,IF(A215&lt;=100,A215*2-40,IF(A215&lt;=150,A215*3-140,IF(A215&lt;=200,A215*5-440,A215*8-1040))))</x:f>
        <x:v>648</x:v>
      </x:c>
      <x:c r="E215" s="159" t="n">
        <x:v>4500000000</x:v>
      </x:c>
      <x:c r="F215" s="159" t="n">
        <x:v>0</x:v>
      </x:c>
      <x:c r="G215" s="159" t="n">
        <x:f>A215*(A215+1)/2</x:f>
        <x:v>22366</x:v>
      </x:c>
      <x:c r="H215" s="159" t="n">
        <x:f>G215*100</x:f>
        <x:v>2236600</x:v>
      </x:c>
      <x:c r="I215" s="103" t="str">
        <x:v>100%成功；材料明显缺口，不纳入回收产出</x:v>
      </x:c>
    </x:row>
    <x:row r="216">
      <x:c r="A216" s="101" t="n">
        <x:v>212</x:v>
      </x:c>
      <x:c r="B216" s="102" t="str">
        <x:v>C08</x:v>
      </x:c>
      <x:c r="C216" s="102" t="str">
        <x:v>巨人山顶</x:v>
      </x:c>
      <x:c r="D216" s="159" t="n">
        <x:f>IF(A216&lt;=50,A216+9,IF(A216&lt;=100,A216*2-40,IF(A216&lt;=150,A216*3-140,IF(A216&lt;=200,A216*5-440,A216*8-1040))))</x:f>
        <x:v>656</x:v>
      </x:c>
      <x:c r="E216" s="159" t="n">
        <x:v>4600000000</x:v>
      </x:c>
      <x:c r="F216" s="159" t="n">
        <x:v>0</x:v>
      </x:c>
      <x:c r="G216" s="159" t="n">
        <x:f>A216*(A216+1)/2</x:f>
        <x:v>22578</x:v>
      </x:c>
      <x:c r="H216" s="159" t="n">
        <x:f>G216*100</x:f>
        <x:v>2257800</x:v>
      </x:c>
      <x:c r="I216" s="103" t="str">
        <x:v>100%成功；材料明显缺口，不纳入回收产出</x:v>
      </x:c>
    </x:row>
    <x:row r="217">
      <x:c r="A217" s="101" t="n">
        <x:v>213</x:v>
      </x:c>
      <x:c r="B217" s="102" t="str">
        <x:v>C08</x:v>
      </x:c>
      <x:c r="C217" s="102" t="str">
        <x:v>巨人山顶</x:v>
      </x:c>
      <x:c r="D217" s="159" t="n">
        <x:f>IF(A217&lt;=50,A217+9,IF(A217&lt;=100,A217*2-40,IF(A217&lt;=150,A217*3-140,IF(A217&lt;=200,A217*5-440,A217*8-1040))))</x:f>
        <x:v>664</x:v>
      </x:c>
      <x:c r="E217" s="159" t="n">
        <x:v>4800000000</x:v>
      </x:c>
      <x:c r="F217" s="159" t="n">
        <x:v>0</x:v>
      </x:c>
      <x:c r="G217" s="159" t="n">
        <x:f>A217*(A217+1)/2</x:f>
        <x:v>22791</x:v>
      </x:c>
      <x:c r="H217" s="159" t="n">
        <x:f>G217*100</x:f>
        <x:v>2279100</x:v>
      </x:c>
      <x:c r="I217" s="103" t="str">
        <x:v>100%成功；材料明显缺口，不纳入回收产出</x:v>
      </x:c>
    </x:row>
    <x:row r="218">
      <x:c r="A218" s="101" t="n">
        <x:v>214</x:v>
      </x:c>
      <x:c r="B218" s="102" t="str">
        <x:v>C08</x:v>
      </x:c>
      <x:c r="C218" s="102" t="str">
        <x:v>巨人山顶</x:v>
      </x:c>
      <x:c r="D218" s="159" t="n">
        <x:f>IF(A218&lt;=50,A218+9,IF(A218&lt;=100,A218*2-40,IF(A218&lt;=150,A218*3-140,IF(A218&lt;=200,A218*5-440,A218*8-1040))))</x:f>
        <x:v>672</x:v>
      </x:c>
      <x:c r="E218" s="159" t="n">
        <x:v>5000000000</x:v>
      </x:c>
      <x:c r="F218" s="159" t="n">
        <x:v>0</x:v>
      </x:c>
      <x:c r="G218" s="159" t="n">
        <x:f>A218*(A218+1)/2</x:f>
        <x:v>23005</x:v>
      </x:c>
      <x:c r="H218" s="159" t="n">
        <x:f>G218*100</x:f>
        <x:v>2300500</x:v>
      </x:c>
      <x:c r="I218" s="103" t="str">
        <x:v>100%成功；材料明显缺口，不纳入回收产出</x:v>
      </x:c>
    </x:row>
    <x:row r="219">
      <x:c r="A219" s="101" t="n">
        <x:v>215</x:v>
      </x:c>
      <x:c r="B219" s="102" t="str">
        <x:v>C08</x:v>
      </x:c>
      <x:c r="C219" s="102" t="str">
        <x:v>巨人山顶</x:v>
      </x:c>
      <x:c r="D219" s="159" t="n">
        <x:f>IF(A219&lt;=50,A219+9,IF(A219&lt;=100,A219*2-40,IF(A219&lt;=150,A219*3-140,IF(A219&lt;=200,A219*5-440,A219*8-1040))))</x:f>
        <x:v>680</x:v>
      </x:c>
      <x:c r="E219" s="159" t="n">
        <x:v>5100000000</x:v>
      </x:c>
      <x:c r="F219" s="159" t="n">
        <x:v>0</x:v>
      </x:c>
      <x:c r="G219" s="159" t="n">
        <x:f>A219*(A219+1)/2</x:f>
        <x:v>23220</x:v>
      </x:c>
      <x:c r="H219" s="159" t="n">
        <x:f>G219*100</x:f>
        <x:v>2322000</x:v>
      </x:c>
      <x:c r="I219" s="103" t="str">
        <x:v>100%成功；材料明显缺口，不纳入回收产出</x:v>
      </x:c>
    </x:row>
    <x:row r="220">
      <x:c r="A220" s="101" t="n">
        <x:v>216</x:v>
      </x:c>
      <x:c r="B220" s="102" t="str">
        <x:v>C08</x:v>
      </x:c>
      <x:c r="C220" s="102" t="str">
        <x:v>巨人山顶</x:v>
      </x:c>
      <x:c r="D220" s="159" t="n">
        <x:f>IF(A220&lt;=50,A220+9,IF(A220&lt;=100,A220*2-40,IF(A220&lt;=150,A220*3-140,IF(A220&lt;=200,A220*5-440,A220*8-1040))))</x:f>
        <x:v>688</x:v>
      </x:c>
      <x:c r="E220" s="159" t="n">
        <x:v>5300000000</x:v>
      </x:c>
      <x:c r="F220" s="159" t="n">
        <x:v>0</x:v>
      </x:c>
      <x:c r="G220" s="159" t="n">
        <x:f>A220*(A220+1)/2</x:f>
        <x:v>23436</x:v>
      </x:c>
      <x:c r="H220" s="159" t="n">
        <x:f>G220*100</x:f>
        <x:v>2343600</x:v>
      </x:c>
      <x:c r="I220" s="103" t="str">
        <x:v>100%成功；材料明显缺口，不纳入回收产出</x:v>
      </x:c>
    </x:row>
    <x:row r="221">
      <x:c r="A221" s="101" t="n">
        <x:v>217</x:v>
      </x:c>
      <x:c r="B221" s="102" t="str">
        <x:v>C08</x:v>
      </x:c>
      <x:c r="C221" s="102" t="str">
        <x:v>巨人山顶</x:v>
      </x:c>
      <x:c r="D221" s="159" t="n">
        <x:f>IF(A221&lt;=50,A221+9,IF(A221&lt;=100,A221*2-40,IF(A221&lt;=150,A221*3-140,IF(A221&lt;=200,A221*5-440,A221*8-1040))))</x:f>
        <x:v>696</x:v>
      </x:c>
      <x:c r="E221" s="159" t="n">
        <x:v>5400000000</x:v>
      </x:c>
      <x:c r="F221" s="159" t="n">
        <x:v>0</x:v>
      </x:c>
      <x:c r="G221" s="159" t="n">
        <x:f>A221*(A221+1)/2</x:f>
        <x:v>23653</x:v>
      </x:c>
      <x:c r="H221" s="159" t="n">
        <x:f>G221*100</x:f>
        <x:v>2365300</x:v>
      </x:c>
      <x:c r="I221" s="103" t="str">
        <x:v>100%成功；材料明显缺口，不纳入回收产出</x:v>
      </x:c>
    </x:row>
    <x:row r="222">
      <x:c r="A222" s="101" t="n">
        <x:v>218</x:v>
      </x:c>
      <x:c r="B222" s="102" t="str">
        <x:v>C08</x:v>
      </x:c>
      <x:c r="C222" s="102" t="str">
        <x:v>巨人山顶</x:v>
      </x:c>
      <x:c r="D222" s="159" t="n">
        <x:f>IF(A222&lt;=50,A222+9,IF(A222&lt;=100,A222*2-40,IF(A222&lt;=150,A222*3-140,IF(A222&lt;=200,A222*5-440,A222*8-1040))))</x:f>
        <x:v>704</x:v>
      </x:c>
      <x:c r="E222" s="159" t="n">
        <x:v>5600000000</x:v>
      </x:c>
      <x:c r="F222" s="159" t="n">
        <x:v>0</x:v>
      </x:c>
      <x:c r="G222" s="159" t="n">
        <x:f>A222*(A222+1)/2</x:f>
        <x:v>23871</x:v>
      </x:c>
      <x:c r="H222" s="159" t="n">
        <x:f>G222*100</x:f>
        <x:v>2387100</x:v>
      </x:c>
      <x:c r="I222" s="103" t="str">
        <x:v>100%成功；材料明显缺口，不纳入回收产出</x:v>
      </x:c>
    </x:row>
    <x:row r="223">
      <x:c r="A223" s="101" t="n">
        <x:v>219</x:v>
      </x:c>
      <x:c r="B223" s="102" t="str">
        <x:v>C08</x:v>
      </x:c>
      <x:c r="C223" s="102" t="str">
        <x:v>巨人山顶</x:v>
      </x:c>
      <x:c r="D223" s="159" t="n">
        <x:f>IF(A223&lt;=50,A223+9,IF(A223&lt;=100,A223*2-40,IF(A223&lt;=150,A223*3-140,IF(A223&lt;=200,A223*5-440,A223*8-1040))))</x:f>
        <x:v>712</x:v>
      </x:c>
      <x:c r="E223" s="159" t="n">
        <x:v>5800000000</x:v>
      </x:c>
      <x:c r="F223" s="159" t="n">
        <x:v>0</x:v>
      </x:c>
      <x:c r="G223" s="159" t="n">
        <x:f>A223*(A223+1)/2</x:f>
        <x:v>24090</x:v>
      </x:c>
      <x:c r="H223" s="159" t="n">
        <x:f>G223*100</x:f>
        <x:v>2409000</x:v>
      </x:c>
      <x:c r="I223" s="103" t="str">
        <x:v>100%成功；材料明显缺口，不纳入回收产出</x:v>
      </x:c>
    </x:row>
    <x:row r="224">
      <x:c r="A224" s="101" t="n">
        <x:v>220</x:v>
      </x:c>
      <x:c r="B224" s="102" t="str">
        <x:v>C08</x:v>
      </x:c>
      <x:c r="C224" s="102" t="str">
        <x:v>巨人山顶</x:v>
      </x:c>
      <x:c r="D224" s="159" t="n">
        <x:f>IF(A224&lt;=50,A224+9,IF(A224&lt;=100,A224*2-40,IF(A224&lt;=150,A224*3-140,IF(A224&lt;=200,A224*5-440,A224*8-1040))))</x:f>
        <x:v>720</x:v>
      </x:c>
      <x:c r="E224" s="159" t="n">
        <x:v>5900000000</x:v>
      </x:c>
      <x:c r="F224" s="159" t="n">
        <x:v>0</x:v>
      </x:c>
      <x:c r="G224" s="159" t="n">
        <x:f>A224*(A224+1)/2</x:f>
        <x:v>24310</x:v>
      </x:c>
      <x:c r="H224" s="159" t="n">
        <x:f>G224*100</x:f>
        <x:v>2431000</x:v>
      </x:c>
      <x:c r="I224" s="103" t="str">
        <x:v>100%成功；材料明显缺口，不纳入回收产出</x:v>
      </x:c>
    </x:row>
    <x:row r="225">
      <x:c r="A225" s="101" t="n">
        <x:v>221</x:v>
      </x:c>
      <x:c r="B225" s="102" t="str">
        <x:v>C09</x:v>
      </x:c>
      <x:c r="C225" s="102" t="str">
        <x:v>亚坛高原</x:v>
      </x:c>
      <x:c r="D225" s="159" t="n">
        <x:f>IF(A225&lt;=50,A225+9,IF(A225&lt;=100,A225*2-40,IF(A225&lt;=150,A225*3-140,IF(A225&lt;=200,A225*5-440,A225*8-1040))))</x:f>
        <x:v>728</x:v>
      </x:c>
      <x:c r="E225" s="159" t="n">
        <x:v>3900000000</x:v>
      </x:c>
      <x:c r="F225" s="159" t="n">
        <x:v>0</x:v>
      </x:c>
      <x:c r="G225" s="159" t="n">
        <x:f>A225*(A225+1)/2</x:f>
        <x:v>24531</x:v>
      </x:c>
      <x:c r="H225" s="159" t="n">
        <x:f>G225*100</x:f>
        <x:v>2453100</x:v>
      </x:c>
      <x:c r="I225" s="103" t="str">
        <x:v>100%成功；材料明显缺口，不纳入回收产出</x:v>
      </x:c>
    </x:row>
    <x:row r="226">
      <x:c r="A226" s="101" t="n">
        <x:v>222</x:v>
      </x:c>
      <x:c r="B226" s="102" t="str">
        <x:v>C09</x:v>
      </x:c>
      <x:c r="C226" s="102" t="str">
        <x:v>亚坛高原</x:v>
      </x:c>
      <x:c r="D226" s="159" t="n">
        <x:f>IF(A226&lt;=50,A226+9,IF(A226&lt;=100,A226*2-40,IF(A226&lt;=150,A226*3-140,IF(A226&lt;=200,A226*5-440,A226*8-1040))))</x:f>
        <x:v>736</x:v>
      </x:c>
      <x:c r="E226" s="159" t="n">
        <x:v>4300000000</x:v>
      </x:c>
      <x:c r="F226" s="159" t="n">
        <x:v>0</x:v>
      </x:c>
      <x:c r="G226" s="159" t="n">
        <x:f>A226*(A226+1)/2</x:f>
        <x:v>24753</x:v>
      </x:c>
      <x:c r="H226" s="159" t="n">
        <x:f>G226*100</x:f>
        <x:v>2475300</x:v>
      </x:c>
      <x:c r="I226" s="103" t="str">
        <x:v>100%成功；材料明显缺口，不纳入回收产出</x:v>
      </x:c>
    </x:row>
    <x:row r="227">
      <x:c r="A227" s="101" t="n">
        <x:v>223</x:v>
      </x:c>
      <x:c r="B227" s="102" t="str">
        <x:v>C09</x:v>
      </x:c>
      <x:c r="C227" s="102" t="str">
        <x:v>亚坛高原</x:v>
      </x:c>
      <x:c r="D227" s="159" t="n">
        <x:f>IF(A227&lt;=50,A227+9,IF(A227&lt;=100,A227*2-40,IF(A227&lt;=150,A227*3-140,IF(A227&lt;=200,A227*5-440,A227*8-1040))))</x:f>
        <x:v>744</x:v>
      </x:c>
      <x:c r="E227" s="159" t="n">
        <x:v>4700000000</x:v>
      </x:c>
      <x:c r="F227" s="159" t="n">
        <x:v>0</x:v>
      </x:c>
      <x:c r="G227" s="159" t="n">
        <x:f>A227*(A227+1)/2</x:f>
        <x:v>24976</x:v>
      </x:c>
      <x:c r="H227" s="159" t="n">
        <x:f>G227*100</x:f>
        <x:v>2497600</x:v>
      </x:c>
      <x:c r="I227" s="103" t="str">
        <x:v>100%成功；材料明显缺口，不纳入回收产出</x:v>
      </x:c>
    </x:row>
    <x:row r="228">
      <x:c r="A228" s="101" t="n">
        <x:v>224</x:v>
      </x:c>
      <x:c r="B228" s="102" t="str">
        <x:v>C09</x:v>
      </x:c>
      <x:c r="C228" s="102" t="str">
        <x:v>亚坛高原</x:v>
      </x:c>
      <x:c r="D228" s="159" t="n">
        <x:f>IF(A228&lt;=50,A228+9,IF(A228&lt;=100,A228*2-40,IF(A228&lt;=150,A228*3-140,IF(A228&lt;=200,A228*5-440,A228*8-1040))))</x:f>
        <x:v>752</x:v>
      </x:c>
      <x:c r="E228" s="159" t="n">
        <x:v>5100000000</x:v>
      </x:c>
      <x:c r="F228" s="159" t="n">
        <x:v>0</x:v>
      </x:c>
      <x:c r="G228" s="159" t="n">
        <x:f>A228*(A228+1)/2</x:f>
        <x:v>25200</x:v>
      </x:c>
      <x:c r="H228" s="159" t="n">
        <x:f>G228*100</x:f>
        <x:v>2520000</x:v>
      </x:c>
      <x:c r="I228" s="103" t="str">
        <x:v>100%成功；材料明显缺口，不纳入回收产出</x:v>
      </x:c>
    </x:row>
    <x:row r="229">
      <x:c r="A229" s="101" t="n">
        <x:v>225</x:v>
      </x:c>
      <x:c r="B229" s="102" t="str">
        <x:v>C09</x:v>
      </x:c>
      <x:c r="C229" s="102" t="str">
        <x:v>亚坛高原</x:v>
      </x:c>
      <x:c r="D229" s="159" t="n">
        <x:f>IF(A229&lt;=50,A229+9,IF(A229&lt;=100,A229*2-40,IF(A229&lt;=150,A229*3-140,IF(A229&lt;=200,A229*5-440,A229*8-1040))))</x:f>
        <x:v>760</x:v>
      </x:c>
      <x:c r="E229" s="159" t="n">
        <x:v>5500000000</x:v>
      </x:c>
      <x:c r="F229" s="159" t="n">
        <x:v>0</x:v>
      </x:c>
      <x:c r="G229" s="159" t="n">
        <x:f>A229*(A229+1)/2</x:f>
        <x:v>25425</x:v>
      </x:c>
      <x:c r="H229" s="159" t="n">
        <x:f>G229*100</x:f>
        <x:v>2542500</x:v>
      </x:c>
      <x:c r="I229" s="103" t="str">
        <x:v>100%成功；材料明显缺口，不纳入回收产出</x:v>
      </x:c>
    </x:row>
    <x:row r="230">
      <x:c r="A230" s="101" t="n">
        <x:v>226</x:v>
      </x:c>
      <x:c r="B230" s="102" t="str">
        <x:v>C09</x:v>
      </x:c>
      <x:c r="C230" s="102" t="str">
        <x:v>亚坛高原</x:v>
      </x:c>
      <x:c r="D230" s="159" t="n">
        <x:f>IF(A230&lt;=50,A230+9,IF(A230&lt;=100,A230*2-40,IF(A230&lt;=150,A230*3-140,IF(A230&lt;=200,A230*5-440,A230*8-1040))))</x:f>
        <x:v>768</x:v>
      </x:c>
      <x:c r="E230" s="159" t="n">
        <x:v>5900000000</x:v>
      </x:c>
      <x:c r="F230" s="159" t="n">
        <x:v>0</x:v>
      </x:c>
      <x:c r="G230" s="159" t="n">
        <x:f>A230*(A230+1)/2</x:f>
        <x:v>25651</x:v>
      </x:c>
      <x:c r="H230" s="159" t="n">
        <x:f>G230*100</x:f>
        <x:v>2565100</x:v>
      </x:c>
      <x:c r="I230" s="103" t="str">
        <x:v>100%成功；材料明显缺口，不纳入回收产出</x:v>
      </x:c>
    </x:row>
    <x:row r="231">
      <x:c r="A231" s="101" t="n">
        <x:v>227</x:v>
      </x:c>
      <x:c r="B231" s="102" t="str">
        <x:v>C09</x:v>
      </x:c>
      <x:c r="C231" s="102" t="str">
        <x:v>亚坛高原</x:v>
      </x:c>
      <x:c r="D231" s="159" t="n">
        <x:f>IF(A231&lt;=50,A231+9,IF(A231&lt;=100,A231*2-40,IF(A231&lt;=150,A231*3-140,IF(A231&lt;=200,A231*5-440,A231*8-1040))))</x:f>
        <x:v>776</x:v>
      </x:c>
      <x:c r="E231" s="159" t="n">
        <x:v>6300000000</x:v>
      </x:c>
      <x:c r="F231" s="159" t="n">
        <x:v>0</x:v>
      </x:c>
      <x:c r="G231" s="159" t="n">
        <x:f>A231*(A231+1)/2</x:f>
        <x:v>25878</x:v>
      </x:c>
      <x:c r="H231" s="159" t="n">
        <x:f>G231*100</x:f>
        <x:v>2587800</x:v>
      </x:c>
      <x:c r="I231" s="103" t="str">
        <x:v>100%成功；材料明显缺口，不纳入回收产出</x:v>
      </x:c>
    </x:row>
    <x:row r="232">
      <x:c r="A232" s="101" t="n">
        <x:v>228</x:v>
      </x:c>
      <x:c r="B232" s="102" t="str">
        <x:v>C09</x:v>
      </x:c>
      <x:c r="C232" s="102" t="str">
        <x:v>亚坛高原</x:v>
      </x:c>
      <x:c r="D232" s="159" t="n">
        <x:f>IF(A232&lt;=50,A232+9,IF(A232&lt;=100,A232*2-40,IF(A232&lt;=150,A232*3-140,IF(A232&lt;=200,A232*5-440,A232*8-1040))))</x:f>
        <x:v>784</x:v>
      </x:c>
      <x:c r="E232" s="159" t="n">
        <x:v>6700000000</x:v>
      </x:c>
      <x:c r="F232" s="159" t="n">
        <x:v>0</x:v>
      </x:c>
      <x:c r="G232" s="159" t="n">
        <x:f>A232*(A232+1)/2</x:f>
        <x:v>26106</x:v>
      </x:c>
      <x:c r="H232" s="159" t="n">
        <x:f>G232*100</x:f>
        <x:v>2610600</x:v>
      </x:c>
      <x:c r="I232" s="103" t="str">
        <x:v>100%成功；材料明显缺口，不纳入回收产出</x:v>
      </x:c>
    </x:row>
    <x:row r="233">
      <x:c r="A233" s="101" t="n">
        <x:v>229</x:v>
      </x:c>
      <x:c r="B233" s="102" t="str">
        <x:v>C09</x:v>
      </x:c>
      <x:c r="C233" s="102" t="str">
        <x:v>亚坛高原</x:v>
      </x:c>
      <x:c r="D233" s="159" t="n">
        <x:f>IF(A233&lt;=50,A233+9,IF(A233&lt;=100,A233*2-40,IF(A233&lt;=150,A233*3-140,IF(A233&lt;=200,A233*5-440,A233*8-1040))))</x:f>
        <x:v>792</x:v>
      </x:c>
      <x:c r="E233" s="159" t="n">
        <x:v>7100000000</x:v>
      </x:c>
      <x:c r="F233" s="159" t="n">
        <x:v>0</x:v>
      </x:c>
      <x:c r="G233" s="159" t="n">
        <x:f>A233*(A233+1)/2</x:f>
        <x:v>26335</x:v>
      </x:c>
      <x:c r="H233" s="159" t="n">
        <x:f>G233*100</x:f>
        <x:v>2633500</x:v>
      </x:c>
      <x:c r="I233" s="103" t="str">
        <x:v>100%成功；材料明显缺口，不纳入回收产出</x:v>
      </x:c>
    </x:row>
    <x:row r="234">
      <x:c r="A234" s="101" t="n">
        <x:v>230</x:v>
      </x:c>
      <x:c r="B234" s="102" t="str">
        <x:v>C09</x:v>
      </x:c>
      <x:c r="C234" s="102" t="str">
        <x:v>亚坛高原</x:v>
      </x:c>
      <x:c r="D234" s="159" t="n">
        <x:f>IF(A234&lt;=50,A234+9,IF(A234&lt;=100,A234*2-40,IF(A234&lt;=150,A234*3-140,IF(A234&lt;=200,A234*5-440,A234*8-1040))))</x:f>
        <x:v>800</x:v>
      </x:c>
      <x:c r="E234" s="159" t="n">
        <x:v>7500000000</x:v>
      </x:c>
      <x:c r="F234" s="159" t="n">
        <x:v>0</x:v>
      </x:c>
      <x:c r="G234" s="159" t="n">
        <x:f>A234*(A234+1)/2</x:f>
        <x:v>26565</x:v>
      </x:c>
      <x:c r="H234" s="159" t="n">
        <x:f>G234*100</x:f>
        <x:v>2656500</x:v>
      </x:c>
      <x:c r="I234" s="103" t="str">
        <x:v>100%成功；材料明显缺口，不纳入回收产出</x:v>
      </x:c>
    </x:row>
    <x:row r="235">
      <x:c r="A235" s="101" t="n">
        <x:v>231</x:v>
      </x:c>
      <x:c r="B235" s="102" t="str">
        <x:v>C09</x:v>
      </x:c>
      <x:c r="C235" s="102" t="str">
        <x:v>亚坛高原</x:v>
      </x:c>
      <x:c r="D235" s="159" t="n">
        <x:f>IF(A235&lt;=50,A235+9,IF(A235&lt;=100,A235*2-40,IF(A235&lt;=150,A235*3-140,IF(A235&lt;=200,A235*5-440,A235*8-1040))))</x:f>
        <x:v>808</x:v>
      </x:c>
      <x:c r="E235" s="159" t="n">
        <x:v>7900000000</x:v>
      </x:c>
      <x:c r="F235" s="159" t="n">
        <x:v>0</x:v>
      </x:c>
      <x:c r="G235" s="159" t="n">
        <x:f>A235*(A235+1)/2</x:f>
        <x:v>26796</x:v>
      </x:c>
      <x:c r="H235" s="159" t="n">
        <x:f>G235*100</x:f>
        <x:v>2679600</x:v>
      </x:c>
      <x:c r="I235" s="103" t="str">
        <x:v>100%成功；材料明显缺口，不纳入回收产出</x:v>
      </x:c>
    </x:row>
    <x:row r="236">
      <x:c r="A236" s="101" t="n">
        <x:v>232</x:v>
      </x:c>
      <x:c r="B236" s="102" t="str">
        <x:v>C09</x:v>
      </x:c>
      <x:c r="C236" s="102" t="str">
        <x:v>亚坛高原</x:v>
      </x:c>
      <x:c r="D236" s="159" t="n">
        <x:f>IF(A236&lt;=50,A236+9,IF(A236&lt;=100,A236*2-40,IF(A236&lt;=150,A236*3-140,IF(A236&lt;=200,A236*5-440,A236*8-1040))))</x:f>
        <x:v>816</x:v>
      </x:c>
      <x:c r="E236" s="159" t="n">
        <x:v>8300000000</x:v>
      </x:c>
      <x:c r="F236" s="159" t="n">
        <x:v>0</x:v>
      </x:c>
      <x:c r="G236" s="159" t="n">
        <x:f>A236*(A236+1)/2</x:f>
        <x:v>27028</x:v>
      </x:c>
      <x:c r="H236" s="159" t="n">
        <x:f>G236*100</x:f>
        <x:v>2702800</x:v>
      </x:c>
      <x:c r="I236" s="103" t="str">
        <x:v>100%成功；材料明显缺口，不纳入回收产出</x:v>
      </x:c>
    </x:row>
    <x:row r="237">
      <x:c r="A237" s="101" t="n">
        <x:v>233</x:v>
      </x:c>
      <x:c r="B237" s="102" t="str">
        <x:v>C09</x:v>
      </x:c>
      <x:c r="C237" s="102" t="str">
        <x:v>亚坛高原</x:v>
      </x:c>
      <x:c r="D237" s="159" t="n">
        <x:f>IF(A237&lt;=50,A237+9,IF(A237&lt;=100,A237*2-40,IF(A237&lt;=150,A237*3-140,IF(A237&lt;=200,A237*5-440,A237*8-1040))))</x:f>
        <x:v>824</x:v>
      </x:c>
      <x:c r="E237" s="159" t="n">
        <x:v>8700000000</x:v>
      </x:c>
      <x:c r="F237" s="159" t="n">
        <x:v>0</x:v>
      </x:c>
      <x:c r="G237" s="159" t="n">
        <x:f>A237*(A237+1)/2</x:f>
        <x:v>27261</x:v>
      </x:c>
      <x:c r="H237" s="159" t="n">
        <x:f>G237*100</x:f>
        <x:v>2726100</x:v>
      </x:c>
      <x:c r="I237" s="103" t="str">
        <x:v>100%成功；材料明显缺口，不纳入回收产出</x:v>
      </x:c>
    </x:row>
    <x:row r="238">
      <x:c r="A238" s="101" t="n">
        <x:v>234</x:v>
      </x:c>
      <x:c r="B238" s="102" t="str">
        <x:v>C09</x:v>
      </x:c>
      <x:c r="C238" s="102" t="str">
        <x:v>亚坛高原</x:v>
      </x:c>
      <x:c r="D238" s="159" t="n">
        <x:f>IF(A238&lt;=50,A238+9,IF(A238&lt;=100,A238*2-40,IF(A238&lt;=150,A238*3-140,IF(A238&lt;=200,A238*5-440,A238*8-1040))))</x:f>
        <x:v>832</x:v>
      </x:c>
      <x:c r="E238" s="159" t="n">
        <x:v>9100000000</x:v>
      </x:c>
      <x:c r="F238" s="159" t="n">
        <x:v>0</x:v>
      </x:c>
      <x:c r="G238" s="159" t="n">
        <x:f>A238*(A238+1)/2</x:f>
        <x:v>27495</x:v>
      </x:c>
      <x:c r="H238" s="159" t="n">
        <x:f>G238*100</x:f>
        <x:v>2749500</x:v>
      </x:c>
      <x:c r="I238" s="103" t="str">
        <x:v>100%成功；材料明显缺口，不纳入回收产出</x:v>
      </x:c>
    </x:row>
    <x:row r="239">
      <x:c r="A239" s="101" t="n">
        <x:v>235</x:v>
      </x:c>
      <x:c r="B239" s="102" t="str">
        <x:v>C09</x:v>
      </x:c>
      <x:c r="C239" s="102" t="str">
        <x:v>亚坛高原</x:v>
      </x:c>
      <x:c r="D239" s="159" t="n">
        <x:f>IF(A239&lt;=50,A239+9,IF(A239&lt;=100,A239*2-40,IF(A239&lt;=150,A239*3-140,IF(A239&lt;=200,A239*5-440,A239*8-1040))))</x:f>
        <x:v>840</x:v>
      </x:c>
      <x:c r="E239" s="159" t="n">
        <x:v>9500000000</x:v>
      </x:c>
      <x:c r="F239" s="159" t="n">
        <x:v>0</x:v>
      </x:c>
      <x:c r="G239" s="159" t="n">
        <x:f>A239*(A239+1)/2</x:f>
        <x:v>27730</x:v>
      </x:c>
      <x:c r="H239" s="159" t="n">
        <x:f>G239*100</x:f>
        <x:v>2773000</x:v>
      </x:c>
      <x:c r="I239" s="103" t="str">
        <x:v>100%成功；材料明显缺口，不纳入回收产出</x:v>
      </x:c>
    </x:row>
    <x:row r="240">
      <x:c r="A240" s="101" t="n">
        <x:v>236</x:v>
      </x:c>
      <x:c r="B240" s="102" t="str">
        <x:v>C09</x:v>
      </x:c>
      <x:c r="C240" s="102" t="str">
        <x:v>亚坛高原</x:v>
      </x:c>
      <x:c r="D240" s="159" t="n">
        <x:f>IF(A240&lt;=50,A240+9,IF(A240&lt;=100,A240*2-40,IF(A240&lt;=150,A240*3-140,IF(A240&lt;=200,A240*5-440,A240*8-1040))))</x:f>
        <x:v>848</x:v>
      </x:c>
      <x:c r="E240" s="159" t="n">
        <x:v>9900000000</x:v>
      </x:c>
      <x:c r="F240" s="159" t="n">
        <x:v>0</x:v>
      </x:c>
      <x:c r="G240" s="159" t="n">
        <x:f>A240*(A240+1)/2</x:f>
        <x:v>27966</x:v>
      </x:c>
      <x:c r="H240" s="159" t="n">
        <x:f>G240*100</x:f>
        <x:v>2796600</x:v>
      </x:c>
      <x:c r="I240" s="103" t="str">
        <x:v>100%成功；材料明显缺口，不纳入回收产出</x:v>
      </x:c>
    </x:row>
    <x:row r="241">
      <x:c r="A241" s="101" t="n">
        <x:v>237</x:v>
      </x:c>
      <x:c r="B241" s="102" t="str">
        <x:v>C09</x:v>
      </x:c>
      <x:c r="C241" s="102" t="str">
        <x:v>亚坛高原</x:v>
      </x:c>
      <x:c r="D241" s="159" t="n">
        <x:f>IF(A241&lt;=50,A241+9,IF(A241&lt;=100,A241*2-40,IF(A241&lt;=150,A241*3-140,IF(A241&lt;=200,A241*5-440,A241*8-1040))))</x:f>
        <x:v>856</x:v>
      </x:c>
      <x:c r="E241" s="159" t="n">
        <x:v>10500000000</x:v>
      </x:c>
      <x:c r="F241" s="159" t="n">
        <x:v>0</x:v>
      </x:c>
      <x:c r="G241" s="159" t="n">
        <x:f>A241*(A241+1)/2</x:f>
        <x:v>28203</x:v>
      </x:c>
      <x:c r="H241" s="159" t="n">
        <x:f>G241*100</x:f>
        <x:v>2820300</x:v>
      </x:c>
      <x:c r="I241" s="103" t="str">
        <x:v>100%成功；材料明显缺口，不纳入回收产出</x:v>
      </x:c>
    </x:row>
    <x:row r="242">
      <x:c r="A242" s="101" t="n">
        <x:v>238</x:v>
      </x:c>
      <x:c r="B242" s="102" t="str">
        <x:v>C09</x:v>
      </x:c>
      <x:c r="C242" s="102" t="str">
        <x:v>亚坛高原</x:v>
      </x:c>
      <x:c r="D242" s="159" t="n">
        <x:f>IF(A242&lt;=50,A242+9,IF(A242&lt;=100,A242*2-40,IF(A242&lt;=150,A242*3-140,IF(A242&lt;=200,A242*5-440,A242*8-1040))))</x:f>
        <x:v>864</x:v>
      </x:c>
      <x:c r="E242" s="159" t="n">
        <x:v>11000000000</x:v>
      </x:c>
      <x:c r="F242" s="159" t="n">
        <x:v>0</x:v>
      </x:c>
      <x:c r="G242" s="159" t="n">
        <x:f>A242*(A242+1)/2</x:f>
        <x:v>28441</x:v>
      </x:c>
      <x:c r="H242" s="159" t="n">
        <x:f>G242*100</x:f>
        <x:v>2844100</x:v>
      </x:c>
      <x:c r="I242" s="103" t="str">
        <x:v>100%成功；材料明显缺口，不纳入回收产出</x:v>
      </x:c>
    </x:row>
    <x:row r="243">
      <x:c r="A243" s="101" t="n">
        <x:v>239</x:v>
      </x:c>
      <x:c r="B243" s="102" t="str">
        <x:v>C09</x:v>
      </x:c>
      <x:c r="C243" s="102" t="str">
        <x:v>亚坛高原</x:v>
      </x:c>
      <x:c r="D243" s="159" t="n">
        <x:f>IF(A243&lt;=50,A243+9,IF(A243&lt;=100,A243*2-40,IF(A243&lt;=150,A243*3-140,IF(A243&lt;=200,A243*5-440,A243*8-1040))))</x:f>
        <x:v>872</x:v>
      </x:c>
      <x:c r="E243" s="159" t="n">
        <x:v>11000000000</x:v>
      </x:c>
      <x:c r="F243" s="159" t="n">
        <x:v>0</x:v>
      </x:c>
      <x:c r="G243" s="159" t="n">
        <x:f>A243*(A243+1)/2</x:f>
        <x:v>28680</x:v>
      </x:c>
      <x:c r="H243" s="159" t="n">
        <x:f>G243*100</x:f>
        <x:v>2868000</x:v>
      </x:c>
      <x:c r="I243" s="103" t="str">
        <x:v>100%成功；材料明显缺口，不纳入回收产出</x:v>
      </x:c>
    </x:row>
    <x:row r="244">
      <x:c r="A244" s="101" t="n">
        <x:v>240</x:v>
      </x:c>
      <x:c r="B244" s="102" t="str">
        <x:v>C09</x:v>
      </x:c>
      <x:c r="C244" s="102" t="str">
        <x:v>亚坛高原</x:v>
      </x:c>
      <x:c r="D244" s="159" t="n">
        <x:f>IF(A244&lt;=50,A244+9,IF(A244&lt;=100,A244*2-40,IF(A244&lt;=150,A244*3-140,IF(A244&lt;=200,A244*5-440,A244*8-1040))))</x:f>
        <x:v>880</x:v>
      </x:c>
      <x:c r="E244" s="159" t="n">
        <x:v>11500000000</x:v>
      </x:c>
      <x:c r="F244" s="159" t="n">
        <x:v>0</x:v>
      </x:c>
      <x:c r="G244" s="159" t="n">
        <x:f>A244*(A244+1)/2</x:f>
        <x:v>28920</x:v>
      </x:c>
      <x:c r="H244" s="159" t="n">
        <x:f>G244*100</x:f>
        <x:v>2892000</x:v>
      </x:c>
      <x:c r="I244" s="103" t="str">
        <x:v>100%成功；材料明显缺口，不纳入回收产出</x:v>
      </x:c>
    </x:row>
    <x:row r="245">
      <x:c r="A245" s="101" t="n">
        <x:v>241</x:v>
      </x:c>
      <x:c r="B245" s="102" t="str">
        <x:v>C10</x:v>
      </x:c>
      <x:c r="C245" s="102" t="str">
        <x:v>王城罗德尔</x:v>
      </x:c>
      <x:c r="D245" s="159" t="n">
        <x:f>IF(A245&lt;=50,A245+9,IF(A245&lt;=100,A245*2-40,IF(A245&lt;=150,A245*3-140,IF(A245&lt;=200,A245*5-440,A245*8-1040))))</x:f>
        <x:v>888</x:v>
      </x:c>
      <x:c r="E245" s="159" t="n">
        <x:v>6200000000</x:v>
      </x:c>
      <x:c r="F245" s="159" t="n">
        <x:v>0</x:v>
      </x:c>
      <x:c r="G245" s="159" t="n">
        <x:f>A245*(A245+1)/2</x:f>
        <x:v>29161</x:v>
      </x:c>
      <x:c r="H245" s="159" t="n">
        <x:f>G245*100</x:f>
        <x:v>2916100</x:v>
      </x:c>
      <x:c r="I245" s="103" t="str">
        <x:v>100%成功；材料明显缺口，不纳入回收产出</x:v>
      </x:c>
    </x:row>
    <x:row r="246">
      <x:c r="A246" s="101" t="n">
        <x:v>242</x:v>
      </x:c>
      <x:c r="B246" s="102" t="str">
        <x:v>C10</x:v>
      </x:c>
      <x:c r="C246" s="102" t="str">
        <x:v>王城罗德尔</x:v>
      </x:c>
      <x:c r="D246" s="159" t="n">
        <x:f>IF(A246&lt;=50,A246+9,IF(A246&lt;=100,A246*2-40,IF(A246&lt;=150,A246*3-140,IF(A246&lt;=200,A246*5-440,A246*8-1040))))</x:f>
        <x:v>896</x:v>
      </x:c>
      <x:c r="E246" s="159" t="n">
        <x:v>7100000000</x:v>
      </x:c>
      <x:c r="F246" s="159" t="n">
        <x:v>0</x:v>
      </x:c>
      <x:c r="G246" s="159" t="n">
        <x:f>A246*(A246+1)/2</x:f>
        <x:v>29403</x:v>
      </x:c>
      <x:c r="H246" s="159" t="n">
        <x:f>G246*100</x:f>
        <x:v>2940300</x:v>
      </x:c>
      <x:c r="I246" s="103" t="str">
        <x:v>100%成功；材料明显缺口，不纳入回收产出</x:v>
      </x:c>
    </x:row>
    <x:row r="247">
      <x:c r="A247" s="101" t="n">
        <x:v>243</x:v>
      </x:c>
      <x:c r="B247" s="102" t="str">
        <x:v>C10</x:v>
      </x:c>
      <x:c r="C247" s="102" t="str">
        <x:v>王城罗德尔</x:v>
      </x:c>
      <x:c r="D247" s="159" t="n">
        <x:f>IF(A247&lt;=50,A247+9,IF(A247&lt;=100,A247*2-40,IF(A247&lt;=150,A247*3-140,IF(A247&lt;=200,A247*5-440,A247*8-1040))))</x:f>
        <x:v>904</x:v>
      </x:c>
      <x:c r="E247" s="159" t="n">
        <x:v>8000000000</x:v>
      </x:c>
      <x:c r="F247" s="159" t="n">
        <x:v>0</x:v>
      </x:c>
      <x:c r="G247" s="159" t="n">
        <x:f>A247*(A247+1)/2</x:f>
        <x:v>29646</x:v>
      </x:c>
      <x:c r="H247" s="159" t="n">
        <x:f>G247*100</x:f>
        <x:v>2964600</x:v>
      </x:c>
      <x:c r="I247" s="103" t="str">
        <x:v>100%成功；材料明显缺口，不纳入回收产出</x:v>
      </x:c>
    </x:row>
    <x:row r="248">
      <x:c r="A248" s="101" t="n">
        <x:v>244</x:v>
      </x:c>
      <x:c r="B248" s="102" t="str">
        <x:v>C10</x:v>
      </x:c>
      <x:c r="C248" s="102" t="str">
        <x:v>王城罗德尔</x:v>
      </x:c>
      <x:c r="D248" s="159" t="n">
        <x:f>IF(A248&lt;=50,A248+9,IF(A248&lt;=100,A248*2-40,IF(A248&lt;=150,A248*3-140,IF(A248&lt;=200,A248*5-440,A248*8-1040))))</x:f>
        <x:v>912</x:v>
      </x:c>
      <x:c r="E248" s="159" t="n">
        <x:v>8800000000</x:v>
      </x:c>
      <x:c r="F248" s="159" t="n">
        <x:v>0</x:v>
      </x:c>
      <x:c r="G248" s="159" t="n">
        <x:f>A248*(A248+1)/2</x:f>
        <x:v>29890</x:v>
      </x:c>
      <x:c r="H248" s="159" t="n">
        <x:f>G248*100</x:f>
        <x:v>2989000</x:v>
      </x:c>
      <x:c r="I248" s="103" t="str">
        <x:v>100%成功；材料明显缺口，不纳入回收产出</x:v>
      </x:c>
    </x:row>
    <x:row r="249">
      <x:c r="A249" s="101" t="n">
        <x:v>245</x:v>
      </x:c>
      <x:c r="B249" s="102" t="str">
        <x:v>C10</x:v>
      </x:c>
      <x:c r="C249" s="102" t="str">
        <x:v>王城罗德尔</x:v>
      </x:c>
      <x:c r="D249" s="159" t="n">
        <x:f>IF(A249&lt;=50,A249+9,IF(A249&lt;=100,A249*2-40,IF(A249&lt;=150,A249*3-140,IF(A249&lt;=200,A249*5-440,A249*8-1040))))</x:f>
        <x:v>920</x:v>
      </x:c>
      <x:c r="E249" s="159" t="n">
        <x:v>9700000000</x:v>
      </x:c>
      <x:c r="F249" s="159" t="n">
        <x:v>0</x:v>
      </x:c>
      <x:c r="G249" s="159" t="n">
        <x:f>A249*(A249+1)/2</x:f>
        <x:v>30135</x:v>
      </x:c>
      <x:c r="H249" s="159" t="n">
        <x:f>G249*100</x:f>
        <x:v>3013500</x:v>
      </x:c>
      <x:c r="I249" s="103" t="str">
        <x:v>100%成功；材料明显缺口，不纳入回收产出</x:v>
      </x:c>
    </x:row>
    <x:row r="250">
      <x:c r="A250" s="101" t="n">
        <x:v>246</x:v>
      </x:c>
      <x:c r="B250" s="102" t="str">
        <x:v>C10</x:v>
      </x:c>
      <x:c r="C250" s="102" t="str">
        <x:v>王城罗德尔</x:v>
      </x:c>
      <x:c r="D250" s="159" t="n">
        <x:f>IF(A250&lt;=50,A250+9,IF(A250&lt;=100,A250*2-40,IF(A250&lt;=150,A250*3-140,IF(A250&lt;=200,A250*5-440,A250*8-1040))))</x:f>
        <x:v>928</x:v>
      </x:c>
      <x:c r="E250" s="159" t="n">
        <x:v>10500000000</x:v>
      </x:c>
      <x:c r="F250" s="159" t="n">
        <x:v>0</x:v>
      </x:c>
      <x:c r="G250" s="159" t="n">
        <x:f>A250*(A250+1)/2</x:f>
        <x:v>30381</x:v>
      </x:c>
      <x:c r="H250" s="159" t="n">
        <x:f>G250*100</x:f>
        <x:v>3038100</x:v>
      </x:c>
      <x:c r="I250" s="103" t="str">
        <x:v>100%成功；材料明显缺口，不纳入回收产出</x:v>
      </x:c>
    </x:row>
    <x:row r="251">
      <x:c r="A251" s="101" t="n">
        <x:v>247</x:v>
      </x:c>
      <x:c r="B251" s="102" t="str">
        <x:v>C10</x:v>
      </x:c>
      <x:c r="C251" s="102" t="str">
        <x:v>王城罗德尔</x:v>
      </x:c>
      <x:c r="D251" s="159" t="n">
        <x:f>IF(A251&lt;=50,A251+9,IF(A251&lt;=100,A251*2-40,IF(A251&lt;=150,A251*3-140,IF(A251&lt;=200,A251*5-440,A251*8-1040))))</x:f>
        <x:v>936</x:v>
      </x:c>
      <x:c r="E251" s="159" t="n">
        <x:v>11500000000</x:v>
      </x:c>
      <x:c r="F251" s="159" t="n">
        <x:v>0</x:v>
      </x:c>
      <x:c r="G251" s="159" t="n">
        <x:f>A251*(A251+1)/2</x:f>
        <x:v>30628</x:v>
      </x:c>
      <x:c r="H251" s="159" t="n">
        <x:f>G251*100</x:f>
        <x:v>3062800</x:v>
      </x:c>
      <x:c r="I251" s="103" t="str">
        <x:v>100%成功；材料明显缺口，不纳入回收产出</x:v>
      </x:c>
    </x:row>
    <x:row r="252">
      <x:c r="A252" s="101" t="n">
        <x:v>248</x:v>
      </x:c>
      <x:c r="B252" s="102" t="str">
        <x:v>C10</x:v>
      </x:c>
      <x:c r="C252" s="102" t="str">
        <x:v>王城罗德尔</x:v>
      </x:c>
      <x:c r="D252" s="159" t="n">
        <x:f>IF(A252&lt;=50,A252+9,IF(A252&lt;=100,A252*2-40,IF(A252&lt;=150,A252*3-140,IF(A252&lt;=200,A252*5-440,A252*8-1040))))</x:f>
        <x:v>944</x:v>
      </x:c>
      <x:c r="E252" s="159" t="n">
        <x:v>12500000000</x:v>
      </x:c>
      <x:c r="F252" s="159" t="n">
        <x:v>0</x:v>
      </x:c>
      <x:c r="G252" s="159" t="n">
        <x:f>A252*(A252+1)/2</x:f>
        <x:v>30876</x:v>
      </x:c>
      <x:c r="H252" s="159" t="n">
        <x:f>G252*100</x:f>
        <x:v>3087600</x:v>
      </x:c>
      <x:c r="I252" s="103" t="str">
        <x:v>100%成功；材料明显缺口，不纳入回收产出</x:v>
      </x:c>
    </x:row>
    <x:row r="253">
      <x:c r="A253" s="101" t="n">
        <x:v>249</x:v>
      </x:c>
      <x:c r="B253" s="102" t="str">
        <x:v>C10</x:v>
      </x:c>
      <x:c r="C253" s="102" t="str">
        <x:v>王城罗德尔</x:v>
      </x:c>
      <x:c r="D253" s="159" t="n">
        <x:f>IF(A253&lt;=50,A253+9,IF(A253&lt;=100,A253*2-40,IF(A253&lt;=150,A253*3-140,IF(A253&lt;=200,A253*5-440,A253*8-1040))))</x:f>
        <x:v>952</x:v>
      </x:c>
      <x:c r="E253" s="159" t="n">
        <x:v>13500000000</x:v>
      </x:c>
      <x:c r="F253" s="159" t="n">
        <x:v>0</x:v>
      </x:c>
      <x:c r="G253" s="159" t="n">
        <x:f>A253*(A253+1)/2</x:f>
        <x:v>31125</x:v>
      </x:c>
      <x:c r="H253" s="159" t="n">
        <x:f>G253*100</x:f>
        <x:v>3112500</x:v>
      </x:c>
      <x:c r="I253" s="103" t="str">
        <x:v>100%成功；材料明显缺口，不纳入回收产出</x:v>
      </x:c>
    </x:row>
    <x:row r="254">
      <x:c r="A254" s="101" t="n">
        <x:v>250</x:v>
      </x:c>
      <x:c r="B254" s="102" t="str">
        <x:v>C10</x:v>
      </x:c>
      <x:c r="C254" s="102" t="str">
        <x:v>王城罗德尔</x:v>
      </x:c>
      <x:c r="D254" s="159" t="n">
        <x:f>IF(A254&lt;=50,A254+9,IF(A254&lt;=100,A254*2-40,IF(A254&lt;=150,A254*3-140,IF(A254&lt;=200,A254*5-440,A254*8-1040))))</x:f>
        <x:v>960</x:v>
      </x:c>
      <x:c r="E254" s="159" t="n">
        <x:v>14000000000</x:v>
      </x:c>
      <x:c r="F254" s="159" t="n">
        <x:v>0</x:v>
      </x:c>
      <x:c r="G254" s="159" t="n">
        <x:f>A254*(A254+1)/2</x:f>
        <x:v>31375</x:v>
      </x:c>
      <x:c r="H254" s="159" t="n">
        <x:f>G254*100</x:f>
        <x:v>3137500</x:v>
      </x:c>
      <x:c r="I254" s="103" t="str">
        <x:v>100%成功；材料明显缺口，不纳入回收产出</x:v>
      </x:c>
    </x:row>
    <x:row r="255">
      <x:c r="A255" s="101" t="n">
        <x:v>251</x:v>
      </x:c>
      <x:c r="B255" s="102" t="str">
        <x:v>C10</x:v>
      </x:c>
      <x:c r="C255" s="102" t="str">
        <x:v>王城罗德尔</x:v>
      </x:c>
      <x:c r="D255" s="159" t="n">
        <x:f>IF(A255&lt;=50,A255+9,IF(A255&lt;=100,A255*2-40,IF(A255&lt;=150,A255*3-140,IF(A255&lt;=200,A255*5-440,A255*8-1040))))</x:f>
        <x:v>968</x:v>
      </x:c>
      <x:c r="E255" s="159" t="n">
        <x:v>15000000000</x:v>
      </x:c>
      <x:c r="F255" s="159" t="n">
        <x:v>0</x:v>
      </x:c>
      <x:c r="G255" s="159" t="n">
        <x:f>A255*(A255+1)/2</x:f>
        <x:v>31626</x:v>
      </x:c>
      <x:c r="H255" s="159" t="n">
        <x:f>G255*100</x:f>
        <x:v>3162600</x:v>
      </x:c>
      <x:c r="I255" s="103" t="str">
        <x:v>100%成功；材料明显缺口，不纳入回收产出</x:v>
      </x:c>
    </x:row>
    <x:row r="256">
      <x:c r="A256" s="101" t="n">
        <x:v>252</x:v>
      </x:c>
      <x:c r="B256" s="102" t="str">
        <x:v>C10</x:v>
      </x:c>
      <x:c r="C256" s="102" t="str">
        <x:v>王城罗德尔</x:v>
      </x:c>
      <x:c r="D256" s="159" t="n">
        <x:f>IF(A256&lt;=50,A256+9,IF(A256&lt;=100,A256*2-40,IF(A256&lt;=150,A256*3-140,IF(A256&lt;=200,A256*5-440,A256*8-1040))))</x:f>
        <x:v>976</x:v>
      </x:c>
      <x:c r="E256" s="159" t="n">
        <x:v>16000000000</x:v>
      </x:c>
      <x:c r="F256" s="159" t="n">
        <x:v>0</x:v>
      </x:c>
      <x:c r="G256" s="159" t="n">
        <x:f>A256*(A256+1)/2</x:f>
        <x:v>31878</x:v>
      </x:c>
      <x:c r="H256" s="159" t="n">
        <x:f>G256*100</x:f>
        <x:v>3187800</x:v>
      </x:c>
      <x:c r="I256" s="103" t="str">
        <x:v>100%成功；材料明显缺口，不纳入回收产出</x:v>
      </x:c>
    </x:row>
    <x:row r="257">
      <x:c r="A257" s="101" t="n">
        <x:v>253</x:v>
      </x:c>
      <x:c r="B257" s="102" t="str">
        <x:v>C10</x:v>
      </x:c>
      <x:c r="C257" s="102" t="str">
        <x:v>王城罗德尔</x:v>
      </x:c>
      <x:c r="D257" s="159" t="n">
        <x:f>IF(A257&lt;=50,A257+9,IF(A257&lt;=100,A257*2-40,IF(A257&lt;=150,A257*3-140,IF(A257&lt;=200,A257*5-440,A257*8-1040))))</x:f>
        <x:v>984</x:v>
      </x:c>
      <x:c r="E257" s="159" t="n">
        <x:v>17000000000</x:v>
      </x:c>
      <x:c r="F257" s="159" t="n">
        <x:v>0</x:v>
      </x:c>
      <x:c r="G257" s="159" t="n">
        <x:f>A257*(A257+1)/2</x:f>
        <x:v>32131</x:v>
      </x:c>
      <x:c r="H257" s="159" t="n">
        <x:f>G257*100</x:f>
        <x:v>3213100</x:v>
      </x:c>
      <x:c r="I257" s="103" t="str">
        <x:v>100%成功；材料明显缺口，不纳入回收产出</x:v>
      </x:c>
    </x:row>
    <x:row r="258">
      <x:c r="A258" s="101" t="n">
        <x:v>254</x:v>
      </x:c>
      <x:c r="B258" s="102" t="str">
        <x:v>C10</x:v>
      </x:c>
      <x:c r="C258" s="102" t="str">
        <x:v>王城罗德尔</x:v>
      </x:c>
      <x:c r="D258" s="159" t="n">
        <x:f>IF(A258&lt;=50,A258+9,IF(A258&lt;=100,A258*2-40,IF(A258&lt;=150,A258*3-140,IF(A258&lt;=200,A258*5-440,A258*8-1040))))</x:f>
        <x:v>992</x:v>
      </x:c>
      <x:c r="E258" s="159" t="n">
        <x:v>17500000000</x:v>
      </x:c>
      <x:c r="F258" s="159" t="n">
        <x:v>0</x:v>
      </x:c>
      <x:c r="G258" s="159" t="n">
        <x:f>A258*(A258+1)/2</x:f>
        <x:v>32385</x:v>
      </x:c>
      <x:c r="H258" s="159" t="n">
        <x:f>G258*100</x:f>
        <x:v>3238500</x:v>
      </x:c>
      <x:c r="I258" s="103" t="str">
        <x:v>100%成功；材料明显缺口，不纳入回收产出</x:v>
      </x:c>
    </x:row>
    <x:row r="259">
      <x:c r="A259" s="104" t="n">
        <x:v>255</x:v>
      </x:c>
      <x:c r="B259" s="105" t="str">
        <x:v>C10</x:v>
      </x:c>
      <x:c r="C259" s="105" t="str">
        <x:v>王城罗德尔</x:v>
      </x:c>
      <x:c r="D259" s="160" t="n">
        <x:f>IF(A259&lt;=50,A259+9,IF(A259&lt;=100,A259*2-40,IF(A259&lt;=150,A259*3-140,IF(A259&lt;=200,A259*5-440,A259*8-1040))))</x:f>
        <x:v>1000</x:v>
      </x:c>
      <x:c r="E259" s="160" t="n">
        <x:v>18500000000</x:v>
      </x:c>
      <x:c r="F259" s="160" t="n">
        <x:v>0</x:v>
      </x:c>
      <x:c r="G259" s="160" t="n">
        <x:f>A259*(A259+1)/2</x:f>
        <x:v>32640</x:v>
      </x:c>
      <x:c r="H259" s="160" t="n">
        <x:f>G259*100</x:f>
        <x:v>3264000</x:v>
      </x:c>
      <x:c r="I259" s="106" t="str">
        <x:v>100%成功；材料明显缺口，不纳入回收产出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2baf27e8c81407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60" hidden="0" customWidth="1"/>
  </x:cols>
  <x:sheetData>
    <x:row r="1">
      <x:c r="A1" s="5" t="str">
        <x:v>部署边界、技术修改要求与完整性校验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本页是上线前硬检查，不满足时不得直接覆盖正式服脚本。</x:v>
      </x:c>
      <x:c r="B2" s="14"/>
      <x:c r="C2" s="14"/>
      <x:c r="D2" s="14"/>
      <x:c r="E2" s="14"/>
      <x:c r="F2" s="14"/>
      <x:c r="G2" s="14"/>
      <x:c r="H2" s="14"/>
    </x:row>
    <x:row r="4">
      <x:c r="A4" s="63" t="str">
        <x:v>检查项</x:v>
      </x:c>
      <x:c r="B4" s="64" t="str">
        <x:v>当前结论</x:v>
      </x:c>
      <x:c r="C4" s="64" t="str">
        <x:v>是否阻断</x:v>
      </x:c>
      <x:c r="D4" s="65" t="str">
        <x:v>处理要求</x:v>
      </x:c>
    </x:row>
    <x:row r="5">
      <x:c r="A5" s="98" t="str">
        <x:v>货币回收增加</x:v>
      </x:c>
      <x:c r="B5" s="99" t="str">
        <x:v>角色总计50%，实际货币×1.5</x:v>
      </x:c>
      <x:c r="C5" s="99" t="str">
        <x:v>否</x:v>
      </x:c>
      <x:c r="D5" s="100" t="str">
        <x:v>不得理解为每件装备各50%</x:v>
      </x:c>
    </x:row>
    <x:row r="6">
      <x:c r="A6" s="101" t="str">
        <x:v>背包材料奖励</x:v>
      </x:c>
      <x:c r="B6" s="102" t="str">
        <x:v>引擎不支持材料回收增加，材料固定数量</x:v>
      </x:c>
      <x:c r="C6" s="102" t="str">
        <x:v>否</x:v>
      </x:c>
      <x:c r="D6" s="103" t="str">
        <x:v>按配置表基础数量直接发放</x:v>
      </x:c>
    </x:row>
    <x:row r="7">
      <x:c r="A7" s="101" t="str">
        <x:v>专属分解分类B</x:v>
      </x:c>
      <x:c r="B7" s="102" t="str">
        <x:v>可正常启用；失色锻造石不受50%加成</x:v>
      </x:c>
      <x:c r="C7" s="102" t="str">
        <x:v>否</x:v>
      </x:c>
      <x:c r="D7" s="103" t="str">
        <x:v>保持手动分解，不建议自动勾选</x:v>
      </x:c>
    </x:row>
    <x:row r="8">
      <x:c r="A8" s="101" t="str">
        <x:v>失色锻造石闭环</x:v>
      </x:c>
      <x:c r="B8" s="102" t="str">
        <x:v>最终失色闭环仍待561怪；当前数值尺度统一×10</x:v>
      </x:c>
      <x:c r="C8" s="102" t="str">
        <x:v>否</x:v>
      </x:c>
      <x:c r="D8" s="103" t="str">
        <x:v>按放大后的专属分解量和放大后的洗练/合成需求一起反算；原比例不变</x:v>
      </x:c>
    </x:row>
    <x:row r="9">
      <x:c r="A9" s="101" t="str">
        <x:v>高产材料自动回收</x:v>
      </x:c>
      <x:c r="B9" s="102" t="str">
        <x:v>不自动，只手动兑换</x:v>
      </x:c>
      <x:c r="C9" s="102" t="str">
        <x:v>否</x:v>
      </x:c>
      <x:c r="D9" s="103" t="str">
        <x:v>先满足NPC和交易库存，避免背包阈值误清空</x:v>
      </x:c>
    </x:row>
    <x:row r="10">
      <x:c r="A10" s="101" t="str">
        <x:v>稀缺材料回收</x:v>
      </x:c>
      <x:c r="B10" s="102" t="str">
        <x:v>允许但低价</x:v>
      </x:c>
      <x:c r="C10" s="102" t="str">
        <x:v>否</x:v>
      </x:c>
      <x:c r="D10" s="103" t="str">
        <x:v>默认不勾选；不计小时产出</x:v>
      </x:c>
    </x:row>
    <x:row r="11">
      <x:c r="A11" s="101" t="str">
        <x:v>称号卷/追梦/任务物</x:v>
      </x:c>
      <x:c r="B11" s="102" t="str">
        <x:v>允许高价值回收</x:v>
      </x:c>
      <x:c r="C11" s="102" t="str">
        <x:v>否</x:v>
      </x:c>
      <x:c r="D11" s="103" t="str">
        <x:v>默认不勾选；建议二次或三次确认</x:v>
      </x:c>
    </x:row>
    <x:row r="12">
      <x:c r="A12" s="101" t="str">
        <x:v>合成装备回收</x:v>
      </x:c>
      <x:c r="B12" s="102" t="str">
        <x:v>只返货币成本20%，不返材料</x:v>
      </x:c>
      <x:c r="C12" s="102" t="str">
        <x:v>否</x:v>
      </x:c>
      <x:c r="D12" s="103" t="str">
        <x:v>50%加成后实际约30%，不存在正向套利</x:v>
      </x:c>
    </x:row>
    <x:row r="13">
      <x:c r="A13" s="104" t="str">
        <x:v>守关称号卷名称</x:v>
      </x:c>
      <x:c r="B13" s="105" t="str">
        <x:v>数值已定，9个名称需与脚本逐字回读</x:v>
      </x:c>
      <x:c r="C13" s="105" t="str">
        <x:v>是（上线前）</x:v>
      </x:c>
      <x:c r="D13" s="106" t="str">
        <x:v>名称不一致时以现有称号卷脚本为准，不得模糊匹配</x:v>
      </x:c>
    </x:row>
    <x:row r="16">
      <x:c r="A16" s="63" t="str">
        <x:v>完整性项目</x:v>
      </x:c>
      <x:c r="B16" s="64" t="str">
        <x:v>数量</x:v>
      </x:c>
      <x:c r="C16" s="64" t="str">
        <x:v>期望</x:v>
      </x:c>
      <x:c r="D16" s="65" t="str">
        <x:v>结果</x:v>
      </x:c>
    </x:row>
    <x:row r="17">
      <x:c r="A17" s="98" t="str">
        <x:v>核心NPC配方</x:v>
      </x:c>
      <x:c r="B17" s="99" t="n">
        <x:v>74</x:v>
      </x:c>
      <x:c r="C17" s="99" t="n">
        <x:v>74</x:v>
      </x:c>
      <x:c r="D17" s="100" t="str">
        <x:v>通过</x:v>
      </x:c>
    </x:row>
    <x:row r="18">
      <x:c r="A18" s="101" t="str">
        <x:v>追加成长系统</x:v>
      </x:c>
      <x:c r="B18" s="102" t="n">
        <x:v>53</x:v>
      </x:c>
      <x:c r="C18" s="102" t="n">
        <x:v>53</x:v>
      </x:c>
      <x:c r="D18" s="103" t="str">
        <x:v>通过</x:v>
      </x:c>
    </x:row>
    <x:row r="19">
      <x:c r="A19" s="101" t="str">
        <x:v>神印档位</x:v>
      </x:c>
      <x:c r="B19" s="102" t="n">
        <x:v>255</x:v>
      </x:c>
      <x:c r="C19" s="102" t="n">
        <x:v>255</x:v>
      </x:c>
      <x:c r="D19" s="103" t="str">
        <x:v>通过</x:v>
      </x:c>
    </x:row>
    <x:row r="20">
      <x:c r="A20" s="101" t="str">
        <x:v>制式套装/装备</x:v>
      </x:c>
      <x:c r="B20" s="102" t="str">
        <x:v>20/160</x:v>
      </x:c>
      <x:c r="C20" s="102" t="str">
        <x:v>20/160</x:v>
      </x:c>
      <x:c r="D20" s="103" t="str">
        <x:v>通过</x:v>
      </x:c>
    </x:row>
    <x:row r="21">
      <x:c r="A21" s="101" t="str">
        <x:v>专属装备逐件</x:v>
      </x:c>
      <x:c r="B21" s="102" t="n">
        <x:v>563</x:v>
      </x:c>
      <x:c r="C21" s="102" t="n">
        <x:v>563</x:v>
      </x:c>
      <x:c r="D21" s="103" t="str">
        <x:v>通过</x:v>
      </x:c>
    </x:row>
    <x:row r="22">
      <x:c r="A22" s="101" t="str">
        <x:v>材料回收对象</x:v>
      </x:c>
      <x:c r="B22" s="102" t="n">
        <x:v>81</x:v>
      </x:c>
      <x:c r="C22" s="102" t="n">
        <x:v>81</x:v>
      </x:c>
      <x:c r="D22" s="103" t="str">
        <x:v>通过</x:v>
      </x:c>
    </x:row>
    <x:row r="23">
      <x:c r="A23" s="101" t="str">
        <x:v>任务/魂魄</x:v>
      </x:c>
      <x:c r="B23" s="102" t="n">
        <x:v>34</x:v>
      </x:c>
      <x:c r="C23" s="102" t="n">
        <x:v>34</x:v>
      </x:c>
      <x:c r="D23" s="103" t="str">
        <x:v>通过</x:v>
      </x:c>
    </x:row>
    <x:row r="24">
      <x:c r="A24" s="101" t="str">
        <x:v>称号卷</x:v>
      </x:c>
      <x:c r="B24" s="102" t="n">
        <x:v>25</x:v>
      </x:c>
      <x:c r="C24" s="102" t="n">
        <x:v>25</x:v>
      </x:c>
      <x:c r="D24" s="103" t="str">
        <x:v>通过</x:v>
      </x:c>
    </x:row>
    <x:row r="25">
      <x:c r="A25" s="101" t="str">
        <x:v>追梦神器</x:v>
      </x:c>
      <x:c r="B25" s="102" t="n">
        <x:v>6</x:v>
      </x:c>
      <x:c r="C25" s="102" t="n">
        <x:v>6</x:v>
      </x:c>
      <x:c r="D25" s="103" t="str">
        <x:v>通过</x:v>
      </x:c>
    </x:row>
    <x:row r="26">
      <x:c r="A26" s="101" t="str">
        <x:v>合成穿戴物</x:v>
      </x:c>
      <x:c r="B26" s="102" t="n">
        <x:v>38</x:v>
      </x:c>
      <x:c r="C26" s="102" t="n">
        <x:v>38</x:v>
      </x:c>
      <x:c r="D26" s="103" t="str">
        <x:v>通过</x:v>
      </x:c>
    </x:row>
    <x:row r="27">
      <x:c r="A27" s="101" t="str">
        <x:v>平台配置行</x:v>
      </x:c>
      <x:c r="B27" s="102" t="n">
        <x:v>233</x:v>
      </x:c>
      <x:c r="C27" s="102" t="n">
        <x:v>233</x:v>
      </x:c>
      <x:c r="D27" s="103" t="str">
        <x:v>通过</x:v>
      </x:c>
    </x:row>
    <x:row r="28">
      <x:c r="A28" s="104" t="str">
        <x:v>平台精确物品名重复</x:v>
      </x:c>
      <x:c r="B28" s="105" t="n">
        <x:v>0</x:v>
      </x:c>
      <x:c r="C28" s="105" t="n">
        <x:v>0</x:v>
      </x:c>
      <x:c r="D28" s="106" t="str">
        <x:v>通过</x:v>
      </x:c>
    </x:row>
    <x:row r="31">
      <x:c r="A31" s="63" t="str">
        <x:v>模型参数</x:v>
      </x:c>
      <x:c r="B31" s="64" t="str">
        <x:v>值</x:v>
      </x:c>
      <x:c r="C31" s="64" t="str">
        <x:v>单位/状态</x:v>
      </x:c>
      <x:c r="D31" s="65" t="str">
        <x:v>说明</x:v>
      </x:c>
    </x:row>
    <x:row r="32">
      <x:c r="A32" s="98" t="str">
        <x:v>角色总回收增加</x:v>
      </x:c>
      <x:c r="B32" s="99" t="n">
        <x:v>0.5</x:v>
      </x:c>
      <x:c r="C32" s="99" t="str">
        <x:v>比例</x:v>
      </x:c>
      <x:c r="D32" s="100" t="str">
        <x:v>模型按角色结算时总计+50%，即货币基础回收值×1.5；不是每件装备各+50%</x:v>
      </x:c>
    </x:row>
    <x:row r="33">
      <x:c r="A33" s="101" t="str">
        <x:v>材料奖励是否受回收增加</x:v>
      </x:c>
      <x:c r="B33" s="102" t="n">
        <x:v>0</x:v>
      </x:c>
      <x:c r="C33" s="102" t="str">
        <x:v>是/否</x:v>
      </x:c>
      <x:c r="D33" s="103" t="str">
        <x:v>否。专属装备分解得到的失色锻造石数量固定，不乘1.5</x:v>
      </x:c>
    </x:row>
    <x:row r="34">
      <x:c r="A34" s="101" t="str">
        <x:v>货币小时产出计入项</x:v>
      </x:c>
      <x:c r="B34" s="102" t="str">
        <x:v>高产通用材料富余＋制式装备</x:v>
      </x:c>
      <x:c r="C34" s="102" t="str"/>
      <x:c r="D34" s="103" t="str">
        <x:v>只计满赞助、属性达标、装备称号线性增长角色；稀缺材料与高价值掉落排除</x:v>
      </x:c>
    </x:row>
    <x:row r="35">
      <x:c r="A35" s="101" t="str">
        <x:v>高产材料进入回收比例</x:v>
      </x:c>
      <x:c r="B35" s="102" t="n">
        <x:v>0.8</x:v>
      </x:c>
      <x:c r="C35" s="102" t="str">
        <x:v>比例</x:v>
      </x:c>
      <x:c r="D35" s="103" t="str">
        <x:v>先扣本大陆NPC及建议包需求，再假设80%富余被兑换，20%留库存/交易</x:v>
      </x:c>
    </x:row>
    <x:row r="36">
      <x:c r="A36" s="101" t="str">
        <x:v>制式装备进入回收比例</x:v>
      </x:c>
      <x:c r="B36" s="102" t="n">
        <x:v>0.85</x:v>
      </x:c>
      <x:c r="C36" s="102" t="str">
        <x:v>比例</x:v>
      </x:c>
      <x:c r="D36" s="103" t="str">
        <x:v>15%留作穿戴、交易、给小号或人工损耗</x:v>
      </x:c>
    </x:row>
    <x:row r="37">
      <x:c r="A37" s="101" t="str">
        <x:v>失色锻造石闭环</x:v>
      </x:c>
      <x:c r="B37" s="102" t="str">
        <x:v>本次不闭环</x:v>
      </x:c>
      <x:c r="C37" s="102" t="str"/>
      <x:c r="D37" s="103" t="str">
        <x:v>仅给出563件专属逐件回收数量和NPC消耗，爆率后续联算</x:v>
      </x:c>
    </x:row>
    <x:row r="38">
      <x:c r="A38" s="101" t="str">
        <x:v>合成装备回收残值</x:v>
      </x:c>
      <x:c r="B38" s="102" t="n">
        <x:v>0.2</x:v>
      </x:c>
      <x:c r="C38" s="102" t="str">
        <x:v>基础货币成本比例</x:v>
      </x:c>
      <x:c r="D38" s="103" t="str">
        <x:v>基础返还20%，+50%后实际约返还30%；不返材料，避免合成套利</x:v>
      </x:c>
    </x:row>
    <x:row r="39">
      <x:c r="A39" s="101" t="str">
        <x:v>稀缺材料自产目标</x:v>
      </x:c>
      <x:c r="B39" s="102" t="str">
        <x:v>25%—60%</x:v>
      </x:c>
      <x:c r="C39" s="102" t="str">
        <x:v>阶段需求</x:v>
      </x:c>
      <x:c r="D39" s="103" t="str">
        <x:v>按材料性质区分，剩余依靠交易/多号，回收值故意很低</x:v>
      </x:c>
    </x:row>
    <x:row r="40">
      <x:c r="A40" s="101" t="str">
        <x:v>观察小时口径</x:v>
      </x:c>
      <x:c r="B40" s="102" t="str">
        <x:v>8/24/32/40/48/56/64/72/84/96</x:v>
      </x:c>
      <x:c r="C40" s="102" t="str">
        <x:v>小时</x:v>
      </x:c>
      <x:c r="D40" s="103" t="str">
        <x:v>仅作经济预算窗口，不恢复旧通关时长硬锚</x:v>
      </x:c>
    </x:row>
    <x:row r="41">
      <x:c r="A41" s="104" t="str">
        <x:v>满赞助爆率倍率端点</x:v>
      </x:c>
      <x:c r="B41" s="105" t="str">
        <x:v>C1约12倍，C10约100倍</x:v>
      </x:c>
      <x:c r="C41" s="105" t="str">
        <x:v>倍</x:v>
      </x:c>
      <x:c r="D41" s="106" t="str">
        <x:v>中间值为本模型的线性/平滑预算，不是服务器已实测逐大陆曲线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5" hidden="0" customWidth="1"/>
    <x:col min="4" max="4" width="18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03" t="str">
        <x:v>2026-09-05 洗练/开光与贯穿称号材料修订</x:v>
      </x:c>
      <x:c r="B1" s="203"/>
      <x:c r="C1" s="203"/>
      <x:c r="D1" s="203"/>
      <x:c r="E1" s="203"/>
      <x:c r="F1" s="203"/>
      <x:c r="G1" s="203"/>
      <x:c r="H1" s="203"/>
    </x:row>
    <x:row r="3">
      <x:c r="A3" s="208" t="str">
        <x:v>大陆ID</x:v>
      </x:c>
      <x:c r="B3" s="208" t="str">
        <x:v>大陆</x:v>
      </x:c>
      <x:c r="C3" s="208" t="str">
        <x:v>贯穿称号材料</x:v>
      </x:c>
      <x:c r="D3" s="208" t="str">
        <x:v>普通洗练失色/次</x:v>
      </x:c>
      <x:c r="E3" s="208" t="str">
        <x:v>开光失色/次</x:v>
      </x:c>
      <x:c r="F3" s="208" t="str">
        <x:v>正常毕业洗练次数</x:v>
      </x:c>
      <x:c r="G3" s="208" t="str">
        <x:v>正常毕业开光次数</x:v>
      </x:c>
      <x:c r="H3" s="208" t="str">
        <x:v>本阶段额外失色预算</x:v>
      </x:c>
    </x:row>
    <x:row r="4">
      <x:c r="A4" s="227" t="str">
        <x:v>C01</x:v>
      </x:c>
      <x:c r="B4" s="228" t="str">
        <x:v>漂流群岛</x:v>
      </x:c>
      <x:c r="C4" s="228" t="str">
        <x:v>海蚀铁片×120＋漂流大陆印记×2</x:v>
      </x:c>
      <x:c r="D4" s="228" t="n">
        <x:v>0</x:v>
      </x:c>
      <x:c r="E4" s="228" t="n">
        <x:v>0</x:v>
      </x:c>
      <x:c r="F4" s="228" t="n">
        <x:v>0</x:v>
      </x:c>
      <x:c r="G4" s="228" t="n">
        <x:v>0</x:v>
      </x:c>
      <x:c r="H4" s="229" t="n">
        <x:v>0</x:v>
      </x:c>
    </x:row>
    <x:row r="5">
      <x:c r="A5" s="230" t="str">
        <x:v>C02</x:v>
      </x:c>
      <x:c r="B5" s="231" t="str">
        <x:v>宁姆格福</x:v>
      </x:c>
      <x:c r="C5" s="231" t="str">
        <x:v>风暴石片×180＋接肢王印×3</x:v>
      </x:c>
      <x:c r="D5" s="231" t="n">
        <x:v>10</x:v>
      </x:c>
      <x:c r="E5" s="231" t="n">
        <x:v>50</x:v>
      </x:c>
      <x:c r="F5" s="231" t="n">
        <x:v>120</x:v>
      </x:c>
      <x:c r="G5" s="231" t="n">
        <x:v>5</x:v>
      </x:c>
      <x:c r="H5" s="232" t="n">
        <x:v>1450</x:v>
      </x:c>
    </x:row>
    <x:row r="6">
      <x:c r="A6" s="230" t="str">
        <x:v>C03</x:v>
      </x:c>
      <x:c r="B6" s="231" t="str">
        <x:v>宁姆格福西域</x:v>
      </x:c>
      <x:c r="C6" s="231" t="str">
        <x:v>风蚀铁片×260＋西境战旗印×4＋商队火漆×20</x:v>
      </x:c>
      <x:c r="D6" s="231" t="n">
        <x:v>10</x:v>
      </x:c>
      <x:c r="E6" s="231" t="n">
        <x:v>60</x:v>
      </x:c>
      <x:c r="F6" s="231" t="n">
        <x:v>160</x:v>
      </x:c>
      <x:c r="G6" s="231" t="n">
        <x:v>8</x:v>
      </x:c>
      <x:c r="H6" s="232" t="n">
        <x:v>2080</x:v>
      </x:c>
    </x:row>
    <x:row r="7">
      <x:c r="A7" s="230" t="str">
        <x:v>C04</x:v>
      </x:c>
      <x:c r="B7" s="231" t="str">
        <x:v>利耶尼亚海域</x:v>
      </x:c>
      <x:c r="C7" s="231" t="str">
        <x:v>湖盐结晶×340＋沉湖王印×5＋沉船缆扣×12</x:v>
      </x:c>
      <x:c r="D7" s="231" t="n">
        <x:v>10</x:v>
      </x:c>
      <x:c r="E7" s="231" t="n">
        <x:v>70</x:v>
      </x:c>
      <x:c r="F7" s="231" t="n">
        <x:v>200</x:v>
      </x:c>
      <x:c r="G7" s="231" t="n">
        <x:v>10</x:v>
      </x:c>
      <x:c r="H7" s="232" t="n">
        <x:v>2700</x:v>
      </x:c>
    </x:row>
    <x:row r="8">
      <x:c r="A8" s="230" t="str">
        <x:v>C05</x:v>
      </x:c>
      <x:c r="B8" s="231" t="str">
        <x:v>湖之利耶尼亚</x:v>
      </x:c>
      <x:c r="C8" s="231" t="str">
        <x:v>辉石碎晶×450＋满月王室印×6＋学院封蜡×24</x:v>
      </x:c>
      <x:c r="D8" s="231" t="n">
        <x:v>20</x:v>
      </x:c>
      <x:c r="E8" s="231" t="n">
        <x:v>90</x:v>
      </x:c>
      <x:c r="F8" s="231" t="n">
        <x:v>240</x:v>
      </x:c>
      <x:c r="G8" s="231" t="n">
        <x:v>12</x:v>
      </x:c>
      <x:c r="H8" s="232" t="n">
        <x:v>5880</x:v>
      </x:c>
    </x:row>
    <x:row r="9">
      <x:c r="A9" s="230" t="str">
        <x:v>C06</x:v>
      </x:c>
      <x:c r="B9" s="231" t="str">
        <x:v>盖利德</x:v>
      </x:c>
      <x:c r="C9" s="231" t="str">
        <x:v>猩红矿渣×580＋红狮战印×7＋净火腺囊×18</x:v>
      </x:c>
      <x:c r="D9" s="231" t="n">
        <x:v>20</x:v>
      </x:c>
      <x:c r="E9" s="231" t="n">
        <x:v>110</x:v>
      </x:c>
      <x:c r="F9" s="231" t="n">
        <x:v>280</x:v>
      </x:c>
      <x:c r="G9" s="231" t="n">
        <x:v>14</x:v>
      </x:c>
      <x:c r="H9" s="232" t="n">
        <x:v>7140</x:v>
      </x:c>
    </x:row>
    <x:row r="10">
      <x:c r="A10" s="230" t="str">
        <x:v>C07</x:v>
      </x:c>
      <x:c r="B10" s="231" t="str">
        <x:v>化圣雪原</x:v>
      </x:c>
      <x:c r="C10" s="231" t="str">
        <x:v>冻晶尘×720＋圣雪誓印×8＋冻原银角×30</x:v>
      </x:c>
      <x:c r="D10" s="231" t="n">
        <x:v>30</x:v>
      </x:c>
      <x:c r="E10" s="231" t="n">
        <x:v>140</x:v>
      </x:c>
      <x:c r="F10" s="231" t="n">
        <x:v>320</x:v>
      </x:c>
      <x:c r="G10" s="231" t="n">
        <x:v>16</x:v>
      </x:c>
      <x:c r="H10" s="232" t="n">
        <x:v>11840</x:v>
      </x:c>
    </x:row>
    <x:row r="11">
      <x:c r="A11" s="230" t="str">
        <x:v>C08</x:v>
      </x:c>
      <x:c r="B11" s="231" t="str">
        <x:v>巨人山顶</x:v>
      </x:c>
      <x:c r="C11" s="231" t="str">
        <x:v>霜脊铁×880＋巨人火印×9＋裂峰号角片×24</x:v>
      </x:c>
      <x:c r="D11" s="231" t="n">
        <x:v>30</x:v>
      </x:c>
      <x:c r="E11" s="231" t="n">
        <x:v>170</x:v>
      </x:c>
      <x:c r="F11" s="231" t="n">
        <x:v>360</x:v>
      </x:c>
      <x:c r="G11" s="231" t="n">
        <x:v>18</x:v>
      </x:c>
      <x:c r="H11" s="232" t="n">
        <x:v>13860</x:v>
      </x:c>
    </x:row>
    <x:row r="12">
      <x:c r="A12" s="230" t="str">
        <x:v>C09</x:v>
      </x:c>
      <x:c r="B12" s="231" t="str">
        <x:v>亚坛高原</x:v>
      </x:c>
      <x:c r="C12" s="231" t="str">
        <x:v>黄金叶脉×1050＋黄金律印×10＋金叶驿票×50＋矿脉灯芯×20</x:v>
      </x:c>
      <x:c r="D12" s="231" t="n">
        <x:v>40</x:v>
      </x:c>
      <x:c r="E12" s="231" t="n">
        <x:v>210</x:v>
      </x:c>
      <x:c r="F12" s="231" t="n">
        <x:v>400</x:v>
      </x:c>
      <x:c r="G12" s="231" t="n">
        <x:v>20</x:v>
      </x:c>
      <x:c r="H12" s="232" t="n">
        <x:v>20200</x:v>
      </x:c>
    </x:row>
    <x:row r="13">
      <x:c r="A13" s="233" t="str">
        <x:v>C10</x:v>
      </x:c>
      <x:c r="B13" s="234" t="str">
        <x:v>王城罗德尔</x:v>
      </x:c>
      <x:c r="C13" s="234" t="str">
        <x:v>王城金屑×1250＋艾尔登王印×12＋旧渠阀芯×30</x:v>
      </x:c>
      <x:c r="D13" s="234" t="n">
        <x:v>50</x:v>
      </x:c>
      <x:c r="E13" s="234" t="n">
        <x:v>250</x:v>
      </x:c>
      <x:c r="F13" s="234" t="n">
        <x:v>450</x:v>
      </x:c>
      <x:c r="G13" s="234" t="n">
        <x:v>24</x:v>
      </x:c>
      <x:c r="H13" s="235" t="n">
        <x:v>28500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20" hidden="0" customWidth="1"/>
  </x:cols>
  <x:sheetData>
    <x:row r="1" ht="28" customHeight="1">
      <x:c r="A1" s="246" t="str">
        <x:v>材料需求唯一明细账</x:v>
      </x:c>
      <x:c r="B1" s="246"/>
      <x:c r="C1" s="246"/>
      <x:c r="D1" s="246"/>
      <x:c r="E1" s="246"/>
      <x:c r="F1" s="246"/>
      <x:c r="G1" s="246"/>
      <x:c r="H1" s="246"/>
    </x:row>
    <x:row r="2" ht="38" customHeight="1">
      <x:c r="A2" s="249" t="str">
        <x:v>所有阶段材料需求由本页汇总；战灰列在PVP旁账。神印使用阶段材料总额×1，不冒充逐阶平均价格。</x:v>
      </x:c>
      <x:c r="B2" s="249"/>
      <x:c r="C2" s="249"/>
      <x:c r="D2" s="249"/>
      <x:c r="E2" s="249"/>
      <x:c r="F2" s="249"/>
      <x:c r="G2" s="249"/>
      <x:c r="H2" s="249"/>
    </x:row>
    <x:row r="4" ht="32" customHeight="1">
      <x:c r="A4" s="253" t="str">
        <x:v>配方/系统ID</x:v>
      </x:c>
      <x:c r="B4" s="253" t="str">
        <x:v>预算大陆</x:v>
      </x:c>
      <x:c r="C4" s="253" t="str">
        <x:v>材料</x:v>
      </x:c>
      <x:c r="D4" s="253" t="str">
        <x:v>单次/阶段数量</x:v>
      </x:c>
      <x:c r="E4" s="253" t="str">
        <x:v>预算次数</x:v>
      </x:c>
      <x:c r="F4" s="253" t="str">
        <x:v>需求数量</x:v>
      </x:c>
      <x:c r="G4" s="253" t="str">
        <x:v>来源类型</x:v>
      </x:c>
      <x:c r="H4" s="253" t="str">
        <x:v>范围</x:v>
      </x:c>
    </x:row>
    <x:row r="5" ht="36" customHeight="1">
      <x:c r="A5" s="256" t="str">
        <x:v>C01-FATE-TEN</x:v>
      </x:c>
      <x:c r="B5" s="256" t="str">
        <x:v>C01</x:v>
      </x:c>
      <x:c r="C5" s="256" t="str">
        <x:v>神秘符文</x:v>
      </x:c>
      <x:c r="D5" s="257" t="n">
        <x:v>10</x:v>
      </x:c>
      <x:c r="E5" s="257" t="n">
        <x:v>10</x:v>
      </x:c>
      <x:c r="F5" s="257" t="n">
        <x:f>D5*E5</x:f>
        <x:v>100</x:v>
      </x:c>
      <x:c r="G5" s="256" t="str">
        <x:v>核心配方</x:v>
      </x:c>
      <x:c r="H5" s="256" t="str">
        <x:v>计入PVE情景</x:v>
      </x:c>
    </x:row>
    <x:row r="6" ht="36" customHeight="1">
      <x:c r="A6" s="256" t="str">
        <x:v>C01-SYN-EQ-01</x:v>
      </x:c>
      <x:c r="B6" s="256" t="str">
        <x:v>C01</x:v>
      </x:c>
      <x:c r="C6" s="256" t="str">
        <x:v>海蚀铁片</x:v>
      </x:c>
      <x:c r="D6" s="257" t="n">
        <x:v>80</x:v>
      </x:c>
      <x:c r="E6" s="257" t="n">
        <x:v>1</x:v>
      </x:c>
      <x:c r="F6" s="257" t="n">
        <x:f>D6*E6</x:f>
        <x:v>80</x:v>
      </x:c>
      <x:c r="G6" s="256" t="str">
        <x:v>核心配方</x:v>
      </x:c>
      <x:c r="H6" s="256" t="str">
        <x:v>计入PVE情景</x:v>
      </x:c>
    </x:row>
    <x:row r="7" ht="36" customHeight="1">
      <x:c r="A7" s="256" t="str">
        <x:v>C01-SYN-EQ-01</x:v>
      </x:c>
      <x:c r="B7" s="256" t="str">
        <x:v>C01</x:v>
      </x:c>
      <x:c r="C7" s="256" t="str">
        <x:v>潮痕结晶</x:v>
      </x:c>
      <x:c r="D7" s="257" t="n">
        <x:v>8</x:v>
      </x:c>
      <x:c r="E7" s="257" t="n">
        <x:v>1</x:v>
      </x:c>
      <x:c r="F7" s="257" t="n">
        <x:f>D7*E7</x:f>
        <x:v>8</x:v>
      </x:c>
      <x:c r="G7" s="256" t="str">
        <x:v>核心配方</x:v>
      </x:c>
      <x:c r="H7" s="256" t="str">
        <x:v>计入PVE情景</x:v>
      </x:c>
    </x:row>
    <x:row r="8" ht="36" customHeight="1">
      <x:c r="A8" s="256" t="str">
        <x:v>C01-SYN-EQ-01</x:v>
      </x:c>
      <x:c r="B8" s="256" t="str">
        <x:v>C01</x:v>
      </x:c>
      <x:c r="C8" s="256" t="str">
        <x:v>漂流大陆印记</x:v>
      </x:c>
      <x:c r="D8" s="257" t="n">
        <x:v>3</x:v>
      </x:c>
      <x:c r="E8" s="257" t="n">
        <x:v>1</x:v>
      </x:c>
      <x:c r="F8" s="257" t="n">
        <x:f>D8*E8</x:f>
        <x:v>3</x:v>
      </x:c>
      <x:c r="G8" s="256" t="str">
        <x:v>核心配方</x:v>
      </x:c>
      <x:c r="H8" s="256" t="str">
        <x:v>计入PVE情景</x:v>
      </x:c>
    </x:row>
    <x:row r="9" ht="36" customHeight="1">
      <x:c r="A9" s="256" t="str">
        <x:v>C01-SYN-EQ-01</x:v>
      </x:c>
      <x:c r="B9" s="256" t="str">
        <x:v>C01</x:v>
      </x:c>
      <x:c r="C9" s="256" t="str">
        <x:v>失色锻造石</x:v>
      </x:c>
      <x:c r="D9" s="257" t="n">
        <x:v>10</x:v>
      </x:c>
      <x:c r="E9" s="257" t="n">
        <x:v>1</x:v>
      </x:c>
      <x:c r="F9" s="257" t="n">
        <x:f>D9*E9</x:f>
        <x:v>10</x:v>
      </x:c>
      <x:c r="G9" s="256" t="str">
        <x:v>核心配方</x:v>
      </x:c>
      <x:c r="H9" s="256" t="str">
        <x:v>计入PVE情景</x:v>
      </x:c>
    </x:row>
    <x:row r="10" ht="36" customHeight="1">
      <x:c r="A10" s="256" t="str">
        <x:v>C02-SYN-EQ-01</x:v>
      </x:c>
      <x:c r="B10" s="256" t="str">
        <x:v>C02</x:v>
      </x:c>
      <x:c r="C10" s="256" t="str">
        <x:v>风暴石片</x:v>
      </x:c>
      <x:c r="D10" s="257" t="n">
        <x:v>120</x:v>
      </x:c>
      <x:c r="E10" s="257" t="n">
        <x:v>1</x:v>
      </x:c>
      <x:c r="F10" s="257" t="n">
        <x:f>D10*E10</x:f>
        <x:v>120</x:v>
      </x:c>
      <x:c r="G10" s="256" t="str">
        <x:v>核心配方</x:v>
      </x:c>
      <x:c r="H10" s="256" t="str">
        <x:v>计入PVE情景</x:v>
      </x:c>
    </x:row>
    <x:row r="11" ht="36" customHeight="1">
      <x:c r="A11" s="256" t="str">
        <x:v>C02-SYN-EQ-01</x:v>
      </x:c>
      <x:c r="B11" s="256" t="str">
        <x:v>C02</x:v>
      </x:c>
      <x:c r="C11" s="256" t="str">
        <x:v>黄金树芽</x:v>
      </x:c>
      <x:c r="D11" s="257" t="n">
        <x:v>12</x:v>
      </x:c>
      <x:c r="E11" s="257" t="n">
        <x:v>1</x:v>
      </x:c>
      <x:c r="F11" s="257" t="n">
        <x:f>D11*E11</x:f>
        <x:v>12</x:v>
      </x:c>
      <x:c r="G11" s="256" t="str">
        <x:v>核心配方</x:v>
      </x:c>
      <x:c r="H11" s="256" t="str">
        <x:v>计入PVE情景</x:v>
      </x:c>
    </x:row>
    <x:row r="12" ht="36" customHeight="1">
      <x:c r="A12" s="256" t="str">
        <x:v>C02-SYN-EQ-01</x:v>
      </x:c>
      <x:c r="B12" s="256" t="str">
        <x:v>C02</x:v>
      </x:c>
      <x:c r="C12" s="256" t="str">
        <x:v>接肢王印</x:v>
      </x:c>
      <x:c r="D12" s="257" t="n">
        <x:v>4</x:v>
      </x:c>
      <x:c r="E12" s="257" t="n">
        <x:v>1</x:v>
      </x:c>
      <x:c r="F12" s="257" t="n">
        <x:f>D12*E12</x:f>
        <x:v>4</x:v>
      </x:c>
      <x:c r="G12" s="256" t="str">
        <x:v>核心配方</x:v>
      </x:c>
      <x:c r="H12" s="256" t="str">
        <x:v>计入PVE情景</x:v>
      </x:c>
    </x:row>
    <x:row r="13" ht="36" customHeight="1">
      <x:c r="A13" s="256" t="str">
        <x:v>C02-SYN-EQ-01</x:v>
      </x:c>
      <x:c r="B13" s="256" t="str">
        <x:v>C02</x:v>
      </x:c>
      <x:c r="C13" s="256" t="str">
        <x:v>失色锻造石</x:v>
      </x:c>
      <x:c r="D13" s="257" t="n">
        <x:v>16</x:v>
      </x:c>
      <x:c r="E13" s="257" t="n">
        <x:v>1</x:v>
      </x:c>
      <x:c r="F13" s="257" t="n">
        <x:f>D13*E13</x:f>
        <x:v>16</x:v>
      </x:c>
      <x:c r="G13" s="256" t="str">
        <x:v>核心配方</x:v>
      </x:c>
      <x:c r="H13" s="256" t="str">
        <x:v>计入PVE情景</x:v>
      </x:c>
    </x:row>
    <x:row r="14" ht="36" customHeight="1">
      <x:c r="A14" s="256" t="str">
        <x:v>C02-SYN-EQ-02</x:v>
      </x:c>
      <x:c r="B14" s="256" t="str">
        <x:v>C02</x:v>
      </x:c>
      <x:c r="C14" s="256" t="str">
        <x:v>风暴石片</x:v>
      </x:c>
      <x:c r="D14" s="257" t="n">
        <x:v>120</x:v>
      </x:c>
      <x:c r="E14" s="257" t="n">
        <x:v>1</x:v>
      </x:c>
      <x:c r="F14" s="257" t="n">
        <x:f>D14*E14</x:f>
        <x:v>120</x:v>
      </x:c>
      <x:c r="G14" s="256" t="str">
        <x:v>核心配方</x:v>
      </x:c>
      <x:c r="H14" s="256" t="str">
        <x:v>计入PVE情景</x:v>
      </x:c>
    </x:row>
    <x:row r="15" ht="36" customHeight="1">
      <x:c r="A15" s="256" t="str">
        <x:v>C02-SYN-EQ-02</x:v>
      </x:c>
      <x:c r="B15" s="256" t="str">
        <x:v>C02</x:v>
      </x:c>
      <x:c r="C15" s="256" t="str">
        <x:v>黄金树芽</x:v>
      </x:c>
      <x:c r="D15" s="257" t="n">
        <x:v>12</x:v>
      </x:c>
      <x:c r="E15" s="257" t="n">
        <x:v>1</x:v>
      </x:c>
      <x:c r="F15" s="257" t="n">
        <x:f>D15*E15</x:f>
        <x:v>12</x:v>
      </x:c>
      <x:c r="G15" s="256" t="str">
        <x:v>核心配方</x:v>
      </x:c>
      <x:c r="H15" s="256" t="str">
        <x:v>计入PVE情景</x:v>
      </x:c>
    </x:row>
    <x:row r="16" ht="36" customHeight="1">
      <x:c r="A16" s="256" t="str">
        <x:v>C02-SYN-EQ-02</x:v>
      </x:c>
      <x:c r="B16" s="256" t="str">
        <x:v>C02</x:v>
      </x:c>
      <x:c r="C16" s="256" t="str">
        <x:v>接肢王印</x:v>
      </x:c>
      <x:c r="D16" s="257" t="n">
        <x:v>4</x:v>
      </x:c>
      <x:c r="E16" s="257" t="n">
        <x:v>1</x:v>
      </x:c>
      <x:c r="F16" s="257" t="n">
        <x:f>D16*E16</x:f>
        <x:v>4</x:v>
      </x:c>
      <x:c r="G16" s="256" t="str">
        <x:v>核心配方</x:v>
      </x:c>
      <x:c r="H16" s="256" t="str">
        <x:v>计入PVE情景</x:v>
      </x:c>
    </x:row>
    <x:row r="17" ht="36" customHeight="1">
      <x:c r="A17" s="256" t="str">
        <x:v>C02-SYN-EQ-02</x:v>
      </x:c>
      <x:c r="B17" s="256" t="str">
        <x:v>C02</x:v>
      </x:c>
      <x:c r="C17" s="256" t="str">
        <x:v>失色锻造石</x:v>
      </x:c>
      <x:c r="D17" s="257" t="n">
        <x:v>16</x:v>
      </x:c>
      <x:c r="E17" s="257" t="n">
        <x:v>1</x:v>
      </x:c>
      <x:c r="F17" s="257" t="n">
        <x:f>D17*E17</x:f>
        <x:v>16</x:v>
      </x:c>
      <x:c r="G17" s="256" t="str">
        <x:v>核心配方</x:v>
      </x:c>
      <x:c r="H17" s="256" t="str">
        <x:v>计入PVE情景</x:v>
      </x:c>
    </x:row>
    <x:row r="18" ht="36" customHeight="1">
      <x:c r="A18" s="256" t="str">
        <x:v>C03-SYN-EQ-01</x:v>
      </x:c>
      <x:c r="B18" s="256" t="str">
        <x:v>C03</x:v>
      </x:c>
      <x:c r="C18" s="256" t="str">
        <x:v>风蚀铁片</x:v>
      </x:c>
      <x:c r="D18" s="257" t="n">
        <x:v>180</x:v>
      </x:c>
      <x:c r="E18" s="257" t="n">
        <x:v>1</x:v>
      </x:c>
      <x:c r="F18" s="257" t="n">
        <x:f>D18*E18</x:f>
        <x:v>180</x:v>
      </x:c>
      <x:c r="G18" s="256" t="str">
        <x:v>核心配方</x:v>
      </x:c>
      <x:c r="H18" s="256" t="str">
        <x:v>计入PVE情景</x:v>
      </x:c>
    </x:row>
    <x:row r="19" ht="36" customHeight="1">
      <x:c r="A19" s="256" t="str">
        <x:v>C03-SYN-EQ-01</x:v>
      </x:c>
      <x:c r="B19" s="256" t="str">
        <x:v>C03</x:v>
      </x:c>
      <x:c r="C19" s="256" t="str">
        <x:v>西境战旗印</x:v>
      </x:c>
      <x:c r="D19" s="257" t="n">
        <x:v>5</x:v>
      </x:c>
      <x:c r="E19" s="257" t="n">
        <x:v>1</x:v>
      </x:c>
      <x:c r="F19" s="257" t="n">
        <x:f>D19*E19</x:f>
        <x:v>5</x:v>
      </x:c>
      <x:c r="G19" s="256" t="str">
        <x:v>核心配方</x:v>
      </x:c>
      <x:c r="H19" s="256" t="str">
        <x:v>计入PVE情景</x:v>
      </x:c>
    </x:row>
    <x:row r="20" ht="36" customHeight="1">
      <x:c r="A20" s="256" t="str">
        <x:v>C03-SYN-EQ-01</x:v>
      </x:c>
      <x:c r="B20" s="256" t="str">
        <x:v>C03</x:v>
      </x:c>
      <x:c r="C20" s="256" t="str">
        <x:v>守垒铜钥</x:v>
      </x:c>
      <x:c r="D20" s="257" t="n">
        <x:v>4</x:v>
      </x:c>
      <x:c r="E20" s="257" t="n">
        <x:v>1</x:v>
      </x:c>
      <x:c r="F20" s="257" t="n">
        <x:f>D20*E20</x:f>
        <x:v>4</x:v>
      </x:c>
      <x:c r="G20" s="256" t="str">
        <x:v>核心配方</x:v>
      </x:c>
      <x:c r="H20" s="256" t="str">
        <x:v>计入PVE情景</x:v>
      </x:c>
    </x:row>
    <x:row r="21" ht="36" customHeight="1">
      <x:c r="A21" s="256" t="str">
        <x:v>C03-SYN-EQ-01</x:v>
      </x:c>
      <x:c r="B21" s="256" t="str">
        <x:v>C03</x:v>
      </x:c>
      <x:c r="C21" s="256" t="str">
        <x:v>失色锻造石</x:v>
      </x:c>
      <x:c r="D21" s="257" t="n">
        <x:v>24</x:v>
      </x:c>
      <x:c r="E21" s="257" t="n">
        <x:v>1</x:v>
      </x:c>
      <x:c r="F21" s="257" t="n">
        <x:f>D21*E21</x:f>
        <x:v>24</x:v>
      </x:c>
      <x:c r="G21" s="256" t="str">
        <x:v>核心配方</x:v>
      </x:c>
      <x:c r="H21" s="256" t="str">
        <x:v>计入PVE情景</x:v>
      </x:c>
    </x:row>
    <x:row r="22" ht="36" customHeight="1">
      <x:c r="A22" s="256" t="str">
        <x:v>C03-SYN-EQ-02</x:v>
      </x:c>
      <x:c r="B22" s="256" t="str">
        <x:v>C03</x:v>
      </x:c>
      <x:c r="C22" s="256" t="str">
        <x:v>风蚀铁片</x:v>
      </x:c>
      <x:c r="D22" s="257" t="n">
        <x:v>180</x:v>
      </x:c>
      <x:c r="E22" s="257" t="n">
        <x:v>1</x:v>
      </x:c>
      <x:c r="F22" s="257" t="n">
        <x:f>D22*E22</x:f>
        <x:v>180</x:v>
      </x:c>
      <x:c r="G22" s="256" t="str">
        <x:v>核心配方</x:v>
      </x:c>
      <x:c r="H22" s="256" t="str">
        <x:v>计入PVE情景</x:v>
      </x:c>
    </x:row>
    <x:row r="23" ht="36" customHeight="1">
      <x:c r="A23" s="256" t="str">
        <x:v>C03-SYN-EQ-02</x:v>
      </x:c>
      <x:c r="B23" s="256" t="str">
        <x:v>C03</x:v>
      </x:c>
      <x:c r="C23" s="256" t="str">
        <x:v>裂风崖羽</x:v>
      </x:c>
      <x:c r="D23" s="257" t="n">
        <x:v>40</x:v>
      </x:c>
      <x:c r="E23" s="257" t="n">
        <x:v>1</x:v>
      </x:c>
      <x:c r="F23" s="257" t="n">
        <x:f>D23*E23</x:f>
        <x:v>40</x:v>
      </x:c>
      <x:c r="G23" s="256" t="str">
        <x:v>核心配方</x:v>
      </x:c>
      <x:c r="H23" s="256" t="str">
        <x:v>计入PVE情景</x:v>
      </x:c>
    </x:row>
    <x:row r="24" ht="36" customHeight="1">
      <x:c r="A24" s="256" t="str">
        <x:v>C03-SYN-EQ-02</x:v>
      </x:c>
      <x:c r="B24" s="256" t="str">
        <x:v>C03</x:v>
      </x:c>
      <x:c r="C24" s="256" t="str">
        <x:v>哨垒旗冠</x:v>
      </x:c>
      <x:c r="D24" s="257" t="n">
        <x:v>1</x:v>
      </x:c>
      <x:c r="E24" s="257" t="n">
        <x:v>1</x:v>
      </x:c>
      <x:c r="F24" s="257" t="n">
        <x:f>D24*E24</x:f>
        <x:v>1</x:v>
      </x:c>
      <x:c r="G24" s="256" t="str">
        <x:v>核心配方</x:v>
      </x:c>
      <x:c r="H24" s="256" t="str">
        <x:v>计入PVE情景</x:v>
      </x:c>
    </x:row>
    <x:row r="25" ht="36" customHeight="1">
      <x:c r="A25" s="256" t="str">
        <x:v>C03-SYN-EQ-02</x:v>
      </x:c>
      <x:c r="B25" s="256" t="str">
        <x:v>C03</x:v>
      </x:c>
      <x:c r="C25" s="256" t="str">
        <x:v>失色锻造石</x:v>
      </x:c>
      <x:c r="D25" s="257" t="n">
        <x:v>24</x:v>
      </x:c>
      <x:c r="E25" s="257" t="n">
        <x:v>1</x:v>
      </x:c>
      <x:c r="F25" s="257" t="n">
        <x:f>D25*E25</x:f>
        <x:v>24</x:v>
      </x:c>
      <x:c r="G25" s="256" t="str">
        <x:v>核心配方</x:v>
      </x:c>
      <x:c r="H25" s="256" t="str">
        <x:v>计入PVE情景</x:v>
      </x:c>
    </x:row>
    <x:row r="26" ht="36" customHeight="1">
      <x:c r="A26" s="256" t="str">
        <x:v>C04-SYN-EQ-01</x:v>
      </x:c>
      <x:c r="B26" s="256" t="str">
        <x:v>C04</x:v>
      </x:c>
      <x:c r="C26" s="256" t="str">
        <x:v>湖盐结晶</x:v>
      </x:c>
      <x:c r="D26" s="257" t="n">
        <x:v>240</x:v>
      </x:c>
      <x:c r="E26" s="257" t="n">
        <x:v>1</x:v>
      </x:c>
      <x:c r="F26" s="257" t="n">
        <x:f>D26*E26</x:f>
        <x:v>240</x:v>
      </x:c>
      <x:c r="G26" s="256" t="str">
        <x:v>核心配方</x:v>
      </x:c>
      <x:c r="H26" s="256" t="str">
        <x:v>计入PVE情景</x:v>
      </x:c>
    </x:row>
    <x:row r="27" ht="36" customHeight="1">
      <x:c r="A27" s="256" t="str">
        <x:v>C04-SYN-EQ-01</x:v>
      </x:c>
      <x:c r="B27" s="256" t="str">
        <x:v>C04</x:v>
      </x:c>
      <x:c r="C27" s="256" t="str">
        <x:v>沉船缆扣</x:v>
      </x:c>
      <x:c r="D27" s="257" t="n">
        <x:v>16</x:v>
      </x:c>
      <x:c r="E27" s="257" t="n">
        <x:v>1</x:v>
      </x:c>
      <x:c r="F27" s="257" t="n">
        <x:f>D27*E27</x:f>
        <x:v>16</x:v>
      </x:c>
      <x:c r="G27" s="256" t="str">
        <x:v>核心配方</x:v>
      </x:c>
      <x:c r="H27" s="256" t="str">
        <x:v>计入PVE情景</x:v>
      </x:c>
    </x:row>
    <x:row r="28" ht="36" customHeight="1">
      <x:c r="A28" s="256" t="str">
        <x:v>C04-SYN-EQ-01</x:v>
      </x:c>
      <x:c r="B28" s="256" t="str">
        <x:v>C04</x:v>
      </x:c>
      <x:c r="C28" s="256" t="str">
        <x:v>沉湖王印</x:v>
      </x:c>
      <x:c r="D28" s="257" t="n">
        <x:v>7</x:v>
      </x:c>
      <x:c r="E28" s="257" t="n">
        <x:v>1</x:v>
      </x:c>
      <x:c r="F28" s="257" t="n">
        <x:f>D28*E28</x:f>
        <x:v>7</x:v>
      </x:c>
      <x:c r="G28" s="256" t="str">
        <x:v>核心配方</x:v>
      </x:c>
      <x:c r="H28" s="256" t="str">
        <x:v>计入PVE情景</x:v>
      </x:c>
    </x:row>
    <x:row r="29" ht="36" customHeight="1">
      <x:c r="A29" s="256" t="str">
        <x:v>C04-SYN-EQ-01</x:v>
      </x:c>
      <x:c r="B29" s="256" t="str">
        <x:v>C04</x:v>
      </x:c>
      <x:c r="C29" s="256" t="str">
        <x:v>失色锻造石</x:v>
      </x:c>
      <x:c r="D29" s="257" t="n">
        <x:v>36</x:v>
      </x:c>
      <x:c r="E29" s="257" t="n">
        <x:v>1</x:v>
      </x:c>
      <x:c r="F29" s="257" t="n">
        <x:f>D29*E29</x:f>
        <x:v>36</x:v>
      </x:c>
      <x:c r="G29" s="256" t="str">
        <x:v>核心配方</x:v>
      </x:c>
      <x:c r="H29" s="256" t="str">
        <x:v>计入PVE情景</x:v>
      </x:c>
    </x:row>
    <x:row r="30" ht="36" customHeight="1">
      <x:c r="A30" s="256" t="str">
        <x:v>C04-SYN-EQ-02</x:v>
      </x:c>
      <x:c r="B30" s="256" t="str">
        <x:v>C04</x:v>
      </x:c>
      <x:c r="C30" s="256" t="str">
        <x:v>湖盐结晶</x:v>
      </x:c>
      <x:c r="D30" s="257" t="n">
        <x:v>240</x:v>
      </x:c>
      <x:c r="E30" s="257" t="n">
        <x:v>1</x:v>
      </x:c>
      <x:c r="F30" s="257" t="n">
        <x:f>D30*E30</x:f>
        <x:v>240</x:v>
      </x:c>
      <x:c r="G30" s="256" t="str">
        <x:v>核心配方</x:v>
      </x:c>
      <x:c r="H30" s="256" t="str">
        <x:v>计入PVE情景</x:v>
      </x:c>
    </x:row>
    <x:row r="31" ht="36" customHeight="1">
      <x:c r="A31" s="256" t="str">
        <x:v>C04-SYN-EQ-02</x:v>
      </x:c>
      <x:c r="B31" s="256" t="str">
        <x:v>C04</x:v>
      </x:c>
      <x:c r="C31" s="256" t="str">
        <x:v>雾潮银鳞</x:v>
      </x:c>
      <x:c r="D31" s="257" t="n">
        <x:v>55</x:v>
      </x:c>
      <x:c r="E31" s="257" t="n">
        <x:v>1</x:v>
      </x:c>
      <x:c r="F31" s="257" t="n">
        <x:f>D31*E31</x:f>
        <x:v>55</x:v>
      </x:c>
      <x:c r="G31" s="256" t="str">
        <x:v>核心配方</x:v>
      </x:c>
      <x:c r="H31" s="256" t="str">
        <x:v>计入PVE情景</x:v>
      </x:c>
    </x:row>
    <x:row r="32" ht="36" customHeight="1">
      <x:c r="A32" s="256" t="str">
        <x:v>C04-SYN-EQ-02</x:v>
      </x:c>
      <x:c r="B32" s="256" t="str">
        <x:v>C04</x:v>
      </x:c>
      <x:c r="C32" s="256" t="str">
        <x:v>湖底封门珠</x:v>
      </x:c>
      <x:c r="D32" s="257" t="n">
        <x:v>2</x:v>
      </x:c>
      <x:c r="E32" s="257" t="n">
        <x:v>1</x:v>
      </x:c>
      <x:c r="F32" s="257" t="n">
        <x:f>D32*E32</x:f>
        <x:v>2</x:v>
      </x:c>
      <x:c r="G32" s="256" t="str">
        <x:v>核心配方</x:v>
      </x:c>
      <x:c r="H32" s="256" t="str">
        <x:v>计入PVE情景</x:v>
      </x:c>
    </x:row>
    <x:row r="33" ht="36" customHeight="1">
      <x:c r="A33" s="256" t="str">
        <x:v>C04-SYN-EQ-02</x:v>
      </x:c>
      <x:c r="B33" s="256" t="str">
        <x:v>C04</x:v>
      </x:c>
      <x:c r="C33" s="256" t="str">
        <x:v>失色锻造石</x:v>
      </x:c>
      <x:c r="D33" s="257" t="n">
        <x:v>36</x:v>
      </x:c>
      <x:c r="E33" s="257" t="n">
        <x:v>1</x:v>
      </x:c>
      <x:c r="F33" s="257" t="n">
        <x:f>D33*E33</x:f>
        <x:v>36</x:v>
      </x:c>
      <x:c r="G33" s="256" t="str">
        <x:v>核心配方</x:v>
      </x:c>
      <x:c r="H33" s="256" t="str">
        <x:v>计入PVE情景</x:v>
      </x:c>
    </x:row>
    <x:row r="34" ht="36" customHeight="1">
      <x:c r="A34" s="256" t="str">
        <x:v>C04-SYN-EQ-03</x:v>
      </x:c>
      <x:c r="B34" s="256" t="str">
        <x:v>C04</x:v>
      </x:c>
      <x:c r="C34" s="256" t="str">
        <x:v>湖盐结晶</x:v>
      </x:c>
      <x:c r="D34" s="257" t="n">
        <x:v>310</x:v>
      </x:c>
      <x:c r="E34" s="257" t="n">
        <x:v>1</x:v>
      </x:c>
      <x:c r="F34" s="257" t="n">
        <x:f>D34*E34</x:f>
        <x:v>310</x:v>
      </x:c>
      <x:c r="G34" s="256" t="str">
        <x:v>核心配方</x:v>
      </x:c>
      <x:c r="H34" s="256" t="str">
        <x:v>计入PVE情景</x:v>
      </x:c>
    </x:row>
    <x:row r="35" ht="36" customHeight="1">
      <x:c r="A35" s="256" t="str">
        <x:v>C04-SYN-EQ-03</x:v>
      </x:c>
      <x:c r="B35" s="256" t="str">
        <x:v>C04</x:v>
      </x:c>
      <x:c r="C35" s="256" t="str">
        <x:v>深湖压舱印</x:v>
      </x:c>
      <x:c r="D35" s="257" t="n">
        <x:v>6</x:v>
      </x:c>
      <x:c r="E35" s="257" t="n">
        <x:v>1</x:v>
      </x:c>
      <x:c r="F35" s="257" t="n">
        <x:f>D35*E35</x:f>
        <x:v>6</x:v>
      </x:c>
      <x:c r="G35" s="256" t="str">
        <x:v>核心配方</x:v>
      </x:c>
      <x:c r="H35" s="256" t="str">
        <x:v>计入PVE情景</x:v>
      </x:c>
    </x:row>
    <x:row r="36" ht="36" customHeight="1">
      <x:c r="A36" s="256" t="str">
        <x:v>C04-SYN-EQ-03</x:v>
      </x:c>
      <x:c r="B36" s="256" t="str">
        <x:v>C04</x:v>
      </x:c>
      <x:c r="C36" s="256" t="str">
        <x:v>沉湖王印</x:v>
      </x:c>
      <x:c r="D36" s="257" t="n">
        <x:v>9</x:v>
      </x:c>
      <x:c r="E36" s="257" t="n">
        <x:v>1</x:v>
      </x:c>
      <x:c r="F36" s="257" t="n">
        <x:f>D36*E36</x:f>
        <x:v>9</x:v>
      </x:c>
      <x:c r="G36" s="256" t="str">
        <x:v>核心配方</x:v>
      </x:c>
      <x:c r="H36" s="256" t="str">
        <x:v>计入PVE情景</x:v>
      </x:c>
    </x:row>
    <x:row r="37" ht="36" customHeight="1">
      <x:c r="A37" s="256" t="str">
        <x:v>C04-SYN-EQ-03</x:v>
      </x:c>
      <x:c r="B37" s="256" t="str">
        <x:v>C04</x:v>
      </x:c>
      <x:c r="C37" s="256" t="str">
        <x:v>失色锻造石</x:v>
      </x:c>
      <x:c r="D37" s="257" t="n">
        <x:v>46</x:v>
      </x:c>
      <x:c r="E37" s="257" t="n">
        <x:v>1</x:v>
      </x:c>
      <x:c r="F37" s="257" t="n">
        <x:f>D37*E37</x:f>
        <x:v>46</x:v>
      </x:c>
      <x:c r="G37" s="256" t="str">
        <x:v>核心配方</x:v>
      </x:c>
      <x:c r="H37" s="256" t="str">
        <x:v>计入PVE情景</x:v>
      </x:c>
    </x:row>
    <x:row r="38" ht="36" customHeight="1">
      <x:c r="A38" s="256" t="str">
        <x:v>C05-SYN-EQ-01</x:v>
      </x:c>
      <x:c r="B38" s="256" t="str">
        <x:v>C05</x:v>
      </x:c>
      <x:c r="C38" s="256" t="str">
        <x:v>辉石碎晶</x:v>
      </x:c>
      <x:c r="D38" s="257" t="n">
        <x:v>380</x:v>
      </x:c>
      <x:c r="E38" s="257" t="n">
        <x:v>1</x:v>
      </x:c>
      <x:c r="F38" s="257" t="n">
        <x:f>D38*E38</x:f>
        <x:v>380</x:v>
      </x:c>
      <x:c r="G38" s="256" t="str">
        <x:v>核心配方</x:v>
      </x:c>
      <x:c r="H38" s="256" t="str">
        <x:v>计入PVE情景</x:v>
      </x:c>
    </x:row>
    <x:row r="39" ht="36" customHeight="1">
      <x:c r="A39" s="256" t="str">
        <x:v>C05-SYN-EQ-01</x:v>
      </x:c>
      <x:c r="B39" s="256" t="str">
        <x:v>C05</x:v>
      </x:c>
      <x:c r="C39" s="256" t="str">
        <x:v>月蚀镜片</x:v>
      </x:c>
      <x:c r="D39" s="257" t="n">
        <x:v>7</x:v>
      </x:c>
      <x:c r="E39" s="257" t="n">
        <x:v>1</x:v>
      </x:c>
      <x:c r="F39" s="257" t="n">
        <x:f>D39*E39</x:f>
        <x:v>7</x:v>
      </x:c>
      <x:c r="G39" s="256" t="str">
        <x:v>核心配方</x:v>
      </x:c>
      <x:c r="H39" s="256" t="str">
        <x:v>计入PVE情景</x:v>
      </x:c>
    </x:row>
    <x:row r="40" ht="36" customHeight="1">
      <x:c r="A40" s="256" t="str">
        <x:v>C05-SYN-EQ-01</x:v>
      </x:c>
      <x:c r="B40" s="256" t="str">
        <x:v>C05</x:v>
      </x:c>
      <x:c r="C40" s="256" t="str">
        <x:v>满月王室印</x:v>
      </x:c>
      <x:c r="D40" s="257" t="n">
        <x:v>10</x:v>
      </x:c>
      <x:c r="E40" s="257" t="n">
        <x:v>1</x:v>
      </x:c>
      <x:c r="F40" s="257" t="n">
        <x:f>D40*E40</x:f>
        <x:v>10</x:v>
      </x:c>
      <x:c r="G40" s="256" t="str">
        <x:v>核心配方</x:v>
      </x:c>
      <x:c r="H40" s="256" t="str">
        <x:v>计入PVE情景</x:v>
      </x:c>
    </x:row>
    <x:row r="41" ht="36" customHeight="1">
      <x:c r="A41" s="256" t="str">
        <x:v>C05-SYN-EQ-01</x:v>
      </x:c>
      <x:c r="B41" s="256" t="str">
        <x:v>C05</x:v>
      </x:c>
      <x:c r="C41" s="256" t="str">
        <x:v>失色锻造石</x:v>
      </x:c>
      <x:c r="D41" s="257" t="n">
        <x:v>60</x:v>
      </x:c>
      <x:c r="E41" s="257" t="n">
        <x:v>1</x:v>
      </x:c>
      <x:c r="F41" s="257" t="n">
        <x:f>D41*E41</x:f>
        <x:v>60</x:v>
      </x:c>
      <x:c r="G41" s="256" t="str">
        <x:v>核心配方</x:v>
      </x:c>
      <x:c r="H41" s="256" t="str">
        <x:v>计入PVE情景</x:v>
      </x:c>
    </x:row>
    <x:row r="42" ht="36" customHeight="1">
      <x:c r="A42" s="256" t="str">
        <x:v>C05-SYN-EQ-02</x:v>
      </x:c>
      <x:c r="B42" s="256" t="str">
        <x:v>C05</x:v>
      </x:c>
      <x:c r="C42" s="256" t="str">
        <x:v>辉石碎晶</x:v>
      </x:c>
      <x:c r="D42" s="257" t="n">
        <x:v>420</x:v>
      </x:c>
      <x:c r="E42" s="257" t="n">
        <x:v>1</x:v>
      </x:c>
      <x:c r="F42" s="257" t="n">
        <x:f>D42*E42</x:f>
        <x:v>420</x:v>
      </x:c>
      <x:c r="G42" s="256" t="str">
        <x:v>核心配方</x:v>
      </x:c>
      <x:c r="H42" s="256" t="str">
        <x:v>计入PVE情景</x:v>
      </x:c>
    </x:row>
    <x:row r="43" ht="36" customHeight="1">
      <x:c r="A43" s="256" t="str">
        <x:v>C05-SYN-EQ-02</x:v>
      </x:c>
      <x:c r="B43" s="256" t="str">
        <x:v>C05</x:v>
      </x:c>
      <x:c r="C43" s="256" t="str">
        <x:v>雾月星砂</x:v>
      </x:c>
      <x:c r="D43" s="257" t="n">
        <x:v>90</x:v>
      </x:c>
      <x:c r="E43" s="257" t="n">
        <x:v>1</x:v>
      </x:c>
      <x:c r="F43" s="257" t="n">
        <x:f>D43*E43</x:f>
        <x:v>90</x:v>
      </x:c>
      <x:c r="G43" s="256" t="str">
        <x:v>核心配方</x:v>
      </x:c>
      <x:c r="H43" s="256" t="str">
        <x:v>计入PVE情景</x:v>
      </x:c>
    </x:row>
    <x:row r="44" ht="36" customHeight="1">
      <x:c r="A44" s="256" t="str">
        <x:v>C05-SYN-EQ-02</x:v>
      </x:c>
      <x:c r="B44" s="256" t="str">
        <x:v>C05</x:v>
      </x:c>
      <x:c r="C44" s="256" t="str">
        <x:v>禁域星钥</x:v>
      </x:c>
      <x:c r="D44" s="257" t="n">
        <x:v>2</x:v>
      </x:c>
      <x:c r="E44" s="257" t="n">
        <x:v>1</x:v>
      </x:c>
      <x:c r="F44" s="257" t="n">
        <x:f>D44*E44</x:f>
        <x:v>2</x:v>
      </x:c>
      <x:c r="G44" s="256" t="str">
        <x:v>核心配方</x:v>
      </x:c>
      <x:c r="H44" s="256" t="str">
        <x:v>计入PVE情景</x:v>
      </x:c>
    </x:row>
    <x:row r="45" ht="36" customHeight="1">
      <x:c r="A45" s="256" t="str">
        <x:v>C05-SYN-EQ-02</x:v>
      </x:c>
      <x:c r="B45" s="256" t="str">
        <x:v>C05</x:v>
      </x:c>
      <x:c r="C45" s="256" t="str">
        <x:v>失色锻造石</x:v>
      </x:c>
      <x:c r="D45" s="257" t="n">
        <x:v>65</x:v>
      </x:c>
      <x:c r="E45" s="257" t="n">
        <x:v>1</x:v>
      </x:c>
      <x:c r="F45" s="257" t="n">
        <x:f>D45*E45</x:f>
        <x:v>65</x:v>
      </x:c>
      <x:c r="G45" s="256" t="str">
        <x:v>核心配方</x:v>
      </x:c>
      <x:c r="H45" s="256" t="str">
        <x:v>计入PVE情景</x:v>
      </x:c>
    </x:row>
    <x:row r="46" ht="36" customHeight="1">
      <x:c r="A46" s="256" t="str">
        <x:v>C06-SYN-EQ-01</x:v>
      </x:c>
      <x:c r="B46" s="256" t="str">
        <x:v>C06</x:v>
      </x:c>
      <x:c r="C46" s="256" t="str">
        <x:v>猩红矿渣</x:v>
      </x:c>
      <x:c r="D46" s="257" t="n">
        <x:v>420</x:v>
      </x:c>
      <x:c r="E46" s="257" t="n">
        <x:v>1</x:v>
      </x:c>
      <x:c r="F46" s="257" t="n">
        <x:f>D46*E46</x:f>
        <x:v>420</x:v>
      </x:c>
      <x:c r="G46" s="256" t="str">
        <x:v>核心配方</x:v>
      </x:c>
      <x:c r="H46" s="256" t="str">
        <x:v>计入PVE情景</x:v>
      </x:c>
    </x:row>
    <x:row r="47" ht="36" customHeight="1">
      <x:c r="A47" s="256" t="str">
        <x:v>C06-SYN-EQ-01</x:v>
      </x:c>
      <x:c r="B47" s="256" t="str">
        <x:v>C06</x:v>
      </x:c>
      <x:c r="C47" s="256" t="str">
        <x:v>红狮断箭</x:v>
      </x:c>
      <x:c r="D47" s="257" t="n">
        <x:v>90</x:v>
      </x:c>
      <x:c r="E47" s="257" t="n">
        <x:v>1</x:v>
      </x:c>
      <x:c r="F47" s="257" t="n">
        <x:f>D47*E47</x:f>
        <x:v>90</x:v>
      </x:c>
      <x:c r="G47" s="256" t="str">
        <x:v>核心配方</x:v>
      </x:c>
      <x:c r="H47" s="256" t="str">
        <x:v>计入PVE情景</x:v>
      </x:c>
    </x:row>
    <x:row r="48" ht="36" customHeight="1">
      <x:c r="A48" s="256" t="str">
        <x:v>C06-SYN-EQ-01</x:v>
      </x:c>
      <x:c r="B48" s="256" t="str">
        <x:v>C06</x:v>
      </x:c>
      <x:c r="C48" s="256" t="str">
        <x:v>红狮战印</x:v>
      </x:c>
      <x:c r="D48" s="257" t="n">
        <x:v>12</x:v>
      </x:c>
      <x:c r="E48" s="257" t="n">
        <x:v>1</x:v>
      </x:c>
      <x:c r="F48" s="257" t="n">
        <x:f>D48*E48</x:f>
        <x:v>12</x:v>
      </x:c>
      <x:c r="G48" s="256" t="str">
        <x:v>核心配方</x:v>
      </x:c>
      <x:c r="H48" s="256" t="str">
        <x:v>计入PVE情景</x:v>
      </x:c>
    </x:row>
    <x:row r="49" ht="36" customHeight="1">
      <x:c r="A49" s="256" t="str">
        <x:v>C06-SYN-EQ-01</x:v>
      </x:c>
      <x:c r="B49" s="256" t="str">
        <x:v>C06</x:v>
      </x:c>
      <x:c r="C49" s="256" t="str">
        <x:v>失色锻造石</x:v>
      </x:c>
      <x:c r="D49" s="257" t="n">
        <x:v>70</x:v>
      </x:c>
      <x:c r="E49" s="257" t="n">
        <x:v>1</x:v>
      </x:c>
      <x:c r="F49" s="257" t="n">
        <x:f>D49*E49</x:f>
        <x:v>70</x:v>
      </x:c>
      <x:c r="G49" s="256" t="str">
        <x:v>核心配方</x:v>
      </x:c>
      <x:c r="H49" s="256" t="str">
        <x:v>计入PVE情景</x:v>
      </x:c>
    </x:row>
    <x:row r="50" ht="36" customHeight="1">
      <x:c r="A50" s="256" t="str">
        <x:v>C06-SYN-EQ-02</x:v>
      </x:c>
      <x:c r="B50" s="256" t="str">
        <x:v>C06</x:v>
      </x:c>
      <x:c r="C50" s="256" t="str">
        <x:v>猩红矿渣</x:v>
      </x:c>
      <x:c r="D50" s="257" t="n">
        <x:v>420</x:v>
      </x:c>
      <x:c r="E50" s="257" t="n">
        <x:v>1</x:v>
      </x:c>
      <x:c r="F50" s="257" t="n">
        <x:f>D50*E50</x:f>
        <x:v>420</x:v>
      </x:c>
      <x:c r="G50" s="256" t="str">
        <x:v>核心配方</x:v>
      </x:c>
      <x:c r="H50" s="256" t="str">
        <x:v>计入PVE情景</x:v>
      </x:c>
    </x:row>
    <x:row r="51" ht="36" customHeight="1">
      <x:c r="A51" s="256" t="str">
        <x:v>C06-SYN-EQ-02</x:v>
      </x:c>
      <x:c r="B51" s="256" t="str">
        <x:v>C06</x:v>
      </x:c>
      <x:c r="C51" s="256" t="str">
        <x:v>净火腺囊</x:v>
      </x:c>
      <x:c r="D51" s="257" t="n">
        <x:v>26</x:v>
      </x:c>
      <x:c r="E51" s="257" t="n">
        <x:v>1</x:v>
      </x:c>
      <x:c r="F51" s="257" t="n">
        <x:f>D51*E51</x:f>
        <x:v>26</x:v>
      </x:c>
      <x:c r="G51" s="256" t="str">
        <x:v>核心配方</x:v>
      </x:c>
      <x:c r="H51" s="256" t="str">
        <x:v>计入PVE情景</x:v>
      </x:c>
    </x:row>
    <x:row r="52" ht="36" customHeight="1">
      <x:c r="A52" s="256" t="str">
        <x:v>C06-SYN-EQ-02</x:v>
      </x:c>
      <x:c r="B52" s="256" t="str">
        <x:v>C06</x:v>
      </x:c>
      <x:c r="C52" s="256" t="str">
        <x:v>龙窟熔牙</x:v>
      </x:c>
      <x:c r="D52" s="257" t="n">
        <x:v>8</x:v>
      </x:c>
      <x:c r="E52" s="257" t="n">
        <x:v>1</x:v>
      </x:c>
      <x:c r="F52" s="257" t="n">
        <x:f>D52*E52</x:f>
        <x:v>8</x:v>
      </x:c>
      <x:c r="G52" s="256" t="str">
        <x:v>核心配方</x:v>
      </x:c>
      <x:c r="H52" s="256" t="str">
        <x:v>计入PVE情景</x:v>
      </x:c>
    </x:row>
    <x:row r="53" ht="36" customHeight="1">
      <x:c r="A53" s="256" t="str">
        <x:v>C06-SYN-EQ-02</x:v>
      </x:c>
      <x:c r="B53" s="256" t="str">
        <x:v>C06</x:v>
      </x:c>
      <x:c r="C53" s="256" t="str">
        <x:v>失色锻造石</x:v>
      </x:c>
      <x:c r="D53" s="257" t="n">
        <x:v>70</x:v>
      </x:c>
      <x:c r="E53" s="257" t="n">
        <x:v>1</x:v>
      </x:c>
      <x:c r="F53" s="257" t="n">
        <x:f>D53*E53</x:f>
        <x:v>70</x:v>
      </x:c>
      <x:c r="G53" s="256" t="str">
        <x:v>核心配方</x:v>
      </x:c>
      <x:c r="H53" s="256" t="str">
        <x:v>计入PVE情景</x:v>
      </x:c>
    </x:row>
    <x:row r="54" ht="36" customHeight="1">
      <x:c r="A54" s="256" t="str">
        <x:v>C06-SYN-EQ-03</x:v>
      </x:c>
      <x:c r="B54" s="256" t="str">
        <x:v>C06</x:v>
      </x:c>
      <x:c r="C54" s="256" t="str">
        <x:v>猩红矿渣</x:v>
      </x:c>
      <x:c r="D54" s="257" t="n">
        <x:v>550</x:v>
      </x:c>
      <x:c r="E54" s="257" t="n">
        <x:v>1</x:v>
      </x:c>
      <x:c r="F54" s="257" t="n">
        <x:f>D54*E54</x:f>
        <x:v>550</x:v>
      </x:c>
      <x:c r="G54" s="256" t="str">
        <x:v>核心配方</x:v>
      </x:c>
      <x:c r="H54" s="256" t="str">
        <x:v>计入PVE情景</x:v>
      </x:c>
    </x:row>
    <x:row r="55" ht="36" customHeight="1">
      <x:c r="A55" s="256" t="str">
        <x:v>C06-SYN-EQ-03</x:v>
      </x:c>
      <x:c r="B55" s="256" t="str">
        <x:v>C06</x:v>
      </x:c>
      <x:c r="C55" s="256" t="str">
        <x:v>碎星仪仗钉</x:v>
      </x:c>
      <x:c r="D55" s="257" t="n">
        <x:v>2</x:v>
      </x:c>
      <x:c r="E55" s="257" t="n">
        <x:v>1</x:v>
      </x:c>
      <x:c r="F55" s="257" t="n">
        <x:f>D55*E55</x:f>
        <x:v>2</x:v>
      </x:c>
      <x:c r="G55" s="256" t="str">
        <x:v>核心配方</x:v>
      </x:c>
      <x:c r="H55" s="256" t="str">
        <x:v>计入PVE情景</x:v>
      </x:c>
    </x:row>
    <x:row r="56" ht="36" customHeight="1">
      <x:c r="A56" s="256" t="str">
        <x:v>C06-SYN-EQ-03</x:v>
      </x:c>
      <x:c r="B56" s="256" t="str">
        <x:v>C06</x:v>
      </x:c>
      <x:c r="C56" s="256" t="str">
        <x:v>红狮战印</x:v>
      </x:c>
      <x:c r="D56" s="257" t="n">
        <x:v>16</x:v>
      </x:c>
      <x:c r="E56" s="257" t="n">
        <x:v>1</x:v>
      </x:c>
      <x:c r="F56" s="257" t="n">
        <x:f>D56*E56</x:f>
        <x:v>16</x:v>
      </x:c>
      <x:c r="G56" s="256" t="str">
        <x:v>核心配方</x:v>
      </x:c>
      <x:c r="H56" s="256" t="str">
        <x:v>计入PVE情景</x:v>
      </x:c>
    </x:row>
    <x:row r="57" ht="36" customHeight="1">
      <x:c r="A57" s="256" t="str">
        <x:v>C06-SYN-EQ-03</x:v>
      </x:c>
      <x:c r="B57" s="256" t="str">
        <x:v>C06</x:v>
      </x:c>
      <x:c r="C57" s="256" t="str">
        <x:v>失色锻造石</x:v>
      </x:c>
      <x:c r="D57" s="257" t="n">
        <x:v>90</x:v>
      </x:c>
      <x:c r="E57" s="257" t="n">
        <x:v>1</x:v>
      </x:c>
      <x:c r="F57" s="257" t="n">
        <x:f>D57*E57</x:f>
        <x:v>90</x:v>
      </x:c>
      <x:c r="G57" s="256" t="str">
        <x:v>核心配方</x:v>
      </x:c>
      <x:c r="H57" s="256" t="str">
        <x:v>计入PVE情景</x:v>
      </x:c>
    </x:row>
    <x:row r="58" ht="36" customHeight="1">
      <x:c r="A58" s="256" t="str">
        <x:v>C07-SYN-EQ-01</x:v>
      </x:c>
      <x:c r="B58" s="256" t="str">
        <x:v>C07</x:v>
      </x:c>
      <x:c r="C58" s="256" t="str">
        <x:v>冻晶尘</x:v>
      </x:c>
      <x:c r="D58" s="257" t="n">
        <x:v>720</x:v>
      </x:c>
      <x:c r="E58" s="257" t="n">
        <x:v>1</x:v>
      </x:c>
      <x:c r="F58" s="257" t="n">
        <x:f>D58*E58</x:f>
        <x:v>720</x:v>
      </x:c>
      <x:c r="G58" s="256" t="str">
        <x:v>核心配方</x:v>
      </x:c>
      <x:c r="H58" s="256" t="str">
        <x:v>计入PVE情景</x:v>
      </x:c>
    </x:row>
    <x:row r="59" ht="36" customHeight="1">
      <x:c r="A59" s="256" t="str">
        <x:v>C07-SYN-EQ-01</x:v>
      </x:c>
      <x:c r="B59" s="256" t="str">
        <x:v>C07</x:v>
      </x:c>
      <x:c r="C59" s="256" t="str">
        <x:v>白金路标片</x:v>
      </x:c>
      <x:c r="D59" s="257" t="n">
        <x:v>145</x:v>
      </x:c>
      <x:c r="E59" s="257" t="n">
        <x:v>1</x:v>
      </x:c>
      <x:c r="F59" s="257" t="n">
        <x:f>D59*E59</x:f>
        <x:v>145</x:v>
      </x:c>
      <x:c r="G59" s="256" t="str">
        <x:v>核心配方</x:v>
      </x:c>
      <x:c r="H59" s="256" t="str">
        <x:v>计入PVE情景</x:v>
      </x:c>
    </x:row>
    <x:row r="60" ht="36" customHeight="1">
      <x:c r="A60" s="256" t="str">
        <x:v>C07-SYN-EQ-01</x:v>
      </x:c>
      <x:c r="B60" s="256" t="str">
        <x:v>C07</x:v>
      </x:c>
      <x:c r="C60" s="256" t="str">
        <x:v>圣雪誓印</x:v>
      </x:c>
      <x:c r="D60" s="257" t="n">
        <x:v>18</x:v>
      </x:c>
      <x:c r="E60" s="257" t="n">
        <x:v>1</x:v>
      </x:c>
      <x:c r="F60" s="257" t="n">
        <x:f>D60*E60</x:f>
        <x:v>18</x:v>
      </x:c>
      <x:c r="G60" s="256" t="str">
        <x:v>核心配方</x:v>
      </x:c>
      <x:c r="H60" s="256" t="str">
        <x:v>计入PVE情景</x:v>
      </x:c>
    </x:row>
    <x:row r="61" ht="36" customHeight="1">
      <x:c r="A61" s="256" t="str">
        <x:v>C07-SYN-EQ-01</x:v>
      </x:c>
      <x:c r="B61" s="256" t="str">
        <x:v>C07</x:v>
      </x:c>
      <x:c r="C61" s="256" t="str">
        <x:v>失色锻造石</x:v>
      </x:c>
      <x:c r="D61" s="257" t="n">
        <x:v>125</x:v>
      </x:c>
      <x:c r="E61" s="257" t="n">
        <x:v>1</x:v>
      </x:c>
      <x:c r="F61" s="257" t="n">
        <x:f>D61*E61</x:f>
        <x:v>125</x:v>
      </x:c>
      <x:c r="G61" s="256" t="str">
        <x:v>核心配方</x:v>
      </x:c>
      <x:c r="H61" s="256" t="str">
        <x:v>计入PVE情景</x:v>
      </x:c>
    </x:row>
    <x:row r="62" ht="36" customHeight="1">
      <x:c r="A62" s="256" t="str">
        <x:v>C07-SYN-EQ-02</x:v>
      </x:c>
      <x:c r="B62" s="256" t="str">
        <x:v>C07</x:v>
      </x:c>
      <x:c r="C62" s="256" t="str">
        <x:v>冻晶尘</x:v>
      </x:c>
      <x:c r="D62" s="257" t="n">
        <x:v>720</x:v>
      </x:c>
      <x:c r="E62" s="257" t="n">
        <x:v>1</x:v>
      </x:c>
      <x:c r="F62" s="257" t="n">
        <x:f>D62*E62</x:f>
        <x:v>720</x:v>
      </x:c>
      <x:c r="G62" s="256" t="str">
        <x:v>核心配方</x:v>
      </x:c>
      <x:c r="H62" s="256" t="str">
        <x:v>计入PVE情景</x:v>
      </x:c>
    </x:row>
    <x:row r="63" ht="36" customHeight="1">
      <x:c r="A63" s="256" t="str">
        <x:v>C07-SYN-EQ-02</x:v>
      </x:c>
      <x:c r="B63" s="256" t="str">
        <x:v>C07</x:v>
      </x:c>
      <x:c r="C63" s="256" t="str">
        <x:v>秘树霜芽</x:v>
      </x:c>
      <x:c r="D63" s="257" t="n">
        <x:v>12</x:v>
      </x:c>
      <x:c r="E63" s="257" t="n">
        <x:v>1</x:v>
      </x:c>
      <x:c r="F63" s="257" t="n">
        <x:f>D63*E63</x:f>
        <x:v>12</x:v>
      </x:c>
      <x:c r="G63" s="256" t="str">
        <x:v>核心配方</x:v>
      </x:c>
      <x:c r="H63" s="256" t="str">
        <x:v>计入PVE情景</x:v>
      </x:c>
    </x:row>
    <x:row r="64" ht="36" customHeight="1">
      <x:c r="A64" s="256" t="str">
        <x:v>C07-SYN-EQ-02</x:v>
      </x:c>
      <x:c r="B64" s="256" t="str">
        <x:v>C07</x:v>
      </x:c>
      <x:c r="C64" s="256" t="str">
        <x:v>圣雪门楔</x:v>
      </x:c>
      <x:c r="D64" s="257" t="n">
        <x:v>4</x:v>
      </x:c>
      <x:c r="E64" s="257" t="n">
        <x:v>1</x:v>
      </x:c>
      <x:c r="F64" s="257" t="n">
        <x:f>D64*E64</x:f>
        <x:v>4</x:v>
      </x:c>
      <x:c r="G64" s="256" t="str">
        <x:v>核心配方</x:v>
      </x:c>
      <x:c r="H64" s="256" t="str">
        <x:v>计入PVE情景</x:v>
      </x:c>
    </x:row>
    <x:row r="65" ht="36" customHeight="1">
      <x:c r="A65" s="256" t="str">
        <x:v>C07-SYN-EQ-02</x:v>
      </x:c>
      <x:c r="B65" s="256" t="str">
        <x:v>C07</x:v>
      </x:c>
      <x:c r="C65" s="256" t="str">
        <x:v>失色锻造石</x:v>
      </x:c>
      <x:c r="D65" s="257" t="n">
        <x:v>125</x:v>
      </x:c>
      <x:c r="E65" s="257" t="n">
        <x:v>1</x:v>
      </x:c>
      <x:c r="F65" s="257" t="n">
        <x:f>D65*E65</x:f>
        <x:v>125</x:v>
      </x:c>
      <x:c r="G65" s="256" t="str">
        <x:v>核心配方</x:v>
      </x:c>
      <x:c r="H65" s="256" t="str">
        <x:v>计入PVE情景</x:v>
      </x:c>
    </x:row>
    <x:row r="66" ht="36" customHeight="1">
      <x:c r="A66" s="256" t="str">
        <x:v>C08-SYN-EQ-01</x:v>
      </x:c>
      <x:c r="B66" s="256" t="str">
        <x:v>C08</x:v>
      </x:c>
      <x:c r="C66" s="256" t="str">
        <x:v>霜脊铁</x:v>
      </x:c>
      <x:c r="D66" s="257" t="n">
        <x:v>700</x:v>
      </x:c>
      <x:c r="E66" s="257" t="n">
        <x:v>1</x:v>
      </x:c>
      <x:c r="F66" s="257" t="n">
        <x:f>D66*E66</x:f>
        <x:v>700</x:v>
      </x:c>
      <x:c r="G66" s="256" t="str">
        <x:v>核心配方</x:v>
      </x:c>
      <x:c r="H66" s="256" t="str">
        <x:v>计入PVE情景</x:v>
      </x:c>
    </x:row>
    <x:row r="67" ht="36" customHeight="1">
      <x:c r="A67" s="256" t="str">
        <x:v>C08-SYN-EQ-01</x:v>
      </x:c>
      <x:c r="B67" s="256" t="str">
        <x:v>C08</x:v>
      </x:c>
      <x:c r="C67" s="256" t="str">
        <x:v>登山铁楔</x:v>
      </x:c>
      <x:c r="D67" s="257" t="n">
        <x:v>145</x:v>
      </x:c>
      <x:c r="E67" s="257" t="n">
        <x:v>1</x:v>
      </x:c>
      <x:c r="F67" s="257" t="n">
        <x:f>D67*E67</x:f>
        <x:v>145</x:v>
      </x:c>
      <x:c r="G67" s="256" t="str">
        <x:v>核心配方</x:v>
      </x:c>
      <x:c r="H67" s="256" t="str">
        <x:v>计入PVE情景</x:v>
      </x:c>
    </x:row>
    <x:row r="68" ht="36" customHeight="1">
      <x:c r="A68" s="256" t="str">
        <x:v>C08-SYN-EQ-01</x:v>
      </x:c>
      <x:c r="B68" s="256" t="str">
        <x:v>C08</x:v>
      </x:c>
      <x:c r="C68" s="256" t="str">
        <x:v>巨人火印</x:v>
      </x:c>
      <x:c r="D68" s="257" t="n">
        <x:v>20</x:v>
      </x:c>
      <x:c r="E68" s="257" t="n">
        <x:v>1</x:v>
      </x:c>
      <x:c r="F68" s="257" t="n">
        <x:f>D68*E68</x:f>
        <x:v>20</x:v>
      </x:c>
      <x:c r="G68" s="256" t="str">
        <x:v>核心配方</x:v>
      </x:c>
      <x:c r="H68" s="256" t="str">
        <x:v>计入PVE情景</x:v>
      </x:c>
    </x:row>
    <x:row r="69" ht="36" customHeight="1">
      <x:c r="A69" s="256" t="str">
        <x:v>C08-SYN-EQ-01</x:v>
      </x:c>
      <x:c r="B69" s="256" t="str">
        <x:v>C08</x:v>
      </x:c>
      <x:c r="C69" s="256" t="str">
        <x:v>失色锻造石</x:v>
      </x:c>
      <x:c r="D69" s="257" t="n">
        <x:v>130</x:v>
      </x:c>
      <x:c r="E69" s="257" t="n">
        <x:v>1</x:v>
      </x:c>
      <x:c r="F69" s="257" t="n">
        <x:f>D69*E69</x:f>
        <x:v>130</x:v>
      </x:c>
      <x:c r="G69" s="256" t="str">
        <x:v>核心配方</x:v>
      </x:c>
      <x:c r="H69" s="256" t="str">
        <x:v>计入PVE情景</x:v>
      </x:c>
    </x:row>
    <x:row r="70" ht="36" customHeight="1">
      <x:c r="A70" s="256" t="str">
        <x:v>C08-SYN-EQ-02</x:v>
      </x:c>
      <x:c r="B70" s="256" t="str">
        <x:v>C08</x:v>
      </x:c>
      <x:c r="C70" s="256" t="str">
        <x:v>霜脊铁</x:v>
      </x:c>
      <x:c r="D70" s="257" t="n">
        <x:v>700</x:v>
      </x:c>
      <x:c r="E70" s="257" t="n">
        <x:v>1</x:v>
      </x:c>
      <x:c r="F70" s="257" t="n">
        <x:f>D70*E70</x:f>
        <x:v>700</x:v>
      </x:c>
      <x:c r="G70" s="256" t="str">
        <x:v>核心配方</x:v>
      </x:c>
      <x:c r="H70" s="256" t="str">
        <x:v>计入PVE情景</x:v>
      </x:c>
    </x:row>
    <x:row r="71" ht="36" customHeight="1">
      <x:c r="A71" s="256" t="str">
        <x:v>C08-SYN-EQ-02</x:v>
      </x:c>
      <x:c r="B71" s="256" t="str">
        <x:v>C08</x:v>
      </x:c>
      <x:c r="C71" s="256" t="str">
        <x:v>裂峰号角片</x:v>
      </x:c>
      <x:c r="D71" s="257" t="n">
        <x:v>44</x:v>
      </x:c>
      <x:c r="E71" s="257" t="n">
        <x:v>1</x:v>
      </x:c>
      <x:c r="F71" s="257" t="n">
        <x:f>D71*E71</x:f>
        <x:v>44</x:v>
      </x:c>
      <x:c r="G71" s="256" t="str">
        <x:v>核心配方</x:v>
      </x:c>
      <x:c r="H71" s="256" t="str">
        <x:v>计入PVE情景</x:v>
      </x:c>
    </x:row>
    <x:row r="72" ht="36" customHeight="1">
      <x:c r="A72" s="256" t="str">
        <x:v>C08-SYN-EQ-02</x:v>
      </x:c>
      <x:c r="B72" s="256" t="str">
        <x:v>C08</x:v>
      </x:c>
      <x:c r="C72" s="256" t="str">
        <x:v>冰宫守门铃</x:v>
      </x:c>
      <x:c r="D72" s="257" t="n">
        <x:v>12</x:v>
      </x:c>
      <x:c r="E72" s="257" t="n">
        <x:v>1</x:v>
      </x:c>
      <x:c r="F72" s="257" t="n">
        <x:f>D72*E72</x:f>
        <x:v>12</x:v>
      </x:c>
      <x:c r="G72" s="256" t="str">
        <x:v>核心配方</x:v>
      </x:c>
      <x:c r="H72" s="256" t="str">
        <x:v>计入PVE情景</x:v>
      </x:c>
    </x:row>
    <x:row r="73" ht="36" customHeight="1">
      <x:c r="A73" s="256" t="str">
        <x:v>C08-SYN-EQ-02</x:v>
      </x:c>
      <x:c r="B73" s="256" t="str">
        <x:v>C08</x:v>
      </x:c>
      <x:c r="C73" s="256" t="str">
        <x:v>失色锻造石</x:v>
      </x:c>
      <x:c r="D73" s="257" t="n">
        <x:v>130</x:v>
      </x:c>
      <x:c r="E73" s="257" t="n">
        <x:v>1</x:v>
      </x:c>
      <x:c r="F73" s="257" t="n">
        <x:f>D73*E73</x:f>
        <x:v>130</x:v>
      </x:c>
      <x:c r="G73" s="256" t="str">
        <x:v>核心配方</x:v>
      </x:c>
      <x:c r="H73" s="256" t="str">
        <x:v>计入PVE情景</x:v>
      </x:c>
    </x:row>
    <x:row r="74" ht="36" customHeight="1">
      <x:c r="A74" s="256" t="str">
        <x:v>C08-SYN-EQ-03</x:v>
      </x:c>
      <x:c r="B74" s="256" t="str">
        <x:v>C08</x:v>
      </x:c>
      <x:c r="C74" s="256" t="str">
        <x:v>霜脊铁</x:v>
      </x:c>
      <x:c r="D74" s="257" t="n">
        <x:v>910</x:v>
      </x:c>
      <x:c r="E74" s="257" t="n">
        <x:v>1</x:v>
      </x:c>
      <x:c r="F74" s="257" t="n">
        <x:f>D74*E74</x:f>
        <x:v>910</x:v>
      </x:c>
      <x:c r="G74" s="256" t="str">
        <x:v>核心配方</x:v>
      </x:c>
      <x:c r="H74" s="256" t="str">
        <x:v>计入PVE情景</x:v>
      </x:c>
    </x:row>
    <x:row r="75" ht="36" customHeight="1">
      <x:c r="A75" s="256" t="str">
        <x:v>C08-SYN-EQ-03</x:v>
      </x:c>
      <x:c r="B75" s="256" t="str">
        <x:v>C08</x:v>
      </x:c>
      <x:c r="C75" s="256" t="str">
        <x:v>王庭炉冠</x:v>
      </x:c>
      <x:c r="D75" s="257" t="n">
        <x:v>4</x:v>
      </x:c>
      <x:c r="E75" s="257" t="n">
        <x:v>1</x:v>
      </x:c>
      <x:c r="F75" s="257" t="n">
        <x:f>D75*E75</x:f>
        <x:v>4</x:v>
      </x:c>
      <x:c r="G75" s="256" t="str">
        <x:v>核心配方</x:v>
      </x:c>
      <x:c r="H75" s="256" t="str">
        <x:v>计入PVE情景</x:v>
      </x:c>
    </x:row>
    <x:row r="76" ht="36" customHeight="1">
      <x:c r="A76" s="256" t="str">
        <x:v>C08-SYN-EQ-03</x:v>
      </x:c>
      <x:c r="B76" s="256" t="str">
        <x:v>C08</x:v>
      </x:c>
      <x:c r="C76" s="256" t="str">
        <x:v>巨人火印</x:v>
      </x:c>
      <x:c r="D76" s="257" t="n">
        <x:v>24</x:v>
      </x:c>
      <x:c r="E76" s="257" t="n">
        <x:v>1</x:v>
      </x:c>
      <x:c r="F76" s="257" t="n">
        <x:f>D76*E76</x:f>
        <x:v>24</x:v>
      </x:c>
      <x:c r="G76" s="256" t="str">
        <x:v>核心配方</x:v>
      </x:c>
      <x:c r="H76" s="256" t="str">
        <x:v>计入PVE情景</x:v>
      </x:c>
    </x:row>
    <x:row r="77" ht="36" customHeight="1">
      <x:c r="A77" s="256" t="str">
        <x:v>C08-SYN-EQ-03</x:v>
      </x:c>
      <x:c r="B77" s="256" t="str">
        <x:v>C08</x:v>
      </x:c>
      <x:c r="C77" s="256" t="str">
        <x:v>失色锻造石</x:v>
      </x:c>
      <x:c r="D77" s="257" t="n">
        <x:v>170</x:v>
      </x:c>
      <x:c r="E77" s="257" t="n">
        <x:v>1</x:v>
      </x:c>
      <x:c r="F77" s="257" t="n">
        <x:f>D77*E77</x:f>
        <x:v>170</x:v>
      </x:c>
      <x:c r="G77" s="256" t="str">
        <x:v>核心配方</x:v>
      </x:c>
      <x:c r="H77" s="256" t="str">
        <x:v>计入PVE情景</x:v>
      </x:c>
    </x:row>
    <x:row r="78" ht="36" customHeight="1">
      <x:c r="A78" s="256" t="str">
        <x:v>C09-SYN-EQ-01</x:v>
      </x:c>
      <x:c r="B78" s="256" t="str">
        <x:v>C09</x:v>
      </x:c>
      <x:c r="C78" s="256" t="str">
        <x:v>黄金叶脉</x:v>
      </x:c>
      <x:c r="D78" s="257" t="n">
        <x:v>1000</x:v>
      </x:c>
      <x:c r="E78" s="257" t="n">
        <x:v>1</x:v>
      </x:c>
      <x:c r="F78" s="257" t="n">
        <x:f>D78*E78</x:f>
        <x:v>1000</x:v>
      </x:c>
      <x:c r="G78" s="256" t="str">
        <x:v>核心配方</x:v>
      </x:c>
      <x:c r="H78" s="256" t="str">
        <x:v>计入PVE情景</x:v>
      </x:c>
    </x:row>
    <x:row r="79" ht="36" customHeight="1">
      <x:c r="A79" s="256" t="str">
        <x:v>C09-SYN-EQ-01</x:v>
      </x:c>
      <x:c r="B79" s="256" t="str">
        <x:v>C09</x:v>
      </x:c>
      <x:c r="C79" s="256" t="str">
        <x:v>裁文蜡封</x:v>
      </x:c>
      <x:c r="D79" s="257" t="n">
        <x:v>18</x:v>
      </x:c>
      <x:c r="E79" s="257" t="n">
        <x:v>1</x:v>
      </x:c>
      <x:c r="F79" s="257" t="n">
        <x:f>D79*E79</x:f>
        <x:v>18</x:v>
      </x:c>
      <x:c r="G79" s="256" t="str">
        <x:v>核心配方</x:v>
      </x:c>
      <x:c r="H79" s="256" t="str">
        <x:v>计入PVE情景</x:v>
      </x:c>
    </x:row>
    <x:row r="80" ht="36" customHeight="1">
      <x:c r="A80" s="256" t="str">
        <x:v>C09-SYN-EQ-01</x:v>
      </x:c>
      <x:c r="B80" s="256" t="str">
        <x:v>C09</x:v>
      </x:c>
      <x:c r="C80" s="256" t="str">
        <x:v>黄金律印</x:v>
      </x:c>
      <x:c r="D80" s="257" t="n">
        <x:v>28</x:v>
      </x:c>
      <x:c r="E80" s="257" t="n">
        <x:v>1</x:v>
      </x:c>
      <x:c r="F80" s="257" t="n">
        <x:f>D80*E80</x:f>
        <x:v>28</x:v>
      </x:c>
      <x:c r="G80" s="256" t="str">
        <x:v>核心配方</x:v>
      </x:c>
      <x:c r="H80" s="256" t="str">
        <x:v>计入PVE情景</x:v>
      </x:c>
    </x:row>
    <x:row r="81" ht="36" customHeight="1">
      <x:c r="A81" s="256" t="str">
        <x:v>C09-SYN-EQ-01</x:v>
      </x:c>
      <x:c r="B81" s="256" t="str">
        <x:v>C09</x:v>
      </x:c>
      <x:c r="C81" s="256" t="str">
        <x:v>失色锻造石</x:v>
      </x:c>
      <x:c r="D81" s="257" t="n">
        <x:v>220</x:v>
      </x:c>
      <x:c r="E81" s="257" t="n">
        <x:v>1</x:v>
      </x:c>
      <x:c r="F81" s="257" t="n">
        <x:f>D81*E81</x:f>
        <x:v>220</x:v>
      </x:c>
      <x:c r="G81" s="256" t="str">
        <x:v>核心配方</x:v>
      </x:c>
      <x:c r="H81" s="256" t="str">
        <x:v>计入PVE情景</x:v>
      </x:c>
    </x:row>
    <x:row r="82" ht="36" customHeight="1">
      <x:c r="A82" s="256" t="str">
        <x:v>C09-SYN-EQ-02</x:v>
      </x:c>
      <x:c r="B82" s="256" t="str">
        <x:v>C09</x:v>
      </x:c>
      <x:c r="C82" s="256" t="str">
        <x:v>黄金叶脉</x:v>
      </x:c>
      <x:c r="D82" s="257" t="n">
        <x:v>1100</x:v>
      </x:c>
      <x:c r="E82" s="257" t="n">
        <x:v>1</x:v>
      </x:c>
      <x:c r="F82" s="257" t="n">
        <x:f>D82*E82</x:f>
        <x:v>1100</x:v>
      </x:c>
      <x:c r="G82" s="256" t="str">
        <x:v>核心配方</x:v>
      </x:c>
      <x:c r="H82" s="256" t="str">
        <x:v>计入PVE情景</x:v>
      </x:c>
    </x:row>
    <x:row r="83" ht="36" customHeight="1">
      <x:c r="A83" s="256" t="str">
        <x:v>C09-SYN-EQ-02</x:v>
      </x:c>
      <x:c r="B83" s="256" t="str">
        <x:v>C09</x:v>
      </x:c>
      <x:c r="C83" s="256" t="str">
        <x:v>高原王诏金版</x:v>
      </x:c>
      <x:c r="D83" s="257" t="n">
        <x:v>5</x:v>
      </x:c>
      <x:c r="E83" s="257" t="n">
        <x:v>1</x:v>
      </x:c>
      <x:c r="F83" s="257" t="n">
        <x:f>D83*E83</x:f>
        <x:v>5</x:v>
      </x:c>
      <x:c r="G83" s="256" t="str">
        <x:v>核心配方</x:v>
      </x:c>
      <x:c r="H83" s="256" t="str">
        <x:v>计入PVE情景</x:v>
      </x:c>
    </x:row>
    <x:row r="84" ht="36" customHeight="1">
      <x:c r="A84" s="256" t="str">
        <x:v>C09-SYN-EQ-02</x:v>
      </x:c>
      <x:c r="B84" s="256" t="str">
        <x:v>C09</x:v>
      </x:c>
      <x:c r="C84" s="256" t="str">
        <x:v>黄金律印</x:v>
      </x:c>
      <x:c r="D84" s="257" t="n">
        <x:v>32</x:v>
      </x:c>
      <x:c r="E84" s="257" t="n">
        <x:v>1</x:v>
      </x:c>
      <x:c r="F84" s="257" t="n">
        <x:f>D84*E84</x:f>
        <x:v>32</x:v>
      </x:c>
      <x:c r="G84" s="256" t="str">
        <x:v>核心配方</x:v>
      </x:c>
      <x:c r="H84" s="256" t="str">
        <x:v>计入PVE情景</x:v>
      </x:c>
    </x:row>
    <x:row r="85" ht="36" customHeight="1">
      <x:c r="A85" s="256" t="str">
        <x:v>C09-SYN-EQ-02</x:v>
      </x:c>
      <x:c r="B85" s="256" t="str">
        <x:v>C09</x:v>
      </x:c>
      <x:c r="C85" s="256" t="str">
        <x:v>失色锻造石</x:v>
      </x:c>
      <x:c r="D85" s="257" t="n">
        <x:v>230</x:v>
      </x:c>
      <x:c r="E85" s="257" t="n">
        <x:v>1</x:v>
      </x:c>
      <x:c r="F85" s="257" t="n">
        <x:f>D85*E85</x:f>
        <x:v>230</x:v>
      </x:c>
      <x:c r="G85" s="256" t="str">
        <x:v>核心配方</x:v>
      </x:c>
      <x:c r="H85" s="256" t="str">
        <x:v>计入PVE情景</x:v>
      </x:c>
    </x:row>
    <x:row r="86" ht="36" customHeight="1">
      <x:c r="A86" s="256" t="str">
        <x:v>C10-SYN-EQ-01</x:v>
      </x:c>
      <x:c r="B86" s="256" t="str">
        <x:v>C10</x:v>
      </x:c>
      <x:c r="C86" s="256" t="str">
        <x:v>王城金屑</x:v>
      </x:c>
      <x:c r="D86" s="257" t="n">
        <x:v>1100</x:v>
      </x:c>
      <x:c r="E86" s="257" t="n">
        <x:v>1</x:v>
      </x:c>
      <x:c r="F86" s="257" t="n">
        <x:f>D86*E86</x:f>
        <x:v>1100</x:v>
      </x:c>
      <x:c r="G86" s="256" t="str">
        <x:v>核心配方</x:v>
      </x:c>
      <x:c r="H86" s="256" t="str">
        <x:v>计入PVE情景</x:v>
      </x:c>
    </x:row>
    <x:row r="87" ht="36" customHeight="1">
      <x:c r="A87" s="256" t="str">
        <x:v>C10-SYN-EQ-01</x:v>
      </x:c>
      <x:c r="B87" s="256" t="str">
        <x:v>C10</x:v>
      </x:c>
      <x:c r="C87" s="256" t="str">
        <x:v>王宫断冠片</x:v>
      </x:c>
      <x:c r="D87" s="257" t="n">
        <x:v>6</x:v>
      </x:c>
      <x:c r="E87" s="257" t="n">
        <x:v>1</x:v>
      </x:c>
      <x:c r="F87" s="257" t="n">
        <x:f>D87*E87</x:f>
        <x:v>6</x:v>
      </x:c>
      <x:c r="G87" s="256" t="str">
        <x:v>核心配方</x:v>
      </x:c>
      <x:c r="H87" s="256" t="str">
        <x:v>计入PVE情景</x:v>
      </x:c>
    </x:row>
    <x:row r="88" ht="36" customHeight="1">
      <x:c r="A88" s="256" t="str">
        <x:v>C10-SYN-EQ-01</x:v>
      </x:c>
      <x:c r="B88" s="256" t="str">
        <x:v>C10</x:v>
      </x:c>
      <x:c r="C88" s="256" t="str">
        <x:v>艾尔登王印</x:v>
      </x:c>
      <x:c r="D88" s="257" t="n">
        <x:v>36</x:v>
      </x:c>
      <x:c r="E88" s="257" t="n">
        <x:v>1</x:v>
      </x:c>
      <x:c r="F88" s="257" t="n">
        <x:f>D88*E88</x:f>
        <x:v>36</x:v>
      </x:c>
      <x:c r="G88" s="256" t="str">
        <x:v>核心配方</x:v>
      </x:c>
      <x:c r="H88" s="256" t="str">
        <x:v>计入PVE情景</x:v>
      </x:c>
    </x:row>
    <x:row r="89" ht="36" customHeight="1">
      <x:c r="A89" s="256" t="str">
        <x:v>C10-SYN-EQ-01</x:v>
      </x:c>
      <x:c r="B89" s="256" t="str">
        <x:v>C10</x:v>
      </x:c>
      <x:c r="C89" s="256" t="str">
        <x:v>失色锻造石</x:v>
      </x:c>
      <x:c r="D89" s="257" t="n">
        <x:v>300</x:v>
      </x:c>
      <x:c r="E89" s="257" t="n">
        <x:v>1</x:v>
      </x:c>
      <x:c r="F89" s="257" t="n">
        <x:f>D89*E89</x:f>
        <x:v>300</x:v>
      </x:c>
      <x:c r="G89" s="256" t="str">
        <x:v>核心配方</x:v>
      </x:c>
      <x:c r="H89" s="256" t="str">
        <x:v>计入PVE情景</x:v>
      </x:c>
    </x:row>
    <x:row r="90" ht="36" customHeight="1">
      <x:c r="A90" s="256" t="str">
        <x:v>C10-SYN-EQ-02</x:v>
      </x:c>
      <x:c r="B90" s="256" t="str">
        <x:v>C10</x:v>
      </x:c>
      <x:c r="C90" s="256" t="str">
        <x:v>王城金屑</x:v>
      </x:c>
      <x:c r="D90" s="257" t="n">
        <x:v>1150</x:v>
      </x:c>
      <x:c r="E90" s="257" t="n">
        <x:v>1</x:v>
      </x:c>
      <x:c r="F90" s="257" t="n">
        <x:f>D90*E90</x:f>
        <x:v>1150</x:v>
      </x:c>
      <x:c r="G90" s="256" t="str">
        <x:v>核心配方</x:v>
      </x:c>
      <x:c r="H90" s="256" t="str">
        <x:v>计入PVE情景</x:v>
      </x:c>
    </x:row>
    <x:row r="91" ht="36" customHeight="1">
      <x:c r="A91" s="256" t="str">
        <x:v>C10-SYN-EQ-02</x:v>
      </x:c>
      <x:c r="B91" s="256" t="str">
        <x:v>C10</x:v>
      </x:c>
      <x:c r="C91" s="256" t="str">
        <x:v>无名墓钉</x:v>
      </x:c>
      <x:c r="D91" s="257" t="n">
        <x:v>290</x:v>
      </x:c>
      <x:c r="E91" s="257" t="n">
        <x:v>1</x:v>
      </x:c>
      <x:c r="F91" s="257" t="n">
        <x:f>D91*E91</x:f>
        <x:v>290</x:v>
      </x:c>
      <x:c r="G91" s="256" t="str">
        <x:v>核心配方</x:v>
      </x:c>
      <x:c r="H91" s="256" t="str">
        <x:v>计入PVE情景</x:v>
      </x:c>
    </x:row>
    <x:row r="92" ht="36" customHeight="1">
      <x:c r="A92" s="256" t="str">
        <x:v>C10-SYN-EQ-02</x:v>
      </x:c>
      <x:c r="B92" s="256" t="str">
        <x:v>C10</x:v>
      </x:c>
      <x:c r="C92" s="256" t="str">
        <x:v>艾尔登王印</x:v>
      </x:c>
      <x:c r="D92" s="257" t="n">
        <x:v>40</x:v>
      </x:c>
      <x:c r="E92" s="257" t="n">
        <x:v>1</x:v>
      </x:c>
      <x:c r="F92" s="257" t="n">
        <x:f>D92*E92</x:f>
        <x:v>40</x:v>
      </x:c>
      <x:c r="G92" s="256" t="str">
        <x:v>核心配方</x:v>
      </x:c>
      <x:c r="H92" s="256" t="str">
        <x:v>计入PVE情景</x:v>
      </x:c>
    </x:row>
    <x:row r="93" ht="36" customHeight="1">
      <x:c r="A93" s="256" t="str">
        <x:v>C10-SYN-EQ-02</x:v>
      </x:c>
      <x:c r="B93" s="256" t="str">
        <x:v>C10</x:v>
      </x:c>
      <x:c r="C93" s="256" t="str">
        <x:v>失色锻造石</x:v>
      </x:c>
      <x:c r="D93" s="257" t="n">
        <x:v>320</x:v>
      </x:c>
      <x:c r="E93" s="257" t="n">
        <x:v>1</x:v>
      </x:c>
      <x:c r="F93" s="257" t="n">
        <x:f>D93*E93</x:f>
        <x:v>320</x:v>
      </x:c>
      <x:c r="G93" s="256" t="str">
        <x:v>核心配方</x:v>
      </x:c>
      <x:c r="H93" s="256" t="str">
        <x:v>计入PVE情景</x:v>
      </x:c>
    </x:row>
    <x:row r="94" ht="36" customHeight="1">
      <x:c r="A94" s="256" t="str">
        <x:v>C10-SYN-EQ-03</x:v>
      </x:c>
      <x:c r="B94" s="256" t="str">
        <x:v>C10</x:v>
      </x:c>
      <x:c r="C94" s="256" t="str">
        <x:v>王城金屑</x:v>
      </x:c>
      <x:c r="D94" s="257" t="n">
        <x:v>1150</x:v>
      </x:c>
      <x:c r="E94" s="257" t="n">
        <x:v>1</x:v>
      </x:c>
      <x:c r="F94" s="257" t="n">
        <x:f>D94*E94</x:f>
        <x:v>1150</x:v>
      </x:c>
      <x:c r="G94" s="256" t="str">
        <x:v>核心配方</x:v>
      </x:c>
      <x:c r="H94" s="256" t="str">
        <x:v>计入PVE情景</x:v>
      </x:c>
    </x:row>
    <x:row r="95" ht="36" customHeight="1">
      <x:c r="A95" s="256" t="str">
        <x:v>C10-SYN-EQ-03</x:v>
      </x:c>
      <x:c r="B95" s="256" t="str">
        <x:v>C10</x:v>
      </x:c>
      <x:c r="C95" s="256" t="str">
        <x:v>旧渠阀芯</x:v>
      </x:c>
      <x:c r="D95" s="257" t="n">
        <x:v>90</x:v>
      </x:c>
      <x:c r="E95" s="257" t="n">
        <x:v>1</x:v>
      </x:c>
      <x:c r="F95" s="257" t="n">
        <x:f>D95*E95</x:f>
        <x:v>90</x:v>
      </x:c>
      <x:c r="G95" s="256" t="str">
        <x:v>核心配方</x:v>
      </x:c>
      <x:c r="H95" s="256" t="str">
        <x:v>计入PVE情景</x:v>
      </x:c>
    </x:row>
    <x:row r="96" ht="36" customHeight="1">
      <x:c r="A96" s="256" t="str">
        <x:v>C10-SYN-EQ-03</x:v>
      </x:c>
      <x:c r="B96" s="256" t="str">
        <x:v>C10</x:v>
      </x:c>
      <x:c r="C96" s="256" t="str">
        <x:v>失温熔炉楔</x:v>
      </x:c>
      <x:c r="D96" s="257" t="n">
        <x:v>22</x:v>
      </x:c>
      <x:c r="E96" s="257" t="n">
        <x:v>1</x:v>
      </x:c>
      <x:c r="F96" s="257" t="n">
        <x:f>D96*E96</x:f>
        <x:v>22</x:v>
      </x:c>
      <x:c r="G96" s="256" t="str">
        <x:v>核心配方</x:v>
      </x:c>
      <x:c r="H96" s="256" t="str">
        <x:v>计入PVE情景</x:v>
      </x:c>
    </x:row>
    <x:row r="97" ht="36" customHeight="1">
      <x:c r="A97" s="256" t="str">
        <x:v>C10-SYN-EQ-03</x:v>
      </x:c>
      <x:c r="B97" s="256" t="str">
        <x:v>C10</x:v>
      </x:c>
      <x:c r="C97" s="256" t="str">
        <x:v>艾尔登王印</x:v>
      </x:c>
      <x:c r="D97" s="257" t="n">
        <x:v>40</x:v>
      </x:c>
      <x:c r="E97" s="257" t="n">
        <x:v>1</x:v>
      </x:c>
      <x:c r="F97" s="257" t="n">
        <x:f>D97*E97</x:f>
        <x:v>40</x:v>
      </x:c>
      <x:c r="G97" s="256" t="str">
        <x:v>核心配方</x:v>
      </x:c>
      <x:c r="H97" s="256" t="str">
        <x:v>计入PVE情景</x:v>
      </x:c>
    </x:row>
    <x:row r="98" ht="36" customHeight="1">
      <x:c r="A98" s="256" t="str">
        <x:v>C10-SYN-EQ-03</x:v>
      </x:c>
      <x:c r="B98" s="256" t="str">
        <x:v>C10</x:v>
      </x:c>
      <x:c r="C98" s="256" t="str">
        <x:v>失色锻造石</x:v>
      </x:c>
      <x:c r="D98" s="257" t="n">
        <x:v>320</x:v>
      </x:c>
      <x:c r="E98" s="257" t="n">
        <x:v>1</x:v>
      </x:c>
      <x:c r="F98" s="257" t="n">
        <x:f>D98*E98</x:f>
        <x:v>320</x:v>
      </x:c>
      <x:c r="G98" s="256" t="str">
        <x:v>核心配方</x:v>
      </x:c>
      <x:c r="H98" s="256" t="str">
        <x:v>计入PVE情景</x:v>
      </x:c>
    </x:row>
    <x:row r="99" ht="36" customHeight="1">
      <x:c r="A99" s="256" t="str">
        <x:v>C01-SYN-ZD-01</x:v>
      </x:c>
      <x:c r="B99" s="256" t="str">
        <x:v>C02</x:v>
      </x:c>
      <x:c r="C99" s="256" t="str">
        <x:v>海蚀铁片</x:v>
      </x:c>
      <x:c r="D99" s="257" t="n">
        <x:v>40</x:v>
      </x:c>
      <x:c r="E99" s="257" t="n">
        <x:v>1</x:v>
      </x:c>
      <x:c r="F99" s="257" t="n">
        <x:f>D99*E99</x:f>
        <x:v>40</x:v>
      </x:c>
      <x:c r="G99" s="256" t="str">
        <x:v>核心配方</x:v>
      </x:c>
      <x:c r="H99" s="256" t="str">
        <x:v>计入PVE情景</x:v>
      </x:c>
    </x:row>
    <x:row r="100" ht="36" customHeight="1">
      <x:c r="A100" s="256" t="str">
        <x:v>C01-SYN-ZD-01</x:v>
      </x:c>
      <x:c r="B100" s="256" t="str">
        <x:v>C02</x:v>
      </x:c>
      <x:c r="C100" s="256" t="str">
        <x:v>漂流见证·潮</x:v>
      </x:c>
      <x:c r="D100" s="257" t="n">
        <x:v>6</x:v>
      </x:c>
      <x:c r="E100" s="257" t="n">
        <x:v>1</x:v>
      </x:c>
      <x:c r="F100" s="257" t="n">
        <x:f>D100*E100</x:f>
        <x:v>6</x:v>
      </x:c>
      <x:c r="G100" s="256" t="str">
        <x:v>核心配方</x:v>
      </x:c>
      <x:c r="H100" s="256" t="str">
        <x:v>计入PVE情景</x:v>
      </x:c>
    </x:row>
    <x:row r="101" ht="36" customHeight="1">
      <x:c r="A101" s="256" t="str">
        <x:v>C02-SYN-ZD-01</x:v>
      </x:c>
      <x:c r="B101" s="256" t="str">
        <x:v>C02</x:v>
      </x:c>
      <x:c r="C101" s="256" t="str">
        <x:v>风暴石片</x:v>
      </x:c>
      <x:c r="D101" s="257" t="n">
        <x:v>60</x:v>
      </x:c>
      <x:c r="E101" s="257" t="n">
        <x:v>1</x:v>
      </x:c>
      <x:c r="F101" s="257" t="n">
        <x:f>D101*E101</x:f>
        <x:v>60</x:v>
      </x:c>
      <x:c r="G101" s="256" t="str">
        <x:v>核心配方</x:v>
      </x:c>
      <x:c r="H101" s="256" t="str">
        <x:v>计入PVE情景</x:v>
      </x:c>
    </x:row>
    <x:row r="102" ht="36" customHeight="1">
      <x:c r="A102" s="256" t="str">
        <x:v>C02-SYN-ZD-01</x:v>
      </x:c>
      <x:c r="B102" s="256" t="str">
        <x:v>C02</x:v>
      </x:c>
      <x:c r="C102" s="256" t="str">
        <x:v>接肢王印</x:v>
      </x:c>
      <x:c r="D102" s="257" t="n">
        <x:v>2</x:v>
      </x:c>
      <x:c r="E102" s="257" t="n">
        <x:v>1</x:v>
      </x:c>
      <x:c r="F102" s="257" t="n">
        <x:f>D102*E102</x:f>
        <x:v>2</x:v>
      </x:c>
      <x:c r="G102" s="256" t="str">
        <x:v>核心配方</x:v>
      </x:c>
      <x:c r="H102" s="256" t="str">
        <x:v>计入PVE情景</x:v>
      </x:c>
    </x:row>
    <x:row r="103" ht="36" customHeight="1">
      <x:c r="A103" s="256" t="str">
        <x:v>C03-SYN-ZD-01</x:v>
      </x:c>
      <x:c r="B103" s="256" t="str">
        <x:v>C03</x:v>
      </x:c>
      <x:c r="C103" s="256" t="str">
        <x:v>风蚀铁片</x:v>
      </x:c>
      <x:c r="D103" s="257" t="n">
        <x:v>90</x:v>
      </x:c>
      <x:c r="E103" s="257" t="n">
        <x:v>1</x:v>
      </x:c>
      <x:c r="F103" s="257" t="n">
        <x:f>D103*E103</x:f>
        <x:v>90</x:v>
      </x:c>
      <x:c r="G103" s="256" t="str">
        <x:v>核心配方</x:v>
      </x:c>
      <x:c r="H103" s="256" t="str">
        <x:v>计入PVE情景</x:v>
      </x:c>
    </x:row>
    <x:row r="104" ht="36" customHeight="1">
      <x:c r="A104" s="256" t="str">
        <x:v>C03-SYN-ZD-01</x:v>
      </x:c>
      <x:c r="B104" s="256" t="str">
        <x:v>C03</x:v>
      </x:c>
      <x:c r="C104" s="256" t="str">
        <x:v>西境战旗印</x:v>
      </x:c>
      <x:c r="D104" s="257" t="n">
        <x:v>3</x:v>
      </x:c>
      <x:c r="E104" s="257" t="n">
        <x:v>1</x:v>
      </x:c>
      <x:c r="F104" s="257" t="n">
        <x:f>D104*E104</x:f>
        <x:v>3</x:v>
      </x:c>
      <x:c r="G104" s="256" t="str">
        <x:v>核心配方</x:v>
      </x:c>
      <x:c r="H104" s="256" t="str">
        <x:v>计入PVE情景</x:v>
      </x:c>
    </x:row>
    <x:row r="105" ht="36" customHeight="1">
      <x:c r="A105" s="256" t="str">
        <x:v>C04-SYN-ZD-01</x:v>
      </x:c>
      <x:c r="B105" s="256" t="str">
        <x:v>C04</x:v>
      </x:c>
      <x:c r="C105" s="256" t="str">
        <x:v>湖盐结晶</x:v>
      </x:c>
      <x:c r="D105" s="257" t="n">
        <x:v>120</x:v>
      </x:c>
      <x:c r="E105" s="257" t="n">
        <x:v>1</x:v>
      </x:c>
      <x:c r="F105" s="257" t="n">
        <x:f>D105*E105</x:f>
        <x:v>120</x:v>
      </x:c>
      <x:c r="G105" s="256" t="str">
        <x:v>核心配方</x:v>
      </x:c>
      <x:c r="H105" s="256" t="str">
        <x:v>计入PVE情景</x:v>
      </x:c>
    </x:row>
    <x:row r="106" ht="36" customHeight="1">
      <x:c r="A106" s="256" t="str">
        <x:v>C04-SYN-ZD-01</x:v>
      </x:c>
      <x:c r="B106" s="256" t="str">
        <x:v>C04</x:v>
      </x:c>
      <x:c r="C106" s="256" t="str">
        <x:v>沉湖王印</x:v>
      </x:c>
      <x:c r="D106" s="257" t="n">
        <x:v>4</x:v>
      </x:c>
      <x:c r="E106" s="257" t="n">
        <x:v>1</x:v>
      </x:c>
      <x:c r="F106" s="257" t="n">
        <x:f>D106*E106</x:f>
        <x:v>4</x:v>
      </x:c>
      <x:c r="G106" s="256" t="str">
        <x:v>核心配方</x:v>
      </x:c>
      <x:c r="H106" s="256" t="str">
        <x:v>计入PVE情景</x:v>
      </x:c>
    </x:row>
    <x:row r="107" ht="36" customHeight="1">
      <x:c r="A107" s="256" t="str">
        <x:v>C05-SYN-ZD-01</x:v>
      </x:c>
      <x:c r="B107" s="256" t="str">
        <x:v>C05</x:v>
      </x:c>
      <x:c r="C107" s="256" t="str">
        <x:v>辉石碎晶</x:v>
      </x:c>
      <x:c r="D107" s="257" t="n">
        <x:v>160</x:v>
      </x:c>
      <x:c r="E107" s="257" t="n">
        <x:v>1</x:v>
      </x:c>
      <x:c r="F107" s="257" t="n">
        <x:f>D107*E107</x:f>
        <x:v>160</x:v>
      </x:c>
      <x:c r="G107" s="256" t="str">
        <x:v>核心配方</x:v>
      </x:c>
      <x:c r="H107" s="256" t="str">
        <x:v>计入PVE情景</x:v>
      </x:c>
    </x:row>
    <x:row r="108" ht="36" customHeight="1">
      <x:c r="A108" s="256" t="str">
        <x:v>C05-SYN-ZD-01</x:v>
      </x:c>
      <x:c r="B108" s="256" t="str">
        <x:v>C05</x:v>
      </x:c>
      <x:c r="C108" s="256" t="str">
        <x:v>满月王室印</x:v>
      </x:c>
      <x:c r="D108" s="257" t="n">
        <x:v>5</x:v>
      </x:c>
      <x:c r="E108" s="257" t="n">
        <x:v>1</x:v>
      </x:c>
      <x:c r="F108" s="257" t="n">
        <x:f>D108*E108</x:f>
        <x:v>5</x:v>
      </x:c>
      <x:c r="G108" s="256" t="str">
        <x:v>核心配方</x:v>
      </x:c>
      <x:c r="H108" s="256" t="str">
        <x:v>计入PVE情景</x:v>
      </x:c>
    </x:row>
    <x:row r="109" ht="36" customHeight="1">
      <x:c r="A109" s="256" t="str">
        <x:v>C06-SYN-ZD-01</x:v>
      </x:c>
      <x:c r="B109" s="256" t="str">
        <x:v>C06</x:v>
      </x:c>
      <x:c r="C109" s="256" t="str">
        <x:v>猩红矿渣</x:v>
      </x:c>
      <x:c r="D109" s="257" t="n">
        <x:v>210</x:v>
      </x:c>
      <x:c r="E109" s="257" t="n">
        <x:v>1</x:v>
      </x:c>
      <x:c r="F109" s="257" t="n">
        <x:f>D109*E109</x:f>
        <x:v>210</x:v>
      </x:c>
      <x:c r="G109" s="256" t="str">
        <x:v>核心配方</x:v>
      </x:c>
      <x:c r="H109" s="256" t="str">
        <x:v>计入PVE情景</x:v>
      </x:c>
    </x:row>
    <x:row r="110" ht="36" customHeight="1">
      <x:c r="A110" s="256" t="str">
        <x:v>C06-SYN-ZD-01</x:v>
      </x:c>
      <x:c r="B110" s="256" t="str">
        <x:v>C06</x:v>
      </x:c>
      <x:c r="C110" s="256" t="str">
        <x:v>红狮战印</x:v>
      </x:c>
      <x:c r="D110" s="257" t="n">
        <x:v>7</x:v>
      </x:c>
      <x:c r="E110" s="257" t="n">
        <x:v>1</x:v>
      </x:c>
      <x:c r="F110" s="257" t="n">
        <x:f>D110*E110</x:f>
        <x:v>7</x:v>
      </x:c>
      <x:c r="G110" s="256" t="str">
        <x:v>核心配方</x:v>
      </x:c>
      <x:c r="H110" s="256" t="str">
        <x:v>计入PVE情景</x:v>
      </x:c>
    </x:row>
    <x:row r="111" ht="36" customHeight="1">
      <x:c r="A111" s="256" t="str">
        <x:v>C07-SYN-ZD-01</x:v>
      </x:c>
      <x:c r="B111" s="256" t="str">
        <x:v>C07</x:v>
      </x:c>
      <x:c r="C111" s="256" t="str">
        <x:v>冻晶尘</x:v>
      </x:c>
      <x:c r="D111" s="257" t="n">
        <x:v>280</x:v>
      </x:c>
      <x:c r="E111" s="257" t="n">
        <x:v>1</x:v>
      </x:c>
      <x:c r="F111" s="257" t="n">
        <x:f>D111*E111</x:f>
        <x:v>280</x:v>
      </x:c>
      <x:c r="G111" s="256" t="str">
        <x:v>核心配方</x:v>
      </x:c>
      <x:c r="H111" s="256" t="str">
        <x:v>计入PVE情景</x:v>
      </x:c>
    </x:row>
    <x:row r="112" ht="36" customHeight="1">
      <x:c r="A112" s="256" t="str">
        <x:v>C07-SYN-ZD-01</x:v>
      </x:c>
      <x:c r="B112" s="256" t="str">
        <x:v>C07</x:v>
      </x:c>
      <x:c r="C112" s="256" t="str">
        <x:v>圣雪誓印</x:v>
      </x:c>
      <x:c r="D112" s="257" t="n">
        <x:v>9</x:v>
      </x:c>
      <x:c r="E112" s="257" t="n">
        <x:v>1</x:v>
      </x:c>
      <x:c r="F112" s="257" t="n">
        <x:f>D112*E112</x:f>
        <x:v>9</x:v>
      </x:c>
      <x:c r="G112" s="256" t="str">
        <x:v>核心配方</x:v>
      </x:c>
      <x:c r="H112" s="256" t="str">
        <x:v>计入PVE情景</x:v>
      </x:c>
    </x:row>
    <x:row r="113" ht="36" customHeight="1">
      <x:c r="A113" s="256" t="str">
        <x:v>C08-SYN-ZD-01</x:v>
      </x:c>
      <x:c r="B113" s="256" t="str">
        <x:v>C08</x:v>
      </x:c>
      <x:c r="C113" s="256" t="str">
        <x:v>霜脊铁</x:v>
      </x:c>
      <x:c r="D113" s="257" t="n">
        <x:v>350</x:v>
      </x:c>
      <x:c r="E113" s="257" t="n">
        <x:v>1</x:v>
      </x:c>
      <x:c r="F113" s="257" t="n">
        <x:f>D113*E113</x:f>
        <x:v>350</x:v>
      </x:c>
      <x:c r="G113" s="256" t="str">
        <x:v>核心配方</x:v>
      </x:c>
      <x:c r="H113" s="256" t="str">
        <x:v>计入PVE情景</x:v>
      </x:c>
    </x:row>
    <x:row r="114" ht="36" customHeight="1">
      <x:c r="A114" s="256" t="str">
        <x:v>C08-SYN-ZD-01</x:v>
      </x:c>
      <x:c r="B114" s="256" t="str">
        <x:v>C08</x:v>
      </x:c>
      <x:c r="C114" s="256" t="str">
        <x:v>巨人火印</x:v>
      </x:c>
      <x:c r="D114" s="257" t="n">
        <x:v>12</x:v>
      </x:c>
      <x:c r="E114" s="257" t="n">
        <x:v>1</x:v>
      </x:c>
      <x:c r="F114" s="257" t="n">
        <x:f>D114*E114</x:f>
        <x:v>12</x:v>
      </x:c>
      <x:c r="G114" s="256" t="str">
        <x:v>核心配方</x:v>
      </x:c>
      <x:c r="H114" s="256" t="str">
        <x:v>计入PVE情景</x:v>
      </x:c>
    </x:row>
    <x:row r="115" ht="36" customHeight="1">
      <x:c r="A115" s="256" t="str">
        <x:v>C09-SYN-ZD-01</x:v>
      </x:c>
      <x:c r="B115" s="256" t="str">
        <x:v>C09</x:v>
      </x:c>
      <x:c r="C115" s="256" t="str">
        <x:v>黄金叶脉</x:v>
      </x:c>
      <x:c r="D115" s="257" t="n">
        <x:v>420</x:v>
      </x:c>
      <x:c r="E115" s="257" t="n">
        <x:v>1</x:v>
      </x:c>
      <x:c r="F115" s="257" t="n">
        <x:f>D115*E115</x:f>
        <x:v>420</x:v>
      </x:c>
      <x:c r="G115" s="256" t="str">
        <x:v>核心配方</x:v>
      </x:c>
      <x:c r="H115" s="256" t="str">
        <x:v>计入PVE情景</x:v>
      </x:c>
    </x:row>
    <x:row r="116" ht="36" customHeight="1">
      <x:c r="A116" s="256" t="str">
        <x:v>C09-SYN-ZD-01</x:v>
      </x:c>
      <x:c r="B116" s="256" t="str">
        <x:v>C09</x:v>
      </x:c>
      <x:c r="C116" s="256" t="str">
        <x:v>黄金律印</x:v>
      </x:c>
      <x:c r="D116" s="257" t="n">
        <x:v>16</x:v>
      </x:c>
      <x:c r="E116" s="257" t="n">
        <x:v>1</x:v>
      </x:c>
      <x:c r="F116" s="257" t="n">
        <x:f>D116*E116</x:f>
        <x:v>16</x:v>
      </x:c>
      <x:c r="G116" s="256" t="str">
        <x:v>核心配方</x:v>
      </x:c>
      <x:c r="H116" s="256" t="str">
        <x:v>计入PVE情景</x:v>
      </x:c>
    </x:row>
    <x:row r="117" ht="36" customHeight="1">
      <x:c r="A117" s="256" t="str">
        <x:v>C10-SYN-ZD-01</x:v>
      </x:c>
      <x:c r="B117" s="256" t="str">
        <x:v>C10</x:v>
      </x:c>
      <x:c r="C117" s="256" t="str">
        <x:v>王城金屑</x:v>
      </x:c>
      <x:c r="D117" s="257" t="n">
        <x:v>450</x:v>
      </x:c>
      <x:c r="E117" s="257" t="n">
        <x:v>1</x:v>
      </x:c>
      <x:c r="F117" s="257" t="n">
        <x:f>D117*E117</x:f>
        <x:v>450</x:v>
      </x:c>
      <x:c r="G117" s="256" t="str">
        <x:v>核心配方</x:v>
      </x:c>
      <x:c r="H117" s="256" t="str">
        <x:v>计入PVE情景</x:v>
      </x:c>
    </x:row>
    <x:row r="118" ht="36" customHeight="1">
      <x:c r="A118" s="256" t="str">
        <x:v>C10-SYN-ZD-01</x:v>
      </x:c>
      <x:c r="B118" s="256" t="str">
        <x:v>C10</x:v>
      </x:c>
      <x:c r="C118" s="256" t="str">
        <x:v>艾尔登王印</x:v>
      </x:c>
      <x:c r="D118" s="257" t="n">
        <x:v>20</x:v>
      </x:c>
      <x:c r="E118" s="257" t="n">
        <x:v>1</x:v>
      </x:c>
      <x:c r="F118" s="257" t="n">
        <x:f>D118*E118</x:f>
        <x:v>20</x:v>
      </x:c>
      <x:c r="G118" s="256" t="str">
        <x:v>核心配方</x:v>
      </x:c>
      <x:c r="H118" s="256" t="str">
        <x:v>计入PVE情景</x:v>
      </x:c>
    </x:row>
    <x:row r="119" ht="36" customHeight="1">
      <x:c r="A119" s="256" t="str">
        <x:v>C01-SYN-TT-01</x:v>
      </x:c>
      <x:c r="B119" s="256" t="str">
        <x:v>C01</x:v>
      </x:c>
      <x:c r="C119" s="256" t="str">
        <x:v>漂流大陆印记</x:v>
      </x:c>
      <x:c r="D119" s="257" t="n">
        <x:v>5</x:v>
      </x:c>
      <x:c r="E119" s="257" t="n">
        <x:v>1</x:v>
      </x:c>
      <x:c r="F119" s="257" t="n">
        <x:f>D119*E119</x:f>
        <x:v>5</x:v>
      </x:c>
      <x:c r="G119" s="256" t="str">
        <x:v>核心配方</x:v>
      </x:c>
      <x:c r="H119" s="256" t="str">
        <x:v>计入PVE情景</x:v>
      </x:c>
    </x:row>
    <x:row r="120" ht="36" customHeight="1">
      <x:c r="A120" s="256" t="str">
        <x:v>C01-SYN-TT-01</x:v>
      </x:c>
      <x:c r="B120" s="256" t="str">
        <x:v>C01</x:v>
      </x:c>
      <x:c r="C120" s="256" t="str">
        <x:v>漂流见证·潮</x:v>
      </x:c>
      <x:c r="D120" s="257" t="n">
        <x:v>8</x:v>
      </x:c>
      <x:c r="E120" s="257" t="n">
        <x:v>1</x:v>
      </x:c>
      <x:c r="F120" s="257" t="n">
        <x:f>D120*E120</x:f>
        <x:v>8</x:v>
      </x:c>
      <x:c r="G120" s="256" t="str">
        <x:v>核心配方</x:v>
      </x:c>
      <x:c r="H120" s="256" t="str">
        <x:v>计入PVE情景</x:v>
      </x:c>
    </x:row>
    <x:row r="121" ht="36" customHeight="1">
      <x:c r="A121" s="256" t="str">
        <x:v>C01-SYN-TT-01</x:v>
      </x:c>
      <x:c r="B121" s="256" t="str">
        <x:v>C01</x:v>
      </x:c>
      <x:c r="C121" s="256" t="str">
        <x:v>漂流见证·雷</x:v>
      </x:c>
      <x:c r="D121" s="257" t="n">
        <x:v>8</x:v>
      </x:c>
      <x:c r="E121" s="257" t="n">
        <x:v>1</x:v>
      </x:c>
      <x:c r="F121" s="257" t="n">
        <x:f>D121*E121</x:f>
        <x:v>8</x:v>
      </x:c>
      <x:c r="G121" s="256" t="str">
        <x:v>核心配方</x:v>
      </x:c>
      <x:c r="H121" s="256" t="str">
        <x:v>计入PVE情景</x:v>
      </x:c>
    </x:row>
    <x:row r="122" ht="36" customHeight="1">
      <x:c r="A122" s="256" t="str">
        <x:v>C03-SYN-TT-01</x:v>
      </x:c>
      <x:c r="B122" s="256" t="str">
        <x:v>C03</x:v>
      </x:c>
      <x:c r="C122" s="256" t="str">
        <x:v>西境战旗</x:v>
      </x:c>
      <x:c r="D122" s="257" t="n">
        <x:v>20</x:v>
      </x:c>
      <x:c r="E122" s="257" t="n">
        <x:v>1</x:v>
      </x:c>
      <x:c r="F122" s="257" t="n">
        <x:f>D122*E122</x:f>
        <x:v>20</x:v>
      </x:c>
      <x:c r="G122" s="256" t="str">
        <x:v>核心配方</x:v>
      </x:c>
      <x:c r="H122" s="256" t="str">
        <x:v>计入PVE情景</x:v>
      </x:c>
    </x:row>
    <x:row r="123" ht="36" customHeight="1">
      <x:c r="A123" s="256" t="str">
        <x:v>C03-SYN-TT-01</x:v>
      </x:c>
      <x:c r="B123" s="256" t="str">
        <x:v>C03</x:v>
      </x:c>
      <x:c r="C123" s="256" t="str">
        <x:v>西境战旗印</x:v>
      </x:c>
      <x:c r="D123" s="257" t="n">
        <x:v>6</x:v>
      </x:c>
      <x:c r="E123" s="257" t="n">
        <x:v>1</x:v>
      </x:c>
      <x:c r="F123" s="257" t="n">
        <x:f>D123*E123</x:f>
        <x:v>6</x:v>
      </x:c>
      <x:c r="G123" s="256" t="str">
        <x:v>核心配方</x:v>
      </x:c>
      <x:c r="H123" s="256" t="str">
        <x:v>计入PVE情景</x:v>
      </x:c>
    </x:row>
    <x:row r="124" ht="36" customHeight="1">
      <x:c r="A124" s="256" t="str">
        <x:v>C03-SYN-TT-01</x:v>
      </x:c>
      <x:c r="B124" s="256" t="str">
        <x:v>C03</x:v>
      </x:c>
      <x:c r="C124" s="256" t="str">
        <x:v>哨垒旗冠</x:v>
      </x:c>
      <x:c r="D124" s="257" t="n">
        <x:v>1</x:v>
      </x:c>
      <x:c r="E124" s="257" t="n">
        <x:v>1</x:v>
      </x:c>
      <x:c r="F124" s="257" t="n">
        <x:f>D124*E124</x:f>
        <x:v>1</x:v>
      </x:c>
      <x:c r="G124" s="256" t="str">
        <x:v>核心配方</x:v>
      </x:c>
      <x:c r="H124" s="256" t="str">
        <x:v>计入PVE情景</x:v>
      </x:c>
    </x:row>
    <x:row r="125" ht="36" customHeight="1">
      <x:c r="A125" s="256" t="str">
        <x:v>C05-SYN-TT-01</x:v>
      </x:c>
      <x:c r="B125" s="256" t="str">
        <x:v>C05</x:v>
      </x:c>
      <x:c r="C125" s="256" t="str">
        <x:v>卡利亚月露</x:v>
      </x:c>
      <x:c r="D125" s="257" t="n">
        <x:v>36</x:v>
      </x:c>
      <x:c r="E125" s="257" t="n">
        <x:v>1</x:v>
      </x:c>
      <x:c r="F125" s="257" t="n">
        <x:f>D125*E125</x:f>
        <x:v>36</x:v>
      </x:c>
      <x:c r="G125" s="256" t="str">
        <x:v>核心配方</x:v>
      </x:c>
      <x:c r="H125" s="256" t="str">
        <x:v>计入PVE情景</x:v>
      </x:c>
    </x:row>
    <x:row r="126" ht="36" customHeight="1">
      <x:c r="A126" s="256" t="str">
        <x:v>C05-SYN-TT-01</x:v>
      </x:c>
      <x:c r="B126" s="256" t="str">
        <x:v>C05</x:v>
      </x:c>
      <x:c r="C126" s="256" t="str">
        <x:v>满月王室印</x:v>
      </x:c>
      <x:c r="D126" s="257" t="n">
        <x:v>10</x:v>
      </x:c>
      <x:c r="E126" s="257" t="n">
        <x:v>1</x:v>
      </x:c>
      <x:c r="F126" s="257" t="n">
        <x:f>D126*E126</x:f>
        <x:v>10</x:v>
      </x:c>
      <x:c r="G126" s="256" t="str">
        <x:v>核心配方</x:v>
      </x:c>
      <x:c r="H126" s="256" t="str">
        <x:v>计入PVE情景</x:v>
      </x:c>
    </x:row>
    <x:row r="127" ht="36" customHeight="1">
      <x:c r="A127" s="256" t="str">
        <x:v>C05-SYN-TT-01</x:v>
      </x:c>
      <x:c r="B127" s="256" t="str">
        <x:v>C05</x:v>
      </x:c>
      <x:c r="C127" s="256" t="str">
        <x:v>禁域星钥</x:v>
      </x:c>
      <x:c r="D127" s="257" t="n">
        <x:v>2</x:v>
      </x:c>
      <x:c r="E127" s="257" t="n">
        <x:v>1</x:v>
      </x:c>
      <x:c r="F127" s="257" t="n">
        <x:f>D127*E127</x:f>
        <x:v>2</x:v>
      </x:c>
      <x:c r="G127" s="256" t="str">
        <x:v>核心配方</x:v>
      </x:c>
      <x:c r="H127" s="256" t="str">
        <x:v>计入PVE情景</x:v>
      </x:c>
    </x:row>
    <x:row r="128" ht="36" customHeight="1">
      <x:c r="A128" s="256" t="str">
        <x:v>C07-SYN-TT-01</x:v>
      </x:c>
      <x:c r="B128" s="256" t="str">
        <x:v>C07</x:v>
      </x:c>
      <x:c r="C128" s="256" t="str">
        <x:v>白金纺线</x:v>
      </x:c>
      <x:c r="D128" s="257" t="n">
        <x:v>60</x:v>
      </x:c>
      <x:c r="E128" s="257" t="n">
        <x:v>1</x:v>
      </x:c>
      <x:c r="F128" s="257" t="n">
        <x:f>D128*E128</x:f>
        <x:v>60</x:v>
      </x:c>
      <x:c r="G128" s="256" t="str">
        <x:v>核心配方</x:v>
      </x:c>
      <x:c r="H128" s="256" t="str">
        <x:v>计入PVE情景</x:v>
      </x:c>
    </x:row>
    <x:row r="129" ht="36" customHeight="1">
      <x:c r="A129" s="256" t="str">
        <x:v>C07-SYN-TT-01</x:v>
      </x:c>
      <x:c r="B129" s="256" t="str">
        <x:v>C07</x:v>
      </x:c>
      <x:c r="C129" s="256" t="str">
        <x:v>圣雪誓印</x:v>
      </x:c>
      <x:c r="D129" s="257" t="n">
        <x:v>18</x:v>
      </x:c>
      <x:c r="E129" s="257" t="n">
        <x:v>1</x:v>
      </x:c>
      <x:c r="F129" s="257" t="n">
        <x:f>D129*E129</x:f>
        <x:v>18</x:v>
      </x:c>
      <x:c r="G129" s="256" t="str">
        <x:v>核心配方</x:v>
      </x:c>
      <x:c r="H129" s="256" t="str">
        <x:v>计入PVE情景</x:v>
      </x:c>
    </x:row>
    <x:row r="130" ht="36" customHeight="1">
      <x:c r="A130" s="256" t="str">
        <x:v>C07-SYN-TT-01</x:v>
      </x:c>
      <x:c r="B130" s="256" t="str">
        <x:v>C07</x:v>
      </x:c>
      <x:c r="C130" s="256" t="str">
        <x:v>圣雪门楔</x:v>
      </x:c>
      <x:c r="D130" s="257" t="n">
        <x:v>4</x:v>
      </x:c>
      <x:c r="E130" s="257" t="n">
        <x:v>1</x:v>
      </x:c>
      <x:c r="F130" s="257" t="n">
        <x:f>D130*E130</x:f>
        <x:v>4</x:v>
      </x:c>
      <x:c r="G130" s="256" t="str">
        <x:v>核心配方</x:v>
      </x:c>
      <x:c r="H130" s="256" t="str">
        <x:v>计入PVE情景</x:v>
      </x:c>
    </x:row>
    <x:row r="131" ht="36" customHeight="1">
      <x:c r="A131" s="256" t="str">
        <x:v>C09-SYN-TT-01</x:v>
      </x:c>
      <x:c r="B131" s="256" t="str">
        <x:v>C09</x:v>
      </x:c>
      <x:c r="C131" s="256" t="str">
        <x:v>古王律页</x:v>
      </x:c>
      <x:c r="D131" s="257" t="n">
        <x:v>105</x:v>
      </x:c>
      <x:c r="E131" s="257" t="n">
        <x:v>1</x:v>
      </x:c>
      <x:c r="F131" s="257" t="n">
        <x:f>D131*E131</x:f>
        <x:v>105</x:v>
      </x:c>
      <x:c r="G131" s="256" t="str">
        <x:v>核心配方</x:v>
      </x:c>
      <x:c r="H131" s="256" t="str">
        <x:v>计入PVE情景</x:v>
      </x:c>
    </x:row>
    <x:row r="132" ht="36" customHeight="1">
      <x:c r="A132" s="256" t="str">
        <x:v>C09-SYN-TT-01</x:v>
      </x:c>
      <x:c r="B132" s="256" t="str">
        <x:v>C09</x:v>
      </x:c>
      <x:c r="C132" s="256" t="str">
        <x:v>黄金律印</x:v>
      </x:c>
      <x:c r="D132" s="257" t="n">
        <x:v>30</x:v>
      </x:c>
      <x:c r="E132" s="257" t="n">
        <x:v>1</x:v>
      </x:c>
      <x:c r="F132" s="257" t="n">
        <x:f>D132*E132</x:f>
        <x:v>30</x:v>
      </x:c>
      <x:c r="G132" s="256" t="str">
        <x:v>核心配方</x:v>
      </x:c>
      <x:c r="H132" s="256" t="str">
        <x:v>计入PVE情景</x:v>
      </x:c>
    </x:row>
    <x:row r="133" ht="36" customHeight="1">
      <x:c r="A133" s="256" t="str">
        <x:v>C09-SYN-TT-01</x:v>
      </x:c>
      <x:c r="B133" s="256" t="str">
        <x:v>C09</x:v>
      </x:c>
      <x:c r="C133" s="256" t="str">
        <x:v>高原王诏金版</x:v>
      </x:c>
      <x:c r="D133" s="257" t="n">
        <x:v>5</x:v>
      </x:c>
      <x:c r="E133" s="257" t="n">
        <x:v>1</x:v>
      </x:c>
      <x:c r="F133" s="257" t="n">
        <x:f>D133*E133</x:f>
        <x:v>5</x:v>
      </x:c>
      <x:c r="G133" s="256" t="str">
        <x:v>核心配方</x:v>
      </x:c>
      <x:c r="H133" s="256" t="str">
        <x:v>计入PVE情景</x:v>
      </x:c>
    </x:row>
    <x:row r="134" ht="36" customHeight="1">
      <x:c r="A134" s="256" t="str">
        <x:v>C10-SYN-TT-01</x:v>
      </x:c>
      <x:c r="B134" s="256" t="str">
        <x:v>C10</x:v>
      </x:c>
      <x:c r="C134" s="256" t="str">
        <x:v>王宫律文</x:v>
      </x:c>
      <x:c r="D134" s="257" t="n">
        <x:v>130</x:v>
      </x:c>
      <x:c r="E134" s="257" t="n">
        <x:v>1</x:v>
      </x:c>
      <x:c r="F134" s="257" t="n">
        <x:f>D134*E134</x:f>
        <x:v>130</x:v>
      </x:c>
      <x:c r="G134" s="256" t="str">
        <x:v>核心配方</x:v>
      </x:c>
      <x:c r="H134" s="256" t="str">
        <x:v>计入PVE情景</x:v>
      </x:c>
    </x:row>
    <x:row r="135" ht="36" customHeight="1">
      <x:c r="A135" s="256" t="str">
        <x:v>C10-SYN-TT-01</x:v>
      </x:c>
      <x:c r="B135" s="256" t="str">
        <x:v>C10</x:v>
      </x:c>
      <x:c r="C135" s="256" t="str">
        <x:v>艾尔登王印</x:v>
      </x:c>
      <x:c r="D135" s="257" t="n">
        <x:v>38</x:v>
      </x:c>
      <x:c r="E135" s="257" t="n">
        <x:v>1</x:v>
      </x:c>
      <x:c r="F135" s="257" t="n">
        <x:f>D135*E135</x:f>
        <x:v>38</x:v>
      </x:c>
      <x:c r="G135" s="256" t="str">
        <x:v>核心配方</x:v>
      </x:c>
      <x:c r="H135" s="256" t="str">
        <x:v>计入PVE情景</x:v>
      </x:c>
    </x:row>
    <x:row r="136" ht="36" customHeight="1">
      <x:c r="A136" s="256" t="str">
        <x:v>C10-SYN-TT-01</x:v>
      </x:c>
      <x:c r="B136" s="256" t="str">
        <x:v>C10</x:v>
      </x:c>
      <x:c r="C136" s="256" t="str">
        <x:v>王宫断冠片</x:v>
      </x:c>
      <x:c r="D136" s="257" t="n">
        <x:v>6</x:v>
      </x:c>
      <x:c r="E136" s="257" t="n">
        <x:v>1</x:v>
      </x:c>
      <x:c r="F136" s="257" t="n">
        <x:f>D136*E136</x:f>
        <x:v>6</x:v>
      </x:c>
      <x:c r="G136" s="256" t="str">
        <x:v>核心配方</x:v>
      </x:c>
      <x:c r="H136" s="256" t="str">
        <x:v>计入PVE情景</x:v>
      </x:c>
    </x:row>
    <x:row r="137" ht="36" customHeight="1">
      <x:c r="A137" s="256" t="str">
        <x:v>C10-SYN-TT-01</x:v>
      </x:c>
      <x:c r="B137" s="256" t="str">
        <x:v>C10</x:v>
      </x:c>
      <x:c r="C137" s="256" t="str">
        <x:v>失温熔炉楔</x:v>
      </x:c>
      <x:c r="D137" s="257" t="n">
        <x:v>22</x:v>
      </x:c>
      <x:c r="E137" s="257" t="n">
        <x:v>1</x:v>
      </x:c>
      <x:c r="F137" s="257" t="n">
        <x:f>D137*E137</x:f>
        <x:v>22</x:v>
      </x:c>
      <x:c r="G137" s="256" t="str">
        <x:v>核心配方</x:v>
      </x:c>
      <x:c r="H137" s="256" t="str">
        <x:v>计入PVE情景</x:v>
      </x:c>
    </x:row>
    <x:row r="138" ht="36" customHeight="1">
      <x:c r="A138" s="256" t="str">
        <x:v>C02-AOE-LV1</x:v>
      </x:c>
      <x:c r="B138" s="256" t="str">
        <x:v>C02</x:v>
      </x:c>
      <x:c r="C138" s="256" t="str">
        <x:v>风暴石片</x:v>
      </x:c>
      <x:c r="D138" s="257" t="n">
        <x:v>70</x:v>
      </x:c>
      <x:c r="E138" s="257" t="n">
        <x:v>1</x:v>
      </x:c>
      <x:c r="F138" s="257" t="n">
        <x:f>D138*E138</x:f>
        <x:v>70</x:v>
      </x:c>
      <x:c r="G138" s="256" t="str">
        <x:v>核心配方</x:v>
      </x:c>
      <x:c r="H138" s="256" t="str">
        <x:v>计入PVE情景</x:v>
      </x:c>
    </x:row>
    <x:row r="139" ht="36" customHeight="1">
      <x:c r="A139" s="256" t="str">
        <x:v>C02-AOE-LV1</x:v>
      </x:c>
      <x:c r="B139" s="256" t="str">
        <x:v>C02</x:v>
      </x:c>
      <x:c r="C139" s="256" t="str">
        <x:v>黄金树芽</x:v>
      </x:c>
      <x:c r="D139" s="257" t="n">
        <x:v>8</x:v>
      </x:c>
      <x:c r="E139" s="257" t="n">
        <x:v>1</x:v>
      </x:c>
      <x:c r="F139" s="257" t="n">
        <x:f>D139*E139</x:f>
        <x:v>8</x:v>
      </x:c>
      <x:c r="G139" s="256" t="str">
        <x:v>核心配方</x:v>
      </x:c>
      <x:c r="H139" s="256" t="str">
        <x:v>计入PVE情景</x:v>
      </x:c>
    </x:row>
    <x:row r="140" ht="36" customHeight="1">
      <x:c r="A140" s="256" t="str">
        <x:v>C02-AOE-LV1</x:v>
      </x:c>
      <x:c r="B140" s="256" t="str">
        <x:v>C02</x:v>
      </x:c>
      <x:c r="C140" s="256" t="str">
        <x:v>接肢王印</x:v>
      </x:c>
      <x:c r="D140" s="257" t="n">
        <x:v>3</x:v>
      </x:c>
      <x:c r="E140" s="257" t="n">
        <x:v>1</x:v>
      </x:c>
      <x:c r="F140" s="257" t="n">
        <x:f>D140*E140</x:f>
        <x:v>3</x:v>
      </x:c>
      <x:c r="G140" s="256" t="str">
        <x:v>核心配方</x:v>
      </x:c>
      <x:c r="H140" s="256" t="str">
        <x:v>计入PVE情景</x:v>
      </x:c>
    </x:row>
    <x:row r="141" ht="36" customHeight="1">
      <x:c r="A141" s="256" t="str">
        <x:v>C03-AOE-LV2</x:v>
      </x:c>
      <x:c r="B141" s="256" t="str">
        <x:v>C03</x:v>
      </x:c>
      <x:c r="C141" s="256" t="str">
        <x:v>风蚀铁片</x:v>
      </x:c>
      <x:c r="D141" s="257" t="n">
        <x:v>110</x:v>
      </x:c>
      <x:c r="E141" s="257" t="n">
        <x:v>1</x:v>
      </x:c>
      <x:c r="F141" s="257" t="n">
        <x:f>D141*E141</x:f>
        <x:v>110</x:v>
      </x:c>
      <x:c r="G141" s="256" t="str">
        <x:v>核心配方</x:v>
      </x:c>
      <x:c r="H141" s="256" t="str">
        <x:v>计入PVE情景</x:v>
      </x:c>
    </x:row>
    <x:row r="142" ht="36" customHeight="1">
      <x:c r="A142" s="256" t="str">
        <x:v>C03-AOE-LV2</x:v>
      </x:c>
      <x:c r="B142" s="256" t="str">
        <x:v>C03</x:v>
      </x:c>
      <x:c r="C142" s="256" t="str">
        <x:v>裂风崖羽</x:v>
      </x:c>
      <x:c r="D142" s="257" t="n">
        <x:v>28</x:v>
      </x:c>
      <x:c r="E142" s="257" t="n">
        <x:v>1</x:v>
      </x:c>
      <x:c r="F142" s="257" t="n">
        <x:f>D142*E142</x:f>
        <x:v>28</x:v>
      </x:c>
      <x:c r="G142" s="256" t="str">
        <x:v>核心配方</x:v>
      </x:c>
      <x:c r="H142" s="256" t="str">
        <x:v>计入PVE情景</x:v>
      </x:c>
    </x:row>
    <x:row r="143" ht="36" customHeight="1">
      <x:c r="A143" s="256" t="str">
        <x:v>C03-AOE-LV2</x:v>
      </x:c>
      <x:c r="B143" s="256" t="str">
        <x:v>C03</x:v>
      </x:c>
      <x:c r="C143" s="256" t="str">
        <x:v>西境战旗印</x:v>
      </x:c>
      <x:c r="D143" s="257" t="n">
        <x:v>4</x:v>
      </x:c>
      <x:c r="E143" s="257" t="n">
        <x:v>1</x:v>
      </x:c>
      <x:c r="F143" s="257" t="n">
        <x:f>D143*E143</x:f>
        <x:v>4</x:v>
      </x:c>
      <x:c r="G143" s="256" t="str">
        <x:v>核心配方</x:v>
      </x:c>
      <x:c r="H143" s="256" t="str">
        <x:v>计入PVE情景</x:v>
      </x:c>
    </x:row>
    <x:row r="144" ht="36" customHeight="1">
      <x:c r="A144" s="256" t="str">
        <x:v>C05-AOE-LV3</x:v>
      </x:c>
      <x:c r="B144" s="256" t="str">
        <x:v>C05</x:v>
      </x:c>
      <x:c r="C144" s="256" t="str">
        <x:v>辉石碎晶</x:v>
      </x:c>
      <x:c r="D144" s="257" t="n">
        <x:v>190</x:v>
      </x:c>
      <x:c r="E144" s="257" t="n">
        <x:v>1</x:v>
      </x:c>
      <x:c r="F144" s="257" t="n">
        <x:f>D144*E144</x:f>
        <x:v>190</x:v>
      </x:c>
      <x:c r="G144" s="256" t="str">
        <x:v>核心配方</x:v>
      </x:c>
      <x:c r="H144" s="256" t="str">
        <x:v>计入PVE情景</x:v>
      </x:c>
    </x:row>
    <x:row r="145" ht="36" customHeight="1">
      <x:c r="A145" s="256" t="str">
        <x:v>C05-AOE-LV3</x:v>
      </x:c>
      <x:c r="B145" s="256" t="str">
        <x:v>C05</x:v>
      </x:c>
      <x:c r="C145" s="256" t="str">
        <x:v>雾月星砂</x:v>
      </x:c>
      <x:c r="D145" s="257" t="n">
        <x:v>48</x:v>
      </x:c>
      <x:c r="E145" s="257" t="n">
        <x:v>1</x:v>
      </x:c>
      <x:c r="F145" s="257" t="n">
        <x:f>D145*E145</x:f>
        <x:v>48</x:v>
      </x:c>
      <x:c r="G145" s="256" t="str">
        <x:v>核心配方</x:v>
      </x:c>
      <x:c r="H145" s="256" t="str">
        <x:v>计入PVE情景</x:v>
      </x:c>
    </x:row>
    <x:row r="146" ht="36" customHeight="1">
      <x:c r="A146" s="256" t="str">
        <x:v>C05-AOE-LV3</x:v>
      </x:c>
      <x:c r="B146" s="256" t="str">
        <x:v>C05</x:v>
      </x:c>
      <x:c r="C146" s="256" t="str">
        <x:v>满月王室印</x:v>
      </x:c>
      <x:c r="D146" s="257" t="n">
        <x:v>6</x:v>
      </x:c>
      <x:c r="E146" s="257" t="n">
        <x:v>1</x:v>
      </x:c>
      <x:c r="F146" s="257" t="n">
        <x:f>D146*E146</x:f>
        <x:v>6</x:v>
      </x:c>
      <x:c r="G146" s="256" t="str">
        <x:v>核心配方</x:v>
      </x:c>
      <x:c r="H146" s="256" t="str">
        <x:v>计入PVE情景</x:v>
      </x:c>
    </x:row>
    <x:row r="147" ht="36" customHeight="1">
      <x:c r="A147" s="256" t="str">
        <x:v>C07-AOE-LV4</x:v>
      </x:c>
      <x:c r="B147" s="256" t="str">
        <x:v>C07</x:v>
      </x:c>
      <x:c r="C147" s="256" t="str">
        <x:v>冻晶尘</x:v>
      </x:c>
      <x:c r="D147" s="257" t="n">
        <x:v>330</x:v>
      </x:c>
      <x:c r="E147" s="257" t="n">
        <x:v>1</x:v>
      </x:c>
      <x:c r="F147" s="257" t="n">
        <x:f>D147*E147</x:f>
        <x:v>330</x:v>
      </x:c>
      <x:c r="G147" s="256" t="str">
        <x:v>核心配方</x:v>
      </x:c>
      <x:c r="H147" s="256" t="str">
        <x:v>计入PVE情景</x:v>
      </x:c>
    </x:row>
    <x:row r="148" ht="36" customHeight="1">
      <x:c r="A148" s="256" t="str">
        <x:v>C07-AOE-LV4</x:v>
      </x:c>
      <x:c r="B148" s="256" t="str">
        <x:v>C07</x:v>
      </x:c>
      <x:c r="C148" s="256" t="str">
        <x:v>秘树霜芽</x:v>
      </x:c>
      <x:c r="D148" s="257" t="n">
        <x:v>7</x:v>
      </x:c>
      <x:c r="E148" s="257" t="n">
        <x:v>1</x:v>
      </x:c>
      <x:c r="F148" s="257" t="n">
        <x:f>D148*E148</x:f>
        <x:v>7</x:v>
      </x:c>
      <x:c r="G148" s="256" t="str">
        <x:v>核心配方</x:v>
      </x:c>
      <x:c r="H148" s="256" t="str">
        <x:v>计入PVE情景</x:v>
      </x:c>
    </x:row>
    <x:row r="149" ht="36" customHeight="1">
      <x:c r="A149" s="256" t="str">
        <x:v>C07-AOE-LV4</x:v>
      </x:c>
      <x:c r="B149" s="256" t="str">
        <x:v>C07</x:v>
      </x:c>
      <x:c r="C149" s="256" t="str">
        <x:v>圣雪誓印</x:v>
      </x:c>
      <x:c r="D149" s="257" t="n">
        <x:v>10</x:v>
      </x:c>
      <x:c r="E149" s="257" t="n">
        <x:v>1</x:v>
      </x:c>
      <x:c r="F149" s="257" t="n">
        <x:f>D149*E149</x:f>
        <x:v>10</x:v>
      </x:c>
      <x:c r="G149" s="256" t="str">
        <x:v>核心配方</x:v>
      </x:c>
      <x:c r="H149" s="256" t="str">
        <x:v>计入PVE情景</x:v>
      </x:c>
    </x:row>
    <x:row r="150" ht="36" customHeight="1">
      <x:c r="A150" s="256" t="str">
        <x:v>C09-AOE-LV5</x:v>
      </x:c>
      <x:c r="B150" s="256" t="str">
        <x:v>C09</x:v>
      </x:c>
      <x:c r="C150" s="256" t="str">
        <x:v>黄金叶脉</x:v>
      </x:c>
      <x:c r="D150" s="257" t="n">
        <x:v>510</x:v>
      </x:c>
      <x:c r="E150" s="257" t="n">
        <x:v>1</x:v>
      </x:c>
      <x:c r="F150" s="257" t="n">
        <x:f>D150*E150</x:f>
        <x:v>510</x:v>
      </x:c>
      <x:c r="G150" s="256" t="str">
        <x:v>核心配方</x:v>
      </x:c>
      <x:c r="H150" s="256" t="str">
        <x:v>计入PVE情景</x:v>
      </x:c>
    </x:row>
    <x:row r="151" ht="36" customHeight="1">
      <x:c r="A151" s="256" t="str">
        <x:v>C09-AOE-LV5</x:v>
      </x:c>
      <x:c r="B151" s="256" t="str">
        <x:v>C09</x:v>
      </x:c>
      <x:c r="C151" s="256" t="str">
        <x:v>裁文蜡封</x:v>
      </x:c>
      <x:c r="D151" s="257" t="n">
        <x:v>10</x:v>
      </x:c>
      <x:c r="E151" s="257" t="n">
        <x:v>1</x:v>
      </x:c>
      <x:c r="F151" s="257" t="n">
        <x:f>D151*E151</x:f>
        <x:v>10</x:v>
      </x:c>
      <x:c r="G151" s="256" t="str">
        <x:v>核心配方</x:v>
      </x:c>
      <x:c r="H151" s="256" t="str">
        <x:v>计入PVE情景</x:v>
      </x:c>
    </x:row>
    <x:row r="152" ht="36" customHeight="1">
      <x:c r="A152" s="256" t="str">
        <x:v>C09-AOE-LV5</x:v>
      </x:c>
      <x:c r="B152" s="256" t="str">
        <x:v>C09</x:v>
      </x:c>
      <x:c r="C152" s="256" t="str">
        <x:v>黄金律印</x:v>
      </x:c>
      <x:c r="D152" s="257" t="n">
        <x:v>18</x:v>
      </x:c>
      <x:c r="E152" s="257" t="n">
        <x:v>1</x:v>
      </x:c>
      <x:c r="F152" s="257" t="n">
        <x:f>D152*E152</x:f>
        <x:v>18</x:v>
      </x:c>
      <x:c r="G152" s="256" t="str">
        <x:v>核心配方</x:v>
      </x:c>
      <x:c r="H152" s="256" t="str">
        <x:v>计入PVE情景</x:v>
      </x:c>
    </x:row>
    <x:row r="153" ht="36" customHeight="1">
      <x:c r="A153" s="256" t="str">
        <x:v>C04-REBIRTH-01</x:v>
      </x:c>
      <x:c r="B153" s="256" t="str">
        <x:v>C04</x:v>
      </x:c>
      <x:c r="C153" s="256" t="str">
        <x:v>湖盐结晶</x:v>
      </x:c>
      <x:c r="D153" s="257" t="n">
        <x:v>24</x:v>
      </x:c>
      <x:c r="E153" s="257" t="n">
        <x:v>1</x:v>
      </x:c>
      <x:c r="F153" s="257" t="n">
        <x:f>D153*E153</x:f>
        <x:v>24</x:v>
      </x:c>
      <x:c r="G153" s="256" t="str">
        <x:v>核心配方</x:v>
      </x:c>
      <x:c r="H153" s="256" t="str">
        <x:v>计入PVE情景</x:v>
      </x:c>
    </x:row>
    <x:row r="154" ht="36" customHeight="1">
      <x:c r="A154" s="256" t="str">
        <x:v>C04-REBIRTH-01</x:v>
      </x:c>
      <x:c r="B154" s="256" t="str">
        <x:v>C04</x:v>
      </x:c>
      <x:c r="C154" s="256" t="str">
        <x:v>雾潮银鳞</x:v>
      </x:c>
      <x:c r="D154" s="257" t="n">
        <x:v>6</x:v>
      </x:c>
      <x:c r="E154" s="257" t="n">
        <x:v>1</x:v>
      </x:c>
      <x:c r="F154" s="257" t="n">
        <x:f>D154*E154</x:f>
        <x:v>6</x:v>
      </x:c>
      <x:c r="G154" s="256" t="str">
        <x:v>核心配方</x:v>
      </x:c>
      <x:c r="H154" s="256" t="str">
        <x:v>计入PVE情景</x:v>
      </x:c>
    </x:row>
    <x:row r="155" ht="36" customHeight="1">
      <x:c r="A155" s="256" t="str">
        <x:v>C04-REBIRTH-01</x:v>
      </x:c>
      <x:c r="B155" s="256" t="str">
        <x:v>C04</x:v>
      </x:c>
      <x:c r="C155" s="256" t="str">
        <x:v>幽船铆钉</x:v>
      </x:c>
      <x:c r="D155" s="257" t="n">
        <x:v>2</x:v>
      </x:c>
      <x:c r="E155" s="257" t="n">
        <x:v>1</x:v>
      </x:c>
      <x:c r="F155" s="257" t="n">
        <x:f>D155*E155</x:f>
        <x:v>2</x:v>
      </x:c>
      <x:c r="G155" s="256" t="str">
        <x:v>核心配方</x:v>
      </x:c>
      <x:c r="H155" s="256" t="str">
        <x:v>计入PVE情景</x:v>
      </x:c>
    </x:row>
    <x:row r="156" ht="36" customHeight="1">
      <x:c r="A156" s="256" t="str">
        <x:v>C04-REBIRTH-01</x:v>
      </x:c>
      <x:c r="B156" s="256" t="str">
        <x:v>C04</x:v>
      </x:c>
      <x:c r="C156" s="256" t="str">
        <x:v>沉湖王印</x:v>
      </x:c>
      <x:c r="D156" s="257" t="n">
        <x:v>1</x:v>
      </x:c>
      <x:c r="E156" s="257" t="n">
        <x:v>1</x:v>
      </x:c>
      <x:c r="F156" s="257" t="n">
        <x:f>D156*E156</x:f>
        <x:v>1</x:v>
      </x:c>
      <x:c r="G156" s="256" t="str">
        <x:v>核心配方</x:v>
      </x:c>
      <x:c r="H156" s="256" t="str">
        <x:v>计入PVE情景</x:v>
      </x:c>
    </x:row>
    <x:row r="157" ht="36" customHeight="1">
      <x:c r="A157" s="256" t="str">
        <x:v>C04-REBIRTH-01</x:v>
      </x:c>
      <x:c r="B157" s="256" t="str">
        <x:v>C04</x:v>
      </x:c>
      <x:c r="C157" s="256" t="str">
        <x:v>小卢恩</x:v>
      </x:c>
      <x:c r="D157" s="257" t="n">
        <x:v>20</x:v>
      </x:c>
      <x:c r="E157" s="257" t="n">
        <x:v>1</x:v>
      </x:c>
      <x:c r="F157" s="257" t="n">
        <x:f>D157*E157</x:f>
        <x:v>20</x:v>
      </x:c>
      <x:c r="G157" s="256" t="str">
        <x:v>核心配方</x:v>
      </x:c>
      <x:c r="H157" s="256" t="str">
        <x:v>计入PVE情景</x:v>
      </x:c>
    </x:row>
    <x:row r="158" ht="36" customHeight="1">
      <x:c r="A158" s="256" t="str">
        <x:v>C04-REBIRTH-02</x:v>
      </x:c>
      <x:c r="B158" s="256" t="str">
        <x:v>C04</x:v>
      </x:c>
      <x:c r="C158" s="256" t="str">
        <x:v>湖盐结晶</x:v>
      </x:c>
      <x:c r="D158" s="257" t="n">
        <x:v>34</x:v>
      </x:c>
      <x:c r="E158" s="257" t="n">
        <x:v>1</x:v>
      </x:c>
      <x:c r="F158" s="257" t="n">
        <x:f>D158*E158</x:f>
        <x:v>34</x:v>
      </x:c>
      <x:c r="G158" s="256" t="str">
        <x:v>核心配方</x:v>
      </x:c>
      <x:c r="H158" s="256" t="str">
        <x:v>计入PVE情景</x:v>
      </x:c>
    </x:row>
    <x:row r="159" ht="36" customHeight="1">
      <x:c r="A159" s="256" t="str">
        <x:v>C04-REBIRTH-02</x:v>
      </x:c>
      <x:c r="B159" s="256" t="str">
        <x:v>C04</x:v>
      </x:c>
      <x:c r="C159" s="256" t="str">
        <x:v>雾潮银鳞</x:v>
      </x:c>
      <x:c r="D159" s="257" t="n">
        <x:v>8</x:v>
      </x:c>
      <x:c r="E159" s="257" t="n">
        <x:v>1</x:v>
      </x:c>
      <x:c r="F159" s="257" t="n">
        <x:f>D159*E159</x:f>
        <x:v>8</x:v>
      </x:c>
      <x:c r="G159" s="256" t="str">
        <x:v>核心配方</x:v>
      </x:c>
      <x:c r="H159" s="256" t="str">
        <x:v>计入PVE情景</x:v>
      </x:c>
    </x:row>
    <x:row r="160" ht="36" customHeight="1">
      <x:c r="A160" s="256" t="str">
        <x:v>C04-REBIRTH-02</x:v>
      </x:c>
      <x:c r="B160" s="256" t="str">
        <x:v>C04</x:v>
      </x:c>
      <x:c r="C160" s="256" t="str">
        <x:v>幽船铆钉</x:v>
      </x:c>
      <x:c r="D160" s="257" t="n">
        <x:v>3</x:v>
      </x:c>
      <x:c r="E160" s="257" t="n">
        <x:v>1</x:v>
      </x:c>
      <x:c r="F160" s="257" t="n">
        <x:f>D160*E160</x:f>
        <x:v>3</x:v>
      </x:c>
      <x:c r="G160" s="256" t="str">
        <x:v>核心配方</x:v>
      </x:c>
      <x:c r="H160" s="256" t="str">
        <x:v>计入PVE情景</x:v>
      </x:c>
    </x:row>
    <x:row r="161" ht="36" customHeight="1">
      <x:c r="A161" s="256" t="str">
        <x:v>C04-REBIRTH-02</x:v>
      </x:c>
      <x:c r="B161" s="256" t="str">
        <x:v>C04</x:v>
      </x:c>
      <x:c r="C161" s="256" t="str">
        <x:v>沉湖王印</x:v>
      </x:c>
      <x:c r="D161" s="257" t="n">
        <x:v>1</x:v>
      </x:c>
      <x:c r="E161" s="257" t="n">
        <x:v>1</x:v>
      </x:c>
      <x:c r="F161" s="257" t="n">
        <x:f>D161*E161</x:f>
        <x:v>1</x:v>
      </x:c>
      <x:c r="G161" s="256" t="str">
        <x:v>核心配方</x:v>
      </x:c>
      <x:c r="H161" s="256" t="str">
        <x:v>计入PVE情景</x:v>
      </x:c>
    </x:row>
    <x:row r="162" ht="36" customHeight="1">
      <x:c r="A162" s="256" t="str">
        <x:v>C04-REBIRTH-02</x:v>
      </x:c>
      <x:c r="B162" s="256" t="str">
        <x:v>C04</x:v>
      </x:c>
      <x:c r="C162" s="256" t="str">
        <x:v>小卢恩</x:v>
      </x:c>
      <x:c r="D162" s="257" t="n">
        <x:v>30</x:v>
      </x:c>
      <x:c r="E162" s="257" t="n">
        <x:v>1</x:v>
      </x:c>
      <x:c r="F162" s="257" t="n">
        <x:f>D162*E162</x:f>
        <x:v>30</x:v>
      </x:c>
      <x:c r="G162" s="256" t="str">
        <x:v>核心配方</x:v>
      </x:c>
      <x:c r="H162" s="256" t="str">
        <x:v>计入PVE情景</x:v>
      </x:c>
    </x:row>
    <x:row r="163" ht="36" customHeight="1">
      <x:c r="A163" s="256" t="str">
        <x:v>C04-REBIRTH-03</x:v>
      </x:c>
      <x:c r="B163" s="256" t="str">
        <x:v>C04</x:v>
      </x:c>
      <x:c r="C163" s="256" t="str">
        <x:v>湖盐结晶</x:v>
      </x:c>
      <x:c r="D163" s="257" t="n">
        <x:v>44</x:v>
      </x:c>
      <x:c r="E163" s="257" t="n">
        <x:v>1</x:v>
      </x:c>
      <x:c r="F163" s="257" t="n">
        <x:f>D163*E163</x:f>
        <x:v>44</x:v>
      </x:c>
      <x:c r="G163" s="256" t="str">
        <x:v>核心配方</x:v>
      </x:c>
      <x:c r="H163" s="256" t="str">
        <x:v>计入PVE情景</x:v>
      </x:c>
    </x:row>
    <x:row r="164" ht="36" customHeight="1">
      <x:c r="A164" s="256" t="str">
        <x:v>C04-REBIRTH-03</x:v>
      </x:c>
      <x:c r="B164" s="256" t="str">
        <x:v>C04</x:v>
      </x:c>
      <x:c r="C164" s="256" t="str">
        <x:v>雾潮银鳞</x:v>
      </x:c>
      <x:c r="D164" s="257" t="n">
        <x:v>10</x:v>
      </x:c>
      <x:c r="E164" s="257" t="n">
        <x:v>1</x:v>
      </x:c>
      <x:c r="F164" s="257" t="n">
        <x:f>D164*E164</x:f>
        <x:v>10</x:v>
      </x:c>
      <x:c r="G164" s="256" t="str">
        <x:v>核心配方</x:v>
      </x:c>
      <x:c r="H164" s="256" t="str">
        <x:v>计入PVE情景</x:v>
      </x:c>
    </x:row>
    <x:row r="165" ht="36" customHeight="1">
      <x:c r="A165" s="256" t="str">
        <x:v>C04-REBIRTH-03</x:v>
      </x:c>
      <x:c r="B165" s="256" t="str">
        <x:v>C04</x:v>
      </x:c>
      <x:c r="C165" s="256" t="str">
        <x:v>幽船铆钉</x:v>
      </x:c>
      <x:c r="D165" s="257" t="n">
        <x:v>4</x:v>
      </x:c>
      <x:c r="E165" s="257" t="n">
        <x:v>1</x:v>
      </x:c>
      <x:c r="F165" s="257" t="n">
        <x:f>D165*E165</x:f>
        <x:v>4</x:v>
      </x:c>
      <x:c r="G165" s="256" t="str">
        <x:v>核心配方</x:v>
      </x:c>
      <x:c r="H165" s="256" t="str">
        <x:v>计入PVE情景</x:v>
      </x:c>
    </x:row>
    <x:row r="166" ht="36" customHeight="1">
      <x:c r="A166" s="256" t="str">
        <x:v>C04-REBIRTH-03</x:v>
      </x:c>
      <x:c r="B166" s="256" t="str">
        <x:v>C04</x:v>
      </x:c>
      <x:c r="C166" s="256" t="str">
        <x:v>沉湖王印</x:v>
      </x:c>
      <x:c r="D166" s="257" t="n">
        <x:v>1</x:v>
      </x:c>
      <x:c r="E166" s="257" t="n">
        <x:v>1</x:v>
      </x:c>
      <x:c r="F166" s="257" t="n">
        <x:f>D166*E166</x:f>
        <x:v>1</x:v>
      </x:c>
      <x:c r="G166" s="256" t="str">
        <x:v>核心配方</x:v>
      </x:c>
      <x:c r="H166" s="256" t="str">
        <x:v>计入PVE情景</x:v>
      </x:c>
    </x:row>
    <x:row r="167" ht="36" customHeight="1">
      <x:c r="A167" s="256" t="str">
        <x:v>C04-REBIRTH-03</x:v>
      </x:c>
      <x:c r="B167" s="256" t="str">
        <x:v>C04</x:v>
      </x:c>
      <x:c r="C167" s="256" t="str">
        <x:v>小卢恩</x:v>
      </x:c>
      <x:c r="D167" s="257" t="n">
        <x:v>45</x:v>
      </x:c>
      <x:c r="E167" s="257" t="n">
        <x:v>1</x:v>
      </x:c>
      <x:c r="F167" s="257" t="n">
        <x:f>D167*E167</x:f>
        <x:v>45</x:v>
      </x:c>
      <x:c r="G167" s="256" t="str">
        <x:v>核心配方</x:v>
      </x:c>
      <x:c r="H167" s="256" t="str">
        <x:v>计入PVE情景</x:v>
      </x:c>
    </x:row>
    <x:row r="168" ht="36" customHeight="1">
      <x:c r="A168" s="256" t="str">
        <x:v>C04-REBIRTH-04</x:v>
      </x:c>
      <x:c r="B168" s="256" t="str">
        <x:v>C04</x:v>
      </x:c>
      <x:c r="C168" s="256" t="str">
        <x:v>湖盐结晶</x:v>
      </x:c>
      <x:c r="D168" s="257" t="n">
        <x:v>55</x:v>
      </x:c>
      <x:c r="E168" s="257" t="n">
        <x:v>1</x:v>
      </x:c>
      <x:c r="F168" s="257" t="n">
        <x:f>D168*E168</x:f>
        <x:v>55</x:v>
      </x:c>
      <x:c r="G168" s="256" t="str">
        <x:v>核心配方</x:v>
      </x:c>
      <x:c r="H168" s="256" t="str">
        <x:v>计入PVE情景</x:v>
      </x:c>
    </x:row>
    <x:row r="169" ht="36" customHeight="1">
      <x:c r="A169" s="256" t="str">
        <x:v>C04-REBIRTH-04</x:v>
      </x:c>
      <x:c r="B169" s="256" t="str">
        <x:v>C04</x:v>
      </x:c>
      <x:c r="C169" s="256" t="str">
        <x:v>雾潮银鳞</x:v>
      </x:c>
      <x:c r="D169" s="257" t="n">
        <x:v>12</x:v>
      </x:c>
      <x:c r="E169" s="257" t="n">
        <x:v>1</x:v>
      </x:c>
      <x:c r="F169" s="257" t="n">
        <x:f>D169*E169</x:f>
        <x:v>12</x:v>
      </x:c>
      <x:c r="G169" s="256" t="str">
        <x:v>核心配方</x:v>
      </x:c>
      <x:c r="H169" s="256" t="str">
        <x:v>计入PVE情景</x:v>
      </x:c>
    </x:row>
    <x:row r="170" ht="36" customHeight="1">
      <x:c r="A170" s="256" t="str">
        <x:v>C04-REBIRTH-04</x:v>
      </x:c>
      <x:c r="B170" s="256" t="str">
        <x:v>C04</x:v>
      </x:c>
      <x:c r="C170" s="256" t="str">
        <x:v>幽船铆钉</x:v>
      </x:c>
      <x:c r="D170" s="257" t="n">
        <x:v>5</x:v>
      </x:c>
      <x:c r="E170" s="257" t="n">
        <x:v>1</x:v>
      </x:c>
      <x:c r="F170" s="257" t="n">
        <x:f>D170*E170</x:f>
        <x:v>5</x:v>
      </x:c>
      <x:c r="G170" s="256" t="str">
        <x:v>核心配方</x:v>
      </x:c>
      <x:c r="H170" s="256" t="str">
        <x:v>计入PVE情景</x:v>
      </x:c>
    </x:row>
    <x:row r="171" ht="36" customHeight="1">
      <x:c r="A171" s="256" t="str">
        <x:v>C04-REBIRTH-04</x:v>
      </x:c>
      <x:c r="B171" s="256" t="str">
        <x:v>C04</x:v>
      </x:c>
      <x:c r="C171" s="256" t="str">
        <x:v>沉湖王印</x:v>
      </x:c>
      <x:c r="D171" s="257" t="n">
        <x:v>2</x:v>
      </x:c>
      <x:c r="E171" s="257" t="n">
        <x:v>1</x:v>
      </x:c>
      <x:c r="F171" s="257" t="n">
        <x:f>D171*E171</x:f>
        <x:v>2</x:v>
      </x:c>
      <x:c r="G171" s="256" t="str">
        <x:v>核心配方</x:v>
      </x:c>
      <x:c r="H171" s="256" t="str">
        <x:v>计入PVE情景</x:v>
      </x:c>
    </x:row>
    <x:row r="172" ht="36" customHeight="1">
      <x:c r="A172" s="256" t="str">
        <x:v>C04-REBIRTH-04</x:v>
      </x:c>
      <x:c r="B172" s="256" t="str">
        <x:v>C04</x:v>
      </x:c>
      <x:c r="C172" s="256" t="str">
        <x:v>小卢恩</x:v>
      </x:c>
      <x:c r="D172" s="257" t="n">
        <x:v>65</x:v>
      </x:c>
      <x:c r="E172" s="257" t="n">
        <x:v>1</x:v>
      </x:c>
      <x:c r="F172" s="257" t="n">
        <x:f>D172*E172</x:f>
        <x:v>65</x:v>
      </x:c>
      <x:c r="G172" s="256" t="str">
        <x:v>核心配方</x:v>
      </x:c>
      <x:c r="H172" s="256" t="str">
        <x:v>计入PVE情景</x:v>
      </x:c>
    </x:row>
    <x:row r="173" ht="36" customHeight="1">
      <x:c r="A173" s="256" t="str">
        <x:v>C04-REBIRTH-05</x:v>
      </x:c>
      <x:c r="B173" s="256" t="str">
        <x:v>C04</x:v>
      </x:c>
      <x:c r="C173" s="256" t="str">
        <x:v>湖盐结晶</x:v>
      </x:c>
      <x:c r="D173" s="257" t="n">
        <x:v>70</x:v>
      </x:c>
      <x:c r="E173" s="257" t="n">
        <x:v>1</x:v>
      </x:c>
      <x:c r="F173" s="257" t="n">
        <x:f>D173*E173</x:f>
        <x:v>70</x:v>
      </x:c>
      <x:c r="G173" s="256" t="str">
        <x:v>核心配方</x:v>
      </x:c>
      <x:c r="H173" s="256" t="str">
        <x:v>计入PVE情景</x:v>
      </x:c>
    </x:row>
    <x:row r="174" ht="36" customHeight="1">
      <x:c r="A174" s="256" t="str">
        <x:v>C04-REBIRTH-05</x:v>
      </x:c>
      <x:c r="B174" s="256" t="str">
        <x:v>C04</x:v>
      </x:c>
      <x:c r="C174" s="256" t="str">
        <x:v>雾潮银鳞</x:v>
      </x:c>
      <x:c r="D174" s="257" t="n">
        <x:v>16</x:v>
      </x:c>
      <x:c r="E174" s="257" t="n">
        <x:v>1</x:v>
      </x:c>
      <x:c r="F174" s="257" t="n">
        <x:f>D174*E174</x:f>
        <x:v>16</x:v>
      </x:c>
      <x:c r="G174" s="256" t="str">
        <x:v>核心配方</x:v>
      </x:c>
      <x:c r="H174" s="256" t="str">
        <x:v>计入PVE情景</x:v>
      </x:c>
    </x:row>
    <x:row r="175" ht="36" customHeight="1">
      <x:c r="A175" s="256" t="str">
        <x:v>C04-REBIRTH-05</x:v>
      </x:c>
      <x:c r="B175" s="256" t="str">
        <x:v>C04</x:v>
      </x:c>
      <x:c r="C175" s="256" t="str">
        <x:v>幽船铆钉</x:v>
      </x:c>
      <x:c r="D175" s="257" t="n">
        <x:v>7</x:v>
      </x:c>
      <x:c r="E175" s="257" t="n">
        <x:v>1</x:v>
      </x:c>
      <x:c r="F175" s="257" t="n">
        <x:f>D175*E175</x:f>
        <x:v>7</x:v>
      </x:c>
      <x:c r="G175" s="256" t="str">
        <x:v>核心配方</x:v>
      </x:c>
      <x:c r="H175" s="256" t="str">
        <x:v>计入PVE情景</x:v>
      </x:c>
    </x:row>
    <x:row r="176" ht="36" customHeight="1">
      <x:c r="A176" s="256" t="str">
        <x:v>C04-REBIRTH-05</x:v>
      </x:c>
      <x:c r="B176" s="256" t="str">
        <x:v>C04</x:v>
      </x:c>
      <x:c r="C176" s="256" t="str">
        <x:v>沉湖王印</x:v>
      </x:c>
      <x:c r="D176" s="257" t="n">
        <x:v>2</x:v>
      </x:c>
      <x:c r="E176" s="257" t="n">
        <x:v>1</x:v>
      </x:c>
      <x:c r="F176" s="257" t="n">
        <x:f>D176*E176</x:f>
        <x:v>2</x:v>
      </x:c>
      <x:c r="G176" s="256" t="str">
        <x:v>核心配方</x:v>
      </x:c>
      <x:c r="H176" s="256" t="str">
        <x:v>计入PVE情景</x:v>
      </x:c>
    </x:row>
    <x:row r="177" ht="36" customHeight="1">
      <x:c r="A177" s="256" t="str">
        <x:v>C04-REBIRTH-05</x:v>
      </x:c>
      <x:c r="B177" s="256" t="str">
        <x:v>C04</x:v>
      </x:c>
      <x:c r="C177" s="256" t="str">
        <x:v>小卢恩</x:v>
      </x:c>
      <x:c r="D177" s="257" t="n">
        <x:v>90</x:v>
      </x:c>
      <x:c r="E177" s="257" t="n">
        <x:v>1</x:v>
      </x:c>
      <x:c r="F177" s="257" t="n">
        <x:f>D177*E177</x:f>
        <x:v>90</x:v>
      </x:c>
      <x:c r="G177" s="256" t="str">
        <x:v>核心配方</x:v>
      </x:c>
      <x:c r="H177" s="256" t="str">
        <x:v>计入PVE情景</x:v>
      </x:c>
    </x:row>
    <x:row r="178" ht="36" customHeight="1">
      <x:c r="A178" s="256" t="str">
        <x:v>C06-REBIRTH-06</x:v>
      </x:c>
      <x:c r="B178" s="256" t="str">
        <x:v>C06</x:v>
      </x:c>
      <x:c r="C178" s="256" t="str">
        <x:v>猩红矿渣</x:v>
      </x:c>
      <x:c r="D178" s="257" t="n">
        <x:v>42</x:v>
      </x:c>
      <x:c r="E178" s="257" t="n">
        <x:v>1</x:v>
      </x:c>
      <x:c r="F178" s="257" t="n">
        <x:f>D178*E178</x:f>
        <x:v>42</x:v>
      </x:c>
      <x:c r="G178" s="256" t="str">
        <x:v>核心配方</x:v>
      </x:c>
      <x:c r="H178" s="256" t="str">
        <x:v>计入PVE情景</x:v>
      </x:c>
    </x:row>
    <x:row r="179" ht="36" customHeight="1">
      <x:c r="A179" s="256" t="str">
        <x:v>C06-REBIRTH-06</x:v>
      </x:c>
      <x:c r="B179" s="256" t="str">
        <x:v>C06</x:v>
      </x:c>
      <x:c r="C179" s="256" t="str">
        <x:v>净火腺囊</x:v>
      </x:c>
      <x:c r="D179" s="257" t="n">
        <x:v>3</x:v>
      </x:c>
      <x:c r="E179" s="257" t="n">
        <x:v>1</x:v>
      </x:c>
      <x:c r="F179" s="257" t="n">
        <x:f>D179*E179</x:f>
        <x:v>3</x:v>
      </x:c>
      <x:c r="G179" s="256" t="str">
        <x:v>核心配方</x:v>
      </x:c>
      <x:c r="H179" s="256" t="str">
        <x:v>计入PVE情景</x:v>
      </x:c>
    </x:row>
    <x:row r="180" ht="36" customHeight="1">
      <x:c r="A180" s="256" t="str">
        <x:v>C06-REBIRTH-06</x:v>
      </x:c>
      <x:c r="B180" s="256" t="str">
        <x:v>C06</x:v>
      </x:c>
      <x:c r="C180" s="256" t="str">
        <x:v>龙火鳞</x:v>
      </x:c>
      <x:c r="D180" s="257" t="n">
        <x:v>4</x:v>
      </x:c>
      <x:c r="E180" s="257" t="n">
        <x:v>1</x:v>
      </x:c>
      <x:c r="F180" s="257" t="n">
        <x:f>D180*E180</x:f>
        <x:v>4</x:v>
      </x:c>
      <x:c r="G180" s="256" t="str">
        <x:v>核心配方</x:v>
      </x:c>
      <x:c r="H180" s="256" t="str">
        <x:v>计入PVE情景</x:v>
      </x:c>
    </x:row>
    <x:row r="181" ht="36" customHeight="1">
      <x:c r="A181" s="256" t="str">
        <x:v>C06-REBIRTH-06</x:v>
      </x:c>
      <x:c r="B181" s="256" t="str">
        <x:v>C06</x:v>
      </x:c>
      <x:c r="C181" s="256" t="str">
        <x:v>红狮战印</x:v>
      </x:c>
      <x:c r="D181" s="257" t="n">
        <x:v>1</x:v>
      </x:c>
      <x:c r="E181" s="257" t="n">
        <x:v>1</x:v>
      </x:c>
      <x:c r="F181" s="257" t="n">
        <x:f>D181*E181</x:f>
        <x:v>1</x:v>
      </x:c>
      <x:c r="G181" s="256" t="str">
        <x:v>核心配方</x:v>
      </x:c>
      <x:c r="H181" s="256" t="str">
        <x:v>计入PVE情景</x:v>
      </x:c>
    </x:row>
    <x:row r="182" ht="36" customHeight="1">
      <x:c r="A182" s="256" t="str">
        <x:v>C06-REBIRTH-06</x:v>
      </x:c>
      <x:c r="B182" s="256" t="str">
        <x:v>C06</x:v>
      </x:c>
      <x:c r="C182" s="256" t="str">
        <x:v>大卢恩</x:v>
      </x:c>
      <x:c r="D182" s="257" t="n">
        <x:v>30</x:v>
      </x:c>
      <x:c r="E182" s="257" t="n">
        <x:v>1</x:v>
      </x:c>
      <x:c r="F182" s="257" t="n">
        <x:f>D182*E182</x:f>
        <x:v>30</x:v>
      </x:c>
      <x:c r="G182" s="256" t="str">
        <x:v>核心配方</x:v>
      </x:c>
      <x:c r="H182" s="256" t="str">
        <x:v>计入PVE情景</x:v>
      </x:c>
    </x:row>
    <x:row r="183" ht="36" customHeight="1">
      <x:c r="A183" s="256" t="str">
        <x:v>C06-REBIRTH-07</x:v>
      </x:c>
      <x:c r="B183" s="256" t="str">
        <x:v>C06</x:v>
      </x:c>
      <x:c r="C183" s="256" t="str">
        <x:v>猩红矿渣</x:v>
      </x:c>
      <x:c r="D183" s="257" t="n">
        <x:v>60</x:v>
      </x:c>
      <x:c r="E183" s="257" t="n">
        <x:v>1</x:v>
      </x:c>
      <x:c r="F183" s="257" t="n">
        <x:f>D183*E183</x:f>
        <x:v>60</x:v>
      </x:c>
      <x:c r="G183" s="256" t="str">
        <x:v>核心配方</x:v>
      </x:c>
      <x:c r="H183" s="256" t="str">
        <x:v>计入PVE情景</x:v>
      </x:c>
    </x:row>
    <x:row r="184" ht="36" customHeight="1">
      <x:c r="A184" s="256" t="str">
        <x:v>C06-REBIRTH-07</x:v>
      </x:c>
      <x:c r="B184" s="256" t="str">
        <x:v>C06</x:v>
      </x:c>
      <x:c r="C184" s="256" t="str">
        <x:v>净火腺囊</x:v>
      </x:c>
      <x:c r="D184" s="257" t="n">
        <x:v>4</x:v>
      </x:c>
      <x:c r="E184" s="257" t="n">
        <x:v>1</x:v>
      </x:c>
      <x:c r="F184" s="257" t="n">
        <x:f>D184*E184</x:f>
        <x:v>4</x:v>
      </x:c>
      <x:c r="G184" s="256" t="str">
        <x:v>核心配方</x:v>
      </x:c>
      <x:c r="H184" s="256" t="str">
        <x:v>计入PVE情景</x:v>
      </x:c>
    </x:row>
    <x:row r="185" ht="36" customHeight="1">
      <x:c r="A185" s="256" t="str">
        <x:v>C06-REBIRTH-07</x:v>
      </x:c>
      <x:c r="B185" s="256" t="str">
        <x:v>C06</x:v>
      </x:c>
      <x:c r="C185" s="256" t="str">
        <x:v>龙火鳞</x:v>
      </x:c>
      <x:c r="D185" s="257" t="n">
        <x:v>6</x:v>
      </x:c>
      <x:c r="E185" s="257" t="n">
        <x:v>1</x:v>
      </x:c>
      <x:c r="F185" s="257" t="n">
        <x:f>D185*E185</x:f>
        <x:v>6</x:v>
      </x:c>
      <x:c r="G185" s="256" t="str">
        <x:v>核心配方</x:v>
      </x:c>
      <x:c r="H185" s="256" t="str">
        <x:v>计入PVE情景</x:v>
      </x:c>
    </x:row>
    <x:row r="186" ht="36" customHeight="1">
      <x:c r="A186" s="256" t="str">
        <x:v>C06-REBIRTH-07</x:v>
      </x:c>
      <x:c r="B186" s="256" t="str">
        <x:v>C06</x:v>
      </x:c>
      <x:c r="C186" s="256" t="str">
        <x:v>红狮战印</x:v>
      </x:c>
      <x:c r="D186" s="257" t="n">
        <x:v>2</x:v>
      </x:c>
      <x:c r="E186" s="257" t="n">
        <x:v>1</x:v>
      </x:c>
      <x:c r="F186" s="257" t="n">
        <x:f>D186*E186</x:f>
        <x:v>2</x:v>
      </x:c>
      <x:c r="G186" s="256" t="str">
        <x:v>核心配方</x:v>
      </x:c>
      <x:c r="H186" s="256" t="str">
        <x:v>计入PVE情景</x:v>
      </x:c>
    </x:row>
    <x:row r="187" ht="36" customHeight="1">
      <x:c r="A187" s="256" t="str">
        <x:v>C06-REBIRTH-07</x:v>
      </x:c>
      <x:c r="B187" s="256" t="str">
        <x:v>C06</x:v>
      </x:c>
      <x:c r="C187" s="256" t="str">
        <x:v>大卢恩</x:v>
      </x:c>
      <x:c r="D187" s="257" t="n">
        <x:v>45</x:v>
      </x:c>
      <x:c r="E187" s="257" t="n">
        <x:v>1</x:v>
      </x:c>
      <x:c r="F187" s="257" t="n">
        <x:f>D187*E187</x:f>
        <x:v>45</x:v>
      </x:c>
      <x:c r="G187" s="256" t="str">
        <x:v>核心配方</x:v>
      </x:c>
      <x:c r="H187" s="256" t="str">
        <x:v>计入PVE情景</x:v>
      </x:c>
    </x:row>
    <x:row r="188" ht="36" customHeight="1">
      <x:c r="A188" s="256" t="str">
        <x:v>C06-REBIRTH-08</x:v>
      </x:c>
      <x:c r="B188" s="256" t="str">
        <x:v>C06</x:v>
      </x:c>
      <x:c r="C188" s="256" t="str">
        <x:v>猩红矿渣</x:v>
      </x:c>
      <x:c r="D188" s="257" t="n">
        <x:v>75</x:v>
      </x:c>
      <x:c r="E188" s="257" t="n">
        <x:v>1</x:v>
      </x:c>
      <x:c r="F188" s="257" t="n">
        <x:f>D188*E188</x:f>
        <x:v>75</x:v>
      </x:c>
      <x:c r="G188" s="256" t="str">
        <x:v>核心配方</x:v>
      </x:c>
      <x:c r="H188" s="256" t="str">
        <x:v>计入PVE情景</x:v>
      </x:c>
    </x:row>
    <x:row r="189" ht="36" customHeight="1">
      <x:c r="A189" s="256" t="str">
        <x:v>C06-REBIRTH-08</x:v>
      </x:c>
      <x:c r="B189" s="256" t="str">
        <x:v>C06</x:v>
      </x:c>
      <x:c r="C189" s="256" t="str">
        <x:v>净火腺囊</x:v>
      </x:c>
      <x:c r="D189" s="257" t="n">
        <x:v>5</x:v>
      </x:c>
      <x:c r="E189" s="257" t="n">
        <x:v>1</x:v>
      </x:c>
      <x:c r="F189" s="257" t="n">
        <x:f>D189*E189</x:f>
        <x:v>5</x:v>
      </x:c>
      <x:c r="G189" s="256" t="str">
        <x:v>核心配方</x:v>
      </x:c>
      <x:c r="H189" s="256" t="str">
        <x:v>计入PVE情景</x:v>
      </x:c>
    </x:row>
    <x:row r="190" ht="36" customHeight="1">
      <x:c r="A190" s="256" t="str">
        <x:v>C06-REBIRTH-08</x:v>
      </x:c>
      <x:c r="B190" s="256" t="str">
        <x:v>C06</x:v>
      </x:c>
      <x:c r="C190" s="256" t="str">
        <x:v>龙火鳞</x:v>
      </x:c>
      <x:c r="D190" s="257" t="n">
        <x:v>7</x:v>
      </x:c>
      <x:c r="E190" s="257" t="n">
        <x:v>1</x:v>
      </x:c>
      <x:c r="F190" s="257" t="n">
        <x:f>D190*E190</x:f>
        <x:v>7</x:v>
      </x:c>
      <x:c r="G190" s="256" t="str">
        <x:v>核心配方</x:v>
      </x:c>
      <x:c r="H190" s="256" t="str">
        <x:v>计入PVE情景</x:v>
      </x:c>
    </x:row>
    <x:row r="191" ht="36" customHeight="1">
      <x:c r="A191" s="256" t="str">
        <x:v>C06-REBIRTH-08</x:v>
      </x:c>
      <x:c r="B191" s="256" t="str">
        <x:v>C06</x:v>
      </x:c>
      <x:c r="C191" s="256" t="str">
        <x:v>红狮战印</x:v>
      </x:c>
      <x:c r="D191" s="257" t="n">
        <x:v>2</x:v>
      </x:c>
      <x:c r="E191" s="257" t="n">
        <x:v>1</x:v>
      </x:c>
      <x:c r="F191" s="257" t="n">
        <x:f>D191*E191</x:f>
        <x:v>2</x:v>
      </x:c>
      <x:c r="G191" s="256" t="str">
        <x:v>核心配方</x:v>
      </x:c>
      <x:c r="H191" s="256" t="str">
        <x:v>计入PVE情景</x:v>
      </x:c>
    </x:row>
    <x:row r="192" ht="36" customHeight="1">
      <x:c r="A192" s="256" t="str">
        <x:v>C06-REBIRTH-08</x:v>
      </x:c>
      <x:c r="B192" s="256" t="str">
        <x:v>C06</x:v>
      </x:c>
      <x:c r="C192" s="256" t="str">
        <x:v>大卢恩</x:v>
      </x:c>
      <x:c r="D192" s="257" t="n">
        <x:v>65</x:v>
      </x:c>
      <x:c r="E192" s="257" t="n">
        <x:v>1</x:v>
      </x:c>
      <x:c r="F192" s="257" t="n">
        <x:f>D192*E192</x:f>
        <x:v>65</x:v>
      </x:c>
      <x:c r="G192" s="256" t="str">
        <x:v>核心配方</x:v>
      </x:c>
      <x:c r="H192" s="256" t="str">
        <x:v>计入PVE情景</x:v>
      </x:c>
    </x:row>
    <x:row r="193" ht="36" customHeight="1">
      <x:c r="A193" s="256" t="str">
        <x:v>C06-REBIRTH-09</x:v>
      </x:c>
      <x:c r="B193" s="256" t="str">
        <x:v>C06</x:v>
      </x:c>
      <x:c r="C193" s="256" t="str">
        <x:v>猩红矿渣</x:v>
      </x:c>
      <x:c r="D193" s="257" t="n">
        <x:v>95</x:v>
      </x:c>
      <x:c r="E193" s="257" t="n">
        <x:v>1</x:v>
      </x:c>
      <x:c r="F193" s="257" t="n">
        <x:f>D193*E193</x:f>
        <x:v>95</x:v>
      </x:c>
      <x:c r="G193" s="256" t="str">
        <x:v>核心配方</x:v>
      </x:c>
      <x:c r="H193" s="256" t="str">
        <x:v>计入PVE情景</x:v>
      </x:c>
    </x:row>
    <x:row r="194" ht="36" customHeight="1">
      <x:c r="A194" s="256" t="str">
        <x:v>C06-REBIRTH-09</x:v>
      </x:c>
      <x:c r="B194" s="256" t="str">
        <x:v>C06</x:v>
      </x:c>
      <x:c r="C194" s="256" t="str">
        <x:v>净火腺囊</x:v>
      </x:c>
      <x:c r="D194" s="257" t="n">
        <x:v>6</x:v>
      </x:c>
      <x:c r="E194" s="257" t="n">
        <x:v>1</x:v>
      </x:c>
      <x:c r="F194" s="257" t="n">
        <x:f>D194*E194</x:f>
        <x:v>6</x:v>
      </x:c>
      <x:c r="G194" s="256" t="str">
        <x:v>核心配方</x:v>
      </x:c>
      <x:c r="H194" s="256" t="str">
        <x:v>计入PVE情景</x:v>
      </x:c>
    </x:row>
    <x:row r="195" ht="36" customHeight="1">
      <x:c r="A195" s="256" t="str">
        <x:v>C06-REBIRTH-09</x:v>
      </x:c>
      <x:c r="B195" s="256" t="str">
        <x:v>C06</x:v>
      </x:c>
      <x:c r="C195" s="256" t="str">
        <x:v>龙火鳞</x:v>
      </x:c>
      <x:c r="D195" s="257" t="n">
        <x:v>9</x:v>
      </x:c>
      <x:c r="E195" s="257" t="n">
        <x:v>1</x:v>
      </x:c>
      <x:c r="F195" s="257" t="n">
        <x:f>D195*E195</x:f>
        <x:v>9</x:v>
      </x:c>
      <x:c r="G195" s="256" t="str">
        <x:v>核心配方</x:v>
      </x:c>
      <x:c r="H195" s="256" t="str">
        <x:v>计入PVE情景</x:v>
      </x:c>
    </x:row>
    <x:row r="196" ht="36" customHeight="1">
      <x:c r="A196" s="256" t="str">
        <x:v>C06-REBIRTH-09</x:v>
      </x:c>
      <x:c r="B196" s="256" t="str">
        <x:v>C06</x:v>
      </x:c>
      <x:c r="C196" s="256" t="str">
        <x:v>红狮战印</x:v>
      </x:c>
      <x:c r="D196" s="257" t="n">
        <x:v>3</x:v>
      </x:c>
      <x:c r="E196" s="257" t="n">
        <x:v>1</x:v>
      </x:c>
      <x:c r="F196" s="257" t="n">
        <x:f>D196*E196</x:f>
        <x:v>3</x:v>
      </x:c>
      <x:c r="G196" s="256" t="str">
        <x:v>核心配方</x:v>
      </x:c>
      <x:c r="H196" s="256" t="str">
        <x:v>计入PVE情景</x:v>
      </x:c>
    </x:row>
    <x:row r="197" ht="36" customHeight="1">
      <x:c r="A197" s="256" t="str">
        <x:v>C06-REBIRTH-09</x:v>
      </x:c>
      <x:c r="B197" s="256" t="str">
        <x:v>C06</x:v>
      </x:c>
      <x:c r="C197" s="256" t="str">
        <x:v>大卢恩</x:v>
      </x:c>
      <x:c r="D197" s="257" t="n">
        <x:v>90</x:v>
      </x:c>
      <x:c r="E197" s="257" t="n">
        <x:v>1</x:v>
      </x:c>
      <x:c r="F197" s="257" t="n">
        <x:f>D197*E197</x:f>
        <x:v>90</x:v>
      </x:c>
      <x:c r="G197" s="256" t="str">
        <x:v>核心配方</x:v>
      </x:c>
      <x:c r="H197" s="256" t="str">
        <x:v>计入PVE情景</x:v>
      </x:c>
    </x:row>
    <x:row r="198" ht="36" customHeight="1">
      <x:c r="A198" s="256" t="str">
        <x:v>C06-REBIRTH-10</x:v>
      </x:c>
      <x:c r="B198" s="256" t="str">
        <x:v>C06</x:v>
      </x:c>
      <x:c r="C198" s="256" t="str">
        <x:v>猩红矿渣</x:v>
      </x:c>
      <x:c r="D198" s="257" t="n">
        <x:v>125</x:v>
      </x:c>
      <x:c r="E198" s="257" t="n">
        <x:v>1</x:v>
      </x:c>
      <x:c r="F198" s="257" t="n">
        <x:f>D198*E198</x:f>
        <x:v>125</x:v>
      </x:c>
      <x:c r="G198" s="256" t="str">
        <x:v>核心配方</x:v>
      </x:c>
      <x:c r="H198" s="256" t="str">
        <x:v>计入PVE情景</x:v>
      </x:c>
    </x:row>
    <x:row r="199" ht="36" customHeight="1">
      <x:c r="A199" s="256" t="str">
        <x:v>C06-REBIRTH-10</x:v>
      </x:c>
      <x:c r="B199" s="256" t="str">
        <x:v>C06</x:v>
      </x:c>
      <x:c r="C199" s="256" t="str">
        <x:v>净火腺囊</x:v>
      </x:c>
      <x:c r="D199" s="257" t="n">
        <x:v>8</x:v>
      </x:c>
      <x:c r="E199" s="257" t="n">
        <x:v>1</x:v>
      </x:c>
      <x:c r="F199" s="257" t="n">
        <x:f>D199*E199</x:f>
        <x:v>8</x:v>
      </x:c>
      <x:c r="G199" s="256" t="str">
        <x:v>核心配方</x:v>
      </x:c>
      <x:c r="H199" s="256" t="str">
        <x:v>计入PVE情景</x:v>
      </x:c>
    </x:row>
    <x:row r="200" ht="36" customHeight="1">
      <x:c r="A200" s="256" t="str">
        <x:v>C06-REBIRTH-10</x:v>
      </x:c>
      <x:c r="B200" s="256" t="str">
        <x:v>C06</x:v>
      </x:c>
      <x:c r="C200" s="256" t="str">
        <x:v>龙火鳞</x:v>
      </x:c>
      <x:c r="D200" s="257" t="n">
        <x:v>12</x:v>
      </x:c>
      <x:c r="E200" s="257" t="n">
        <x:v>1</x:v>
      </x:c>
      <x:c r="F200" s="257" t="n">
        <x:f>D200*E200</x:f>
        <x:v>12</x:v>
      </x:c>
      <x:c r="G200" s="256" t="str">
        <x:v>核心配方</x:v>
      </x:c>
      <x:c r="H200" s="256" t="str">
        <x:v>计入PVE情景</x:v>
      </x:c>
    </x:row>
    <x:row r="201" ht="36" customHeight="1">
      <x:c r="A201" s="256" t="str">
        <x:v>C06-REBIRTH-10</x:v>
      </x:c>
      <x:c r="B201" s="256" t="str">
        <x:v>C06</x:v>
      </x:c>
      <x:c r="C201" s="256" t="str">
        <x:v>红狮战印</x:v>
      </x:c>
      <x:c r="D201" s="257" t="n">
        <x:v>4</x:v>
      </x:c>
      <x:c r="E201" s="257" t="n">
        <x:v>1</x:v>
      </x:c>
      <x:c r="F201" s="257" t="n">
        <x:f>D201*E201</x:f>
        <x:v>4</x:v>
      </x:c>
      <x:c r="G201" s="256" t="str">
        <x:v>核心配方</x:v>
      </x:c>
      <x:c r="H201" s="256" t="str">
        <x:v>计入PVE情景</x:v>
      </x:c>
    </x:row>
    <x:row r="202" ht="36" customHeight="1">
      <x:c r="A202" s="256" t="str">
        <x:v>C06-REBIRTH-10</x:v>
      </x:c>
      <x:c r="B202" s="256" t="str">
        <x:v>C06</x:v>
      </x:c>
      <x:c r="C202" s="256" t="str">
        <x:v>大卢恩</x:v>
      </x:c>
      <x:c r="D202" s="257" t="n">
        <x:v>120</x:v>
      </x:c>
      <x:c r="E202" s="257" t="n">
        <x:v>1</x:v>
      </x:c>
      <x:c r="F202" s="257" t="n">
        <x:f>D202*E202</x:f>
        <x:v>120</x:v>
      </x:c>
      <x:c r="G202" s="256" t="str">
        <x:v>核心配方</x:v>
      </x:c>
      <x:c r="H202" s="256" t="str">
        <x:v>计入PVE情景</x:v>
      </x:c>
    </x:row>
    <x:row r="203" ht="36" customHeight="1">
      <x:c r="A203" s="256" t="str">
        <x:v>C08-REBIRTH-11</x:v>
      </x:c>
      <x:c r="B203" s="256" t="str">
        <x:v>C08</x:v>
      </x:c>
      <x:c r="C203" s="256" t="str">
        <x:v>霜脊铁</x:v>
      </x:c>
      <x:c r="D203" s="257" t="n">
        <x:v>70</x:v>
      </x:c>
      <x:c r="E203" s="257" t="n">
        <x:v>1</x:v>
      </x:c>
      <x:c r="F203" s="257" t="n">
        <x:f>D203*E203</x:f>
        <x:v>70</x:v>
      </x:c>
      <x:c r="G203" s="256" t="str">
        <x:v>核心配方</x:v>
      </x:c>
      <x:c r="H203" s="256" t="str">
        <x:v>计入PVE情景</x:v>
      </x:c>
    </x:row>
    <x:row r="204" ht="36" customHeight="1">
      <x:c r="A204" s="256" t="str">
        <x:v>C08-REBIRTH-11</x:v>
      </x:c>
      <x:c r="B204" s="256" t="str">
        <x:v>C08</x:v>
      </x:c>
      <x:c r="C204" s="256" t="str">
        <x:v>裂峰号角片</x:v>
      </x:c>
      <x:c r="D204" s="257" t="n">
        <x:v>4</x:v>
      </x:c>
      <x:c r="E204" s="257" t="n">
        <x:v>1</x:v>
      </x:c>
      <x:c r="F204" s="257" t="n">
        <x:f>D204*E204</x:f>
        <x:v>4</x:v>
      </x:c>
      <x:c r="G204" s="256" t="str">
        <x:v>核心配方</x:v>
      </x:c>
      <x:c r="H204" s="256" t="str">
        <x:v>计入PVE情景</x:v>
      </x:c>
    </x:row>
    <x:row r="205" ht="36" customHeight="1">
      <x:c r="A205" s="256" t="str">
        <x:v>C08-REBIRTH-11</x:v>
      </x:c>
      <x:c r="B205" s="256" t="str">
        <x:v>C08</x:v>
      </x:c>
      <x:c r="C205" s="256" t="str">
        <x:v>巨人火种</x:v>
      </x:c>
      <x:c r="D205" s="257" t="n">
        <x:v>7</x:v>
      </x:c>
      <x:c r="E205" s="257" t="n">
        <x:v>1</x:v>
      </x:c>
      <x:c r="F205" s="257" t="n">
        <x:f>D205*E205</x:f>
        <x:v>7</x:v>
      </x:c>
      <x:c r="G205" s="256" t="str">
        <x:v>核心配方</x:v>
      </x:c>
      <x:c r="H205" s="256" t="str">
        <x:v>计入PVE情景</x:v>
      </x:c>
    </x:row>
    <x:row r="206" ht="36" customHeight="1">
      <x:c r="A206" s="256" t="str">
        <x:v>C08-REBIRTH-11</x:v>
      </x:c>
      <x:c r="B206" s="256" t="str">
        <x:v>C08</x:v>
      </x:c>
      <x:c r="C206" s="256" t="str">
        <x:v>巨人火印</x:v>
      </x:c>
      <x:c r="D206" s="257" t="n">
        <x:v>2</x:v>
      </x:c>
      <x:c r="E206" s="257" t="n">
        <x:v>1</x:v>
      </x:c>
      <x:c r="F206" s="257" t="n">
        <x:f>D206*E206</x:f>
        <x:v>2</x:v>
      </x:c>
      <x:c r="G206" s="256" t="str">
        <x:v>核心配方</x:v>
      </x:c>
      <x:c r="H206" s="256" t="str">
        <x:v>计入PVE情景</x:v>
      </x:c>
    </x:row>
    <x:row r="207" ht="36" customHeight="1">
      <x:c r="A207" s="256" t="str">
        <x:v>C08-REBIRTH-11</x:v>
      </x:c>
      <x:c r="B207" s="256" t="str">
        <x:v>C08</x:v>
      </x:c>
      <x:c r="C207" s="256" t="str">
        <x:v>巨人熔火卢恩</x:v>
      </x:c>
      <x:c r="D207" s="257" t="n">
        <x:v>40</x:v>
      </x:c>
      <x:c r="E207" s="257" t="n">
        <x:v>1</x:v>
      </x:c>
      <x:c r="F207" s="257" t="n">
        <x:f>D207*E207</x:f>
        <x:v>40</x:v>
      </x:c>
      <x:c r="G207" s="256" t="str">
        <x:v>核心配方</x:v>
      </x:c>
      <x:c r="H207" s="256" t="str">
        <x:v>计入PVE情景</x:v>
      </x:c>
    </x:row>
    <x:row r="208" ht="36" customHeight="1">
      <x:c r="A208" s="256" t="str">
        <x:v>C08-REBIRTH-12</x:v>
      </x:c>
      <x:c r="B208" s="256" t="str">
        <x:v>C08</x:v>
      </x:c>
      <x:c r="C208" s="256" t="str">
        <x:v>霜脊铁</x:v>
      </x:c>
      <x:c r="D208" s="257" t="n">
        <x:v>100</x:v>
      </x:c>
      <x:c r="E208" s="257" t="n">
        <x:v>1</x:v>
      </x:c>
      <x:c r="F208" s="257" t="n">
        <x:f>D208*E208</x:f>
        <x:v>100</x:v>
      </x:c>
      <x:c r="G208" s="256" t="str">
        <x:v>核心配方</x:v>
      </x:c>
      <x:c r="H208" s="256" t="str">
        <x:v>计入PVE情景</x:v>
      </x:c>
    </x:row>
    <x:row r="209" ht="36" customHeight="1">
      <x:c r="A209" s="256" t="str">
        <x:v>C08-REBIRTH-12</x:v>
      </x:c>
      <x:c r="B209" s="256" t="str">
        <x:v>C08</x:v>
      </x:c>
      <x:c r="C209" s="256" t="str">
        <x:v>裂峰号角片</x:v>
      </x:c>
      <x:c r="D209" s="257" t="n">
        <x:v>6</x:v>
      </x:c>
      <x:c r="E209" s="257" t="n">
        <x:v>1</x:v>
      </x:c>
      <x:c r="F209" s="257" t="n">
        <x:f>D209*E209</x:f>
        <x:v>6</x:v>
      </x:c>
      <x:c r="G209" s="256" t="str">
        <x:v>核心配方</x:v>
      </x:c>
      <x:c r="H209" s="256" t="str">
        <x:v>计入PVE情景</x:v>
      </x:c>
    </x:row>
    <x:row r="210" ht="36" customHeight="1">
      <x:c r="A210" s="256" t="str">
        <x:v>C08-REBIRTH-12</x:v>
      </x:c>
      <x:c r="B210" s="256" t="str">
        <x:v>C08</x:v>
      </x:c>
      <x:c r="C210" s="256" t="str">
        <x:v>巨人火种</x:v>
      </x:c>
      <x:c r="D210" s="257" t="n">
        <x:v>10</x:v>
      </x:c>
      <x:c r="E210" s="257" t="n">
        <x:v>1</x:v>
      </x:c>
      <x:c r="F210" s="257" t="n">
        <x:f>D210*E210</x:f>
        <x:v>10</x:v>
      </x:c>
      <x:c r="G210" s="256" t="str">
        <x:v>核心配方</x:v>
      </x:c>
      <x:c r="H210" s="256" t="str">
        <x:v>计入PVE情景</x:v>
      </x:c>
    </x:row>
    <x:row r="211" ht="36" customHeight="1">
      <x:c r="A211" s="256" t="str">
        <x:v>C08-REBIRTH-12</x:v>
      </x:c>
      <x:c r="B211" s="256" t="str">
        <x:v>C08</x:v>
      </x:c>
      <x:c r="C211" s="256" t="str">
        <x:v>巨人火印</x:v>
      </x:c>
      <x:c r="D211" s="257" t="n">
        <x:v>3</x:v>
      </x:c>
      <x:c r="E211" s="257" t="n">
        <x:v>1</x:v>
      </x:c>
      <x:c r="F211" s="257" t="n">
        <x:f>D211*E211</x:f>
        <x:v>3</x:v>
      </x:c>
      <x:c r="G211" s="256" t="str">
        <x:v>核心配方</x:v>
      </x:c>
      <x:c r="H211" s="256" t="str">
        <x:v>计入PVE情景</x:v>
      </x:c>
    </x:row>
    <x:row r="212" ht="36" customHeight="1">
      <x:c r="A212" s="256" t="str">
        <x:v>C08-REBIRTH-12</x:v>
      </x:c>
      <x:c r="B212" s="256" t="str">
        <x:v>C08</x:v>
      </x:c>
      <x:c r="C212" s="256" t="str">
        <x:v>巨人熔火卢恩</x:v>
      </x:c>
      <x:c r="D212" s="257" t="n">
        <x:v>60</x:v>
      </x:c>
      <x:c r="E212" s="257" t="n">
        <x:v>1</x:v>
      </x:c>
      <x:c r="F212" s="257" t="n">
        <x:f>D212*E212</x:f>
        <x:v>60</x:v>
      </x:c>
      <x:c r="G212" s="256" t="str">
        <x:v>核心配方</x:v>
      </x:c>
      <x:c r="H212" s="256" t="str">
        <x:v>计入PVE情景</x:v>
      </x:c>
    </x:row>
    <x:row r="213" ht="36" customHeight="1">
      <x:c r="A213" s="256" t="str">
        <x:v>C08-REBIRTH-13</x:v>
      </x:c>
      <x:c r="B213" s="256" t="str">
        <x:v>C08</x:v>
      </x:c>
      <x:c r="C213" s="256" t="str">
        <x:v>霜脊铁</x:v>
      </x:c>
      <x:c r="D213" s="257" t="n">
        <x:v>125</x:v>
      </x:c>
      <x:c r="E213" s="257" t="n">
        <x:v>1</x:v>
      </x:c>
      <x:c r="F213" s="257" t="n">
        <x:f>D213*E213</x:f>
        <x:v>125</x:v>
      </x:c>
      <x:c r="G213" s="256" t="str">
        <x:v>核心配方</x:v>
      </x:c>
      <x:c r="H213" s="256" t="str">
        <x:v>计入PVE情景</x:v>
      </x:c>
    </x:row>
    <x:row r="214" ht="36" customHeight="1">
      <x:c r="A214" s="256" t="str">
        <x:v>C08-REBIRTH-13</x:v>
      </x:c>
      <x:c r="B214" s="256" t="str">
        <x:v>C08</x:v>
      </x:c>
      <x:c r="C214" s="256" t="str">
        <x:v>裂峰号角片</x:v>
      </x:c>
      <x:c r="D214" s="257" t="n">
        <x:v>8</x:v>
      </x:c>
      <x:c r="E214" s="257" t="n">
        <x:v>1</x:v>
      </x:c>
      <x:c r="F214" s="257" t="n">
        <x:f>D214*E214</x:f>
        <x:v>8</x:v>
      </x:c>
      <x:c r="G214" s="256" t="str">
        <x:v>核心配方</x:v>
      </x:c>
      <x:c r="H214" s="256" t="str">
        <x:v>计入PVE情景</x:v>
      </x:c>
    </x:row>
    <x:row r="215" ht="36" customHeight="1">
      <x:c r="A215" s="256" t="str">
        <x:v>C08-REBIRTH-13</x:v>
      </x:c>
      <x:c r="B215" s="256" t="str">
        <x:v>C08</x:v>
      </x:c>
      <x:c r="C215" s="256" t="str">
        <x:v>巨人火种</x:v>
      </x:c>
      <x:c r="D215" s="257" t="n">
        <x:v>12</x:v>
      </x:c>
      <x:c r="E215" s="257" t="n">
        <x:v>1</x:v>
      </x:c>
      <x:c r="F215" s="257" t="n">
        <x:f>D215*E215</x:f>
        <x:v>12</x:v>
      </x:c>
      <x:c r="G215" s="256" t="str">
        <x:v>核心配方</x:v>
      </x:c>
      <x:c r="H215" s="256" t="str">
        <x:v>计入PVE情景</x:v>
      </x:c>
    </x:row>
    <x:row r="216" ht="36" customHeight="1">
      <x:c r="A216" s="256" t="str">
        <x:v>C08-REBIRTH-13</x:v>
      </x:c>
      <x:c r="B216" s="256" t="str">
        <x:v>C08</x:v>
      </x:c>
      <x:c r="C216" s="256" t="str">
        <x:v>巨人火印</x:v>
      </x:c>
      <x:c r="D216" s="257" t="n">
        <x:v>4</x:v>
      </x:c>
      <x:c r="E216" s="257" t="n">
        <x:v>1</x:v>
      </x:c>
      <x:c r="F216" s="257" t="n">
        <x:f>D216*E216</x:f>
        <x:v>4</x:v>
      </x:c>
      <x:c r="G216" s="256" t="str">
        <x:v>核心配方</x:v>
      </x:c>
      <x:c r="H216" s="256" t="str">
        <x:v>计入PVE情景</x:v>
      </x:c>
    </x:row>
    <x:row r="217" ht="36" customHeight="1">
      <x:c r="A217" s="256" t="str">
        <x:v>C08-REBIRTH-13</x:v>
      </x:c>
      <x:c r="B217" s="256" t="str">
        <x:v>C08</x:v>
      </x:c>
      <x:c r="C217" s="256" t="str">
        <x:v>巨人熔火卢恩</x:v>
      </x:c>
      <x:c r="D217" s="257" t="n">
        <x:v>85</x:v>
      </x:c>
      <x:c r="E217" s="257" t="n">
        <x:v>1</x:v>
      </x:c>
      <x:c r="F217" s="257" t="n">
        <x:f>D217*E217</x:f>
        <x:v>85</x:v>
      </x:c>
      <x:c r="G217" s="256" t="str">
        <x:v>核心配方</x:v>
      </x:c>
      <x:c r="H217" s="256" t="str">
        <x:v>计入PVE情景</x:v>
      </x:c>
    </x:row>
    <x:row r="218" ht="36" customHeight="1">
      <x:c r="A218" s="256" t="str">
        <x:v>C08-REBIRTH-14</x:v>
      </x:c>
      <x:c r="B218" s="256" t="str">
        <x:v>C08</x:v>
      </x:c>
      <x:c r="C218" s="256" t="str">
        <x:v>霜脊铁</x:v>
      </x:c>
      <x:c r="D218" s="257" t="n">
        <x:v>160</x:v>
      </x:c>
      <x:c r="E218" s="257" t="n">
        <x:v>1</x:v>
      </x:c>
      <x:c r="F218" s="257" t="n">
        <x:f>D218*E218</x:f>
        <x:v>160</x:v>
      </x:c>
      <x:c r="G218" s="256" t="str">
        <x:v>核心配方</x:v>
      </x:c>
      <x:c r="H218" s="256" t="str">
        <x:v>计入PVE情景</x:v>
      </x:c>
    </x:row>
    <x:row r="219" ht="36" customHeight="1">
      <x:c r="A219" s="256" t="str">
        <x:v>C08-REBIRTH-14</x:v>
      </x:c>
      <x:c r="B219" s="256" t="str">
        <x:v>C08</x:v>
      </x:c>
      <x:c r="C219" s="256" t="str">
        <x:v>裂峰号角片</x:v>
      </x:c>
      <x:c r="D219" s="257" t="n">
        <x:v>10</x:v>
      </x:c>
      <x:c r="E219" s="257" t="n">
        <x:v>1</x:v>
      </x:c>
      <x:c r="F219" s="257" t="n">
        <x:f>D219*E219</x:f>
        <x:v>10</x:v>
      </x:c>
      <x:c r="G219" s="256" t="str">
        <x:v>核心配方</x:v>
      </x:c>
      <x:c r="H219" s="256" t="str">
        <x:v>计入PVE情景</x:v>
      </x:c>
    </x:row>
    <x:row r="220" ht="36" customHeight="1">
      <x:c r="A220" s="256" t="str">
        <x:v>C08-REBIRTH-14</x:v>
      </x:c>
      <x:c r="B220" s="256" t="str">
        <x:v>C08</x:v>
      </x:c>
      <x:c r="C220" s="256" t="str">
        <x:v>巨人火种</x:v>
      </x:c>
      <x:c r="D220" s="257" t="n">
        <x:v>16</x:v>
      </x:c>
      <x:c r="E220" s="257" t="n">
        <x:v>1</x:v>
      </x:c>
      <x:c r="F220" s="257" t="n">
        <x:f>D220*E220</x:f>
        <x:v>16</x:v>
      </x:c>
      <x:c r="G220" s="256" t="str">
        <x:v>核心配方</x:v>
      </x:c>
      <x:c r="H220" s="256" t="str">
        <x:v>计入PVE情景</x:v>
      </x:c>
    </x:row>
    <x:row r="221" ht="36" customHeight="1">
      <x:c r="A221" s="256" t="str">
        <x:v>C08-REBIRTH-14</x:v>
      </x:c>
      <x:c r="B221" s="256" t="str">
        <x:v>C08</x:v>
      </x:c>
      <x:c r="C221" s="256" t="str">
        <x:v>巨人火印</x:v>
      </x:c>
      <x:c r="D221" s="257" t="n">
        <x:v>5</x:v>
      </x:c>
      <x:c r="E221" s="257" t="n">
        <x:v>1</x:v>
      </x:c>
      <x:c r="F221" s="257" t="n">
        <x:f>D221*E221</x:f>
        <x:v>5</x:v>
      </x:c>
      <x:c r="G221" s="256" t="str">
        <x:v>核心配方</x:v>
      </x:c>
      <x:c r="H221" s="256" t="str">
        <x:v>计入PVE情景</x:v>
      </x:c>
    </x:row>
    <x:row r="222" ht="36" customHeight="1">
      <x:c r="A222" s="256" t="str">
        <x:v>C08-REBIRTH-14</x:v>
      </x:c>
      <x:c r="B222" s="256" t="str">
        <x:v>C08</x:v>
      </x:c>
      <x:c r="C222" s="256" t="str">
        <x:v>巨人熔火卢恩</x:v>
      </x:c>
      <x:c r="D222" s="257" t="n">
        <x:v>115</x:v>
      </x:c>
      <x:c r="E222" s="257" t="n">
        <x:v>1</x:v>
      </x:c>
      <x:c r="F222" s="257" t="n">
        <x:f>D222*E222</x:f>
        <x:v>115</x:v>
      </x:c>
      <x:c r="G222" s="256" t="str">
        <x:v>核心配方</x:v>
      </x:c>
      <x:c r="H222" s="256" t="str">
        <x:v>计入PVE情景</x:v>
      </x:c>
    </x:row>
    <x:row r="223" ht="36" customHeight="1">
      <x:c r="A223" s="256" t="str">
        <x:v>C08-REBIRTH-15</x:v>
      </x:c>
      <x:c r="B223" s="256" t="str">
        <x:v>C08</x:v>
      </x:c>
      <x:c r="C223" s="256" t="str">
        <x:v>霜脊铁</x:v>
      </x:c>
      <x:c r="D223" s="257" t="n">
        <x:v>210</x:v>
      </x:c>
      <x:c r="E223" s="257" t="n">
        <x:v>1</x:v>
      </x:c>
      <x:c r="F223" s="257" t="n">
        <x:f>D223*E223</x:f>
        <x:v>210</x:v>
      </x:c>
      <x:c r="G223" s="256" t="str">
        <x:v>核心配方</x:v>
      </x:c>
      <x:c r="H223" s="256" t="str">
        <x:v>计入PVE情景</x:v>
      </x:c>
    </x:row>
    <x:row r="224" ht="36" customHeight="1">
      <x:c r="A224" s="256" t="str">
        <x:v>C08-REBIRTH-15</x:v>
      </x:c>
      <x:c r="B224" s="256" t="str">
        <x:v>C08</x:v>
      </x:c>
      <x:c r="C224" s="256" t="str">
        <x:v>裂峰号角片</x:v>
      </x:c>
      <x:c r="D224" s="257" t="n">
        <x:v>14</x:v>
      </x:c>
      <x:c r="E224" s="257" t="n">
        <x:v>1</x:v>
      </x:c>
      <x:c r="F224" s="257" t="n">
        <x:f>D224*E224</x:f>
        <x:v>14</x:v>
      </x:c>
      <x:c r="G224" s="256" t="str">
        <x:v>核心配方</x:v>
      </x:c>
      <x:c r="H224" s="256" t="str">
        <x:v>计入PVE情景</x:v>
      </x:c>
    </x:row>
    <x:row r="225" ht="36" customHeight="1">
      <x:c r="A225" s="256" t="str">
        <x:v>C08-REBIRTH-15</x:v>
      </x:c>
      <x:c r="B225" s="256" t="str">
        <x:v>C08</x:v>
      </x:c>
      <x:c r="C225" s="256" t="str">
        <x:v>巨人火种</x:v>
      </x:c>
      <x:c r="D225" s="257" t="n">
        <x:v>20</x:v>
      </x:c>
      <x:c r="E225" s="257" t="n">
        <x:v>1</x:v>
      </x:c>
      <x:c r="F225" s="257" t="n">
        <x:f>D225*E225</x:f>
        <x:v>20</x:v>
      </x:c>
      <x:c r="G225" s="256" t="str">
        <x:v>核心配方</x:v>
      </x:c>
      <x:c r="H225" s="256" t="str">
        <x:v>计入PVE情景</x:v>
      </x:c>
    </x:row>
    <x:row r="226" ht="36" customHeight="1">
      <x:c r="A226" s="256" t="str">
        <x:v>C08-REBIRTH-15</x:v>
      </x:c>
      <x:c r="B226" s="256" t="str">
        <x:v>C08</x:v>
      </x:c>
      <x:c r="C226" s="256" t="str">
        <x:v>巨人火印</x:v>
      </x:c>
      <x:c r="D226" s="257" t="n">
        <x:v>6</x:v>
      </x:c>
      <x:c r="E226" s="257" t="n">
        <x:v>1</x:v>
      </x:c>
      <x:c r="F226" s="257" t="n">
        <x:f>D226*E226</x:f>
        <x:v>6</x:v>
      </x:c>
      <x:c r="G226" s="256" t="str">
        <x:v>核心配方</x:v>
      </x:c>
      <x:c r="H226" s="256" t="str">
        <x:v>计入PVE情景</x:v>
      </x:c>
    </x:row>
    <x:row r="227" ht="36" customHeight="1">
      <x:c r="A227" s="256" t="str">
        <x:v>C08-REBIRTH-15</x:v>
      </x:c>
      <x:c r="B227" s="256" t="str">
        <x:v>C08</x:v>
      </x:c>
      <x:c r="C227" s="256" t="str">
        <x:v>巨人熔火卢恩</x:v>
      </x:c>
      <x:c r="D227" s="257" t="n">
        <x:v>150</x:v>
      </x:c>
      <x:c r="E227" s="257" t="n">
        <x:v>1</x:v>
      </x:c>
      <x:c r="F227" s="257" t="n">
        <x:f>D227*E227</x:f>
        <x:v>150</x:v>
      </x:c>
      <x:c r="G227" s="256" t="str">
        <x:v>核心配方</x:v>
      </x:c>
      <x:c r="H227" s="256" t="str">
        <x:v>计入PVE情景</x:v>
      </x:c>
    </x:row>
    <x:row r="228" ht="36" customHeight="1">
      <x:c r="A228" s="256" t="str">
        <x:v>C10-REBIRTH-16</x:v>
      </x:c>
      <x:c r="B228" s="256" t="str">
        <x:v>C10</x:v>
      </x:c>
      <x:c r="C228" s="256" t="str">
        <x:v>王城金屑</x:v>
      </x:c>
      <x:c r="D228" s="257" t="n">
        <x:v>90</x:v>
      </x:c>
      <x:c r="E228" s="257" t="n">
        <x:v>1</x:v>
      </x:c>
      <x:c r="F228" s="257" t="n">
        <x:f>D228*E228</x:f>
        <x:v>90</x:v>
      </x:c>
      <x:c r="G228" s="256" t="str">
        <x:v>核心配方</x:v>
      </x:c>
      <x:c r="H228" s="256" t="str">
        <x:v>计入PVE情景</x:v>
      </x:c>
    </x:row>
    <x:row r="229" ht="36" customHeight="1">
      <x:c r="A229" s="256" t="str">
        <x:v>C10-REBIRTH-16</x:v>
      </x:c>
      <x:c r="B229" s="256" t="str">
        <x:v>C10</x:v>
      </x:c>
      <x:c r="C229" s="256" t="str">
        <x:v>王宫律文</x:v>
      </x:c>
      <x:c r="D229" s="257" t="n">
        <x:v>12</x:v>
      </x:c>
      <x:c r="E229" s="257" t="n">
        <x:v>1</x:v>
      </x:c>
      <x:c r="F229" s="257" t="n">
        <x:f>D229*E229</x:f>
        <x:v>12</x:v>
      </x:c>
      <x:c r="G229" s="256" t="str">
        <x:v>核心配方</x:v>
      </x:c>
      <x:c r="H229" s="256" t="str">
        <x:v>计入PVE情景</x:v>
      </x:c>
    </x:row>
    <x:row r="230" ht="36" customHeight="1">
      <x:c r="A230" s="256" t="str">
        <x:v>C10-REBIRTH-16</x:v>
      </x:c>
      <x:c r="B230" s="256" t="str">
        <x:v>C10</x:v>
      </x:c>
      <x:c r="C230" s="256" t="str">
        <x:v>王宫断冠片</x:v>
      </x:c>
      <x:c r="D230" s="257" t="n">
        <x:v>1</x:v>
      </x:c>
      <x:c r="E230" s="257" t="n">
        <x:v>1</x:v>
      </x:c>
      <x:c r="F230" s="257" t="n">
        <x:f>D230*E230</x:f>
        <x:v>1</x:v>
      </x:c>
      <x:c r="G230" s="256" t="str">
        <x:v>核心配方</x:v>
      </x:c>
      <x:c r="H230" s="256" t="str">
        <x:v>计入PVE情景</x:v>
      </x:c>
    </x:row>
    <x:row r="231" ht="36" customHeight="1">
      <x:c r="A231" s="256" t="str">
        <x:v>C10-REBIRTH-16</x:v>
      </x:c>
      <x:c r="B231" s="256" t="str">
        <x:v>C10</x:v>
      </x:c>
      <x:c r="C231" s="256" t="str">
        <x:v>艾尔登王印</x:v>
      </x:c>
      <x:c r="D231" s="257" t="n">
        <x:v>3</x:v>
      </x:c>
      <x:c r="E231" s="257" t="n">
        <x:v>1</x:v>
      </x:c>
      <x:c r="F231" s="257" t="n">
        <x:f>D231*E231</x:f>
        <x:v>3</x:v>
      </x:c>
      <x:c r="G231" s="256" t="str">
        <x:v>核心配方</x:v>
      </x:c>
      <x:c r="H231" s="256" t="str">
        <x:v>计入PVE情景</x:v>
      </x:c>
    </x:row>
    <x:row r="232" ht="36" customHeight="1">
      <x:c r="A232" s="256" t="str">
        <x:v>C10-REBIRTH-16</x:v>
      </x:c>
      <x:c r="B232" s="256" t="str">
        <x:v>C10</x:v>
      </x:c>
      <x:c r="C232" s="256" t="str">
        <x:v>黄金律法卢恩</x:v>
      </x:c>
      <x:c r="D232" s="257" t="n">
        <x:v>50</x:v>
      </x:c>
      <x:c r="E232" s="257" t="n">
        <x:v>1</x:v>
      </x:c>
      <x:c r="F232" s="257" t="n">
        <x:f>D232*E232</x:f>
        <x:v>50</x:v>
      </x:c>
      <x:c r="G232" s="256" t="str">
        <x:v>核心配方</x:v>
      </x:c>
      <x:c r="H232" s="256" t="str">
        <x:v>计入PVE情景</x:v>
      </x:c>
    </x:row>
    <x:row r="233" ht="36" customHeight="1">
      <x:c r="A233" s="256" t="str">
        <x:v>C10-REBIRTH-17</x:v>
      </x:c>
      <x:c r="B233" s="256" t="str">
        <x:v>C10</x:v>
      </x:c>
      <x:c r="C233" s="256" t="str">
        <x:v>王城金屑</x:v>
      </x:c>
      <x:c r="D233" s="257" t="n">
        <x:v>125</x:v>
      </x:c>
      <x:c r="E233" s="257" t="n">
        <x:v>1</x:v>
      </x:c>
      <x:c r="F233" s="257" t="n">
        <x:f>D233*E233</x:f>
        <x:v>125</x:v>
      </x:c>
      <x:c r="G233" s="256" t="str">
        <x:v>核心配方</x:v>
      </x:c>
      <x:c r="H233" s="256" t="str">
        <x:v>计入PVE情景</x:v>
      </x:c>
    </x:row>
    <x:row r="234" ht="36" customHeight="1">
      <x:c r="A234" s="256" t="str">
        <x:v>C10-REBIRTH-17</x:v>
      </x:c>
      <x:c r="B234" s="256" t="str">
        <x:v>C10</x:v>
      </x:c>
      <x:c r="C234" s="256" t="str">
        <x:v>王宫律文</x:v>
      </x:c>
      <x:c r="D234" s="257" t="n">
        <x:v>16</x:v>
      </x:c>
      <x:c r="E234" s="257" t="n">
        <x:v>1</x:v>
      </x:c>
      <x:c r="F234" s="257" t="n">
        <x:f>D234*E234</x:f>
        <x:v>16</x:v>
      </x:c>
      <x:c r="G234" s="256" t="str">
        <x:v>核心配方</x:v>
      </x:c>
      <x:c r="H234" s="256" t="str">
        <x:v>计入PVE情景</x:v>
      </x:c>
    </x:row>
    <x:row r="235" ht="36" customHeight="1">
      <x:c r="A235" s="256" t="str">
        <x:v>C10-REBIRTH-17</x:v>
      </x:c>
      <x:c r="B235" s="256" t="str">
        <x:v>C10</x:v>
      </x:c>
      <x:c r="C235" s="256" t="str">
        <x:v>王宫断冠片</x:v>
      </x:c>
      <x:c r="D235" s="257" t="n">
        <x:v>1</x:v>
      </x:c>
      <x:c r="E235" s="257" t="n">
        <x:v>1</x:v>
      </x:c>
      <x:c r="F235" s="257" t="n">
        <x:f>D235*E235</x:f>
        <x:v>1</x:v>
      </x:c>
      <x:c r="G235" s="256" t="str">
        <x:v>核心配方</x:v>
      </x:c>
      <x:c r="H235" s="256" t="str">
        <x:v>计入PVE情景</x:v>
      </x:c>
    </x:row>
    <x:row r="236" ht="36" customHeight="1">
      <x:c r="A236" s="256" t="str">
        <x:v>C10-REBIRTH-17</x:v>
      </x:c>
      <x:c r="B236" s="256" t="str">
        <x:v>C10</x:v>
      </x:c>
      <x:c r="C236" s="256" t="str">
        <x:v>艾尔登王印</x:v>
      </x:c>
      <x:c r="D236" s="257" t="n">
        <x:v>4</x:v>
      </x:c>
      <x:c r="E236" s="257" t="n">
        <x:v>1</x:v>
      </x:c>
      <x:c r="F236" s="257" t="n">
        <x:f>D236*E236</x:f>
        <x:v>4</x:v>
      </x:c>
      <x:c r="G236" s="256" t="str">
        <x:v>核心配方</x:v>
      </x:c>
      <x:c r="H236" s="256" t="str">
        <x:v>计入PVE情景</x:v>
      </x:c>
    </x:row>
    <x:row r="237" ht="36" customHeight="1">
      <x:c r="A237" s="256" t="str">
        <x:v>C10-REBIRTH-17</x:v>
      </x:c>
      <x:c r="B237" s="256" t="str">
        <x:v>C10</x:v>
      </x:c>
      <x:c r="C237" s="256" t="str">
        <x:v>黄金律法卢恩</x:v>
      </x:c>
      <x:c r="D237" s="257" t="n">
        <x:v>75</x:v>
      </x:c>
      <x:c r="E237" s="257" t="n">
        <x:v>1</x:v>
      </x:c>
      <x:c r="F237" s="257" t="n">
        <x:f>D237*E237</x:f>
        <x:v>75</x:v>
      </x:c>
      <x:c r="G237" s="256" t="str">
        <x:v>核心配方</x:v>
      </x:c>
      <x:c r="H237" s="256" t="str">
        <x:v>计入PVE情景</x:v>
      </x:c>
    </x:row>
    <x:row r="238" ht="36" customHeight="1">
      <x:c r="A238" s="256" t="str">
        <x:v>C10-REBIRTH-18</x:v>
      </x:c>
      <x:c r="B238" s="256" t="str">
        <x:v>C10</x:v>
      </x:c>
      <x:c r="C238" s="256" t="str">
        <x:v>王城金屑</x:v>
      </x:c>
      <x:c r="D238" s="257" t="n">
        <x:v>160</x:v>
      </x:c>
      <x:c r="E238" s="257" t="n">
        <x:v>1</x:v>
      </x:c>
      <x:c r="F238" s="257" t="n">
        <x:f>D238*E238</x:f>
        <x:v>160</x:v>
      </x:c>
      <x:c r="G238" s="256" t="str">
        <x:v>核心配方</x:v>
      </x:c>
      <x:c r="H238" s="256" t="str">
        <x:v>计入PVE情景</x:v>
      </x:c>
    </x:row>
    <x:row r="239" ht="36" customHeight="1">
      <x:c r="A239" s="256" t="str">
        <x:v>C10-REBIRTH-18</x:v>
      </x:c>
      <x:c r="B239" s="256" t="str">
        <x:v>C10</x:v>
      </x:c>
      <x:c r="C239" s="256" t="str">
        <x:v>王宫律文</x:v>
      </x:c>
      <x:c r="D239" s="257" t="n">
        <x:v>20</x:v>
      </x:c>
      <x:c r="E239" s="257" t="n">
        <x:v>1</x:v>
      </x:c>
      <x:c r="F239" s="257" t="n">
        <x:f>D239*E239</x:f>
        <x:v>20</x:v>
      </x:c>
      <x:c r="G239" s="256" t="str">
        <x:v>核心配方</x:v>
      </x:c>
      <x:c r="H239" s="256" t="str">
        <x:v>计入PVE情景</x:v>
      </x:c>
    </x:row>
    <x:row r="240" ht="36" customHeight="1">
      <x:c r="A240" s="256" t="str">
        <x:v>C10-REBIRTH-18</x:v>
      </x:c>
      <x:c r="B240" s="256" t="str">
        <x:v>C10</x:v>
      </x:c>
      <x:c r="C240" s="256" t="str">
        <x:v>王宫断冠片</x:v>
      </x:c>
      <x:c r="D240" s="257" t="n">
        <x:v>1</x:v>
      </x:c>
      <x:c r="E240" s="257" t="n">
        <x:v>1</x:v>
      </x:c>
      <x:c r="F240" s="257" t="n">
        <x:f>D240*E240</x:f>
        <x:v>1</x:v>
      </x:c>
      <x:c r="G240" s="256" t="str">
        <x:v>核心配方</x:v>
      </x:c>
      <x:c r="H240" s="256" t="str">
        <x:v>计入PVE情景</x:v>
      </x:c>
    </x:row>
    <x:row r="241" ht="36" customHeight="1">
      <x:c r="A241" s="256" t="str">
        <x:v>C10-REBIRTH-18</x:v>
      </x:c>
      <x:c r="B241" s="256" t="str">
        <x:v>C10</x:v>
      </x:c>
      <x:c r="C241" s="256" t="str">
        <x:v>艾尔登王印</x:v>
      </x:c>
      <x:c r="D241" s="257" t="n">
        <x:v>6</x:v>
      </x:c>
      <x:c r="E241" s="257" t="n">
        <x:v>1</x:v>
      </x:c>
      <x:c r="F241" s="257" t="n">
        <x:f>D241*E241</x:f>
        <x:v>6</x:v>
      </x:c>
      <x:c r="G241" s="256" t="str">
        <x:v>核心配方</x:v>
      </x:c>
      <x:c r="H241" s="256" t="str">
        <x:v>计入PVE情景</x:v>
      </x:c>
    </x:row>
    <x:row r="242" ht="36" customHeight="1">
      <x:c r="A242" s="256" t="str">
        <x:v>C10-REBIRTH-18</x:v>
      </x:c>
      <x:c r="B242" s="256" t="str">
        <x:v>C10</x:v>
      </x:c>
      <x:c r="C242" s="256" t="str">
        <x:v>黄金律法卢恩</x:v>
      </x:c>
      <x:c r="D242" s="257" t="n">
        <x:v>105</x:v>
      </x:c>
      <x:c r="E242" s="257" t="n">
        <x:v>1</x:v>
      </x:c>
      <x:c r="F242" s="257" t="n">
        <x:f>D242*E242</x:f>
        <x:v>105</x:v>
      </x:c>
      <x:c r="G242" s="256" t="str">
        <x:v>核心配方</x:v>
      </x:c>
      <x:c r="H242" s="256" t="str">
        <x:v>计入PVE情景</x:v>
      </x:c>
    </x:row>
    <x:row r="243" ht="36" customHeight="1">
      <x:c r="A243" s="256" t="str">
        <x:v>C10-REBIRTH-19</x:v>
      </x:c>
      <x:c r="B243" s="256" t="str">
        <x:v>C10</x:v>
      </x:c>
      <x:c r="C243" s="256" t="str">
        <x:v>王城金屑</x:v>
      </x:c>
      <x:c r="D243" s="257" t="n">
        <x:v>210</x:v>
      </x:c>
      <x:c r="E243" s="257" t="n">
        <x:v>1</x:v>
      </x:c>
      <x:c r="F243" s="257" t="n">
        <x:f>D243*E243</x:f>
        <x:v>210</x:v>
      </x:c>
      <x:c r="G243" s="256" t="str">
        <x:v>核心配方</x:v>
      </x:c>
      <x:c r="H243" s="256" t="str">
        <x:v>计入PVE情景</x:v>
      </x:c>
    </x:row>
    <x:row r="244" ht="36" customHeight="1">
      <x:c r="A244" s="256" t="str">
        <x:v>C10-REBIRTH-19</x:v>
      </x:c>
      <x:c r="B244" s="256" t="str">
        <x:v>C10</x:v>
      </x:c>
      <x:c r="C244" s="256" t="str">
        <x:v>王宫律文</x:v>
      </x:c>
      <x:c r="D244" s="257" t="n">
        <x:v>26</x:v>
      </x:c>
      <x:c r="E244" s="257" t="n">
        <x:v>1</x:v>
      </x:c>
      <x:c r="F244" s="257" t="n">
        <x:f>D244*E244</x:f>
        <x:v>26</x:v>
      </x:c>
      <x:c r="G244" s="256" t="str">
        <x:v>核心配方</x:v>
      </x:c>
      <x:c r="H244" s="256" t="str">
        <x:v>计入PVE情景</x:v>
      </x:c>
    </x:row>
    <x:row r="245" ht="36" customHeight="1">
      <x:c r="A245" s="256" t="str">
        <x:v>C10-REBIRTH-19</x:v>
      </x:c>
      <x:c r="B245" s="256" t="str">
        <x:v>C10</x:v>
      </x:c>
      <x:c r="C245" s="256" t="str">
        <x:v>王宫断冠片</x:v>
      </x:c>
      <x:c r="D245" s="257" t="n">
        <x:v>1</x:v>
      </x:c>
      <x:c r="E245" s="257" t="n">
        <x:v>1</x:v>
      </x:c>
      <x:c r="F245" s="257" t="n">
        <x:f>D245*E245</x:f>
        <x:v>1</x:v>
      </x:c>
      <x:c r="G245" s="256" t="str">
        <x:v>核心配方</x:v>
      </x:c>
      <x:c r="H245" s="256" t="str">
        <x:v>计入PVE情景</x:v>
      </x:c>
    </x:row>
    <x:row r="246" ht="36" customHeight="1">
      <x:c r="A246" s="256" t="str">
        <x:v>C10-REBIRTH-19</x:v>
      </x:c>
      <x:c r="B246" s="256" t="str">
        <x:v>C10</x:v>
      </x:c>
      <x:c r="C246" s="256" t="str">
        <x:v>艾尔登王印</x:v>
      </x:c>
      <x:c r="D246" s="257" t="n">
        <x:v>7</x:v>
      </x:c>
      <x:c r="E246" s="257" t="n">
        <x:v>1</x:v>
      </x:c>
      <x:c r="F246" s="257" t="n">
        <x:f>D246*E246</x:f>
        <x:v>7</x:v>
      </x:c>
      <x:c r="G246" s="256" t="str">
        <x:v>核心配方</x:v>
      </x:c>
      <x:c r="H246" s="256" t="str">
        <x:v>计入PVE情景</x:v>
      </x:c>
    </x:row>
    <x:row r="247" ht="36" customHeight="1">
      <x:c r="A247" s="256" t="str">
        <x:v>C10-REBIRTH-19</x:v>
      </x:c>
      <x:c r="B247" s="256" t="str">
        <x:v>C10</x:v>
      </x:c>
      <x:c r="C247" s="256" t="str">
        <x:v>黄金律法卢恩</x:v>
      </x:c>
      <x:c r="D247" s="257" t="n">
        <x:v>140</x:v>
      </x:c>
      <x:c r="E247" s="257" t="n">
        <x:v>1</x:v>
      </x:c>
      <x:c r="F247" s="257" t="n">
        <x:f>D247*E247</x:f>
        <x:v>140</x:v>
      </x:c>
      <x:c r="G247" s="256" t="str">
        <x:v>核心配方</x:v>
      </x:c>
      <x:c r="H247" s="256" t="str">
        <x:v>计入PVE情景</x:v>
      </x:c>
    </x:row>
    <x:row r="248" ht="36" customHeight="1">
      <x:c r="A248" s="256" t="str">
        <x:v>C10-REBIRTH-20</x:v>
      </x:c>
      <x:c r="B248" s="256" t="str">
        <x:v>C10</x:v>
      </x:c>
      <x:c r="C248" s="256" t="str">
        <x:v>王城金屑</x:v>
      </x:c>
      <x:c r="D248" s="257" t="n">
        <x:v>270</x:v>
      </x:c>
      <x:c r="E248" s="257" t="n">
        <x:v>1</x:v>
      </x:c>
      <x:c r="F248" s="257" t="n">
        <x:f>D248*E248</x:f>
        <x:v>270</x:v>
      </x:c>
      <x:c r="G248" s="256" t="str">
        <x:v>核心配方</x:v>
      </x:c>
      <x:c r="H248" s="256" t="str">
        <x:v>计入PVE情景</x:v>
      </x:c>
    </x:row>
    <x:row r="249" ht="36" customHeight="1">
      <x:c r="A249" s="256" t="str">
        <x:v>C10-REBIRTH-20</x:v>
      </x:c>
      <x:c r="B249" s="256" t="str">
        <x:v>C10</x:v>
      </x:c>
      <x:c r="C249" s="256" t="str">
        <x:v>王宫律文</x:v>
      </x:c>
      <x:c r="D249" s="257" t="n">
        <x:v>32</x:v>
      </x:c>
      <x:c r="E249" s="257" t="n">
        <x:v>1</x:v>
      </x:c>
      <x:c r="F249" s="257" t="n">
        <x:f>D249*E249</x:f>
        <x:v>32</x:v>
      </x:c>
      <x:c r="G249" s="256" t="str">
        <x:v>核心配方</x:v>
      </x:c>
      <x:c r="H249" s="256" t="str">
        <x:v>计入PVE情景</x:v>
      </x:c>
    </x:row>
    <x:row r="250" ht="36" customHeight="1">
      <x:c r="A250" s="256" t="str">
        <x:v>C10-REBIRTH-20</x:v>
      </x:c>
      <x:c r="B250" s="256" t="str">
        <x:v>C10</x:v>
      </x:c>
      <x:c r="C250" s="256" t="str">
        <x:v>王宫断冠片</x:v>
      </x:c>
      <x:c r="D250" s="257" t="n">
        <x:v>2</x:v>
      </x:c>
      <x:c r="E250" s="257" t="n">
        <x:v>1</x:v>
      </x:c>
      <x:c r="F250" s="257" t="n">
        <x:f>D250*E250</x:f>
        <x:v>2</x:v>
      </x:c>
      <x:c r="G250" s="256" t="str">
        <x:v>核心配方</x:v>
      </x:c>
      <x:c r="H250" s="256" t="str">
        <x:v>计入PVE情景</x:v>
      </x:c>
    </x:row>
    <x:row r="251" ht="36" customHeight="1">
      <x:c r="A251" s="256" t="str">
        <x:v>C10-REBIRTH-20</x:v>
      </x:c>
      <x:c r="B251" s="256" t="str">
        <x:v>C10</x:v>
      </x:c>
      <x:c r="C251" s="256" t="str">
        <x:v>艾尔登王印</x:v>
      </x:c>
      <x:c r="D251" s="257" t="n">
        <x:v>10</x:v>
      </x:c>
      <x:c r="E251" s="257" t="n">
        <x:v>1</x:v>
      </x:c>
      <x:c r="F251" s="257" t="n">
        <x:f>D251*E251</x:f>
        <x:v>10</x:v>
      </x:c>
      <x:c r="G251" s="256" t="str">
        <x:v>核心配方</x:v>
      </x:c>
      <x:c r="H251" s="256" t="str">
        <x:v>计入PVE情景</x:v>
      </x:c>
    </x:row>
    <x:row r="252" ht="36" customHeight="1">
      <x:c r="A252" s="256" t="str">
        <x:v>C10-REBIRTH-20</x:v>
      </x:c>
      <x:c r="B252" s="256" t="str">
        <x:v>C10</x:v>
      </x:c>
      <x:c r="C252" s="256" t="str">
        <x:v>黄金律法卢恩</x:v>
      </x:c>
      <x:c r="D252" s="257" t="n">
        <x:v>180</x:v>
      </x:c>
      <x:c r="E252" s="257" t="n">
        <x:v>1</x:v>
      </x:c>
      <x:c r="F252" s="257" t="n">
        <x:f>D252*E252</x:f>
        <x:v>180</x:v>
      </x:c>
      <x:c r="G252" s="256" t="str">
        <x:v>核心配方</x:v>
      </x:c>
      <x:c r="H252" s="256" t="str">
        <x:v>计入PVE情景</x:v>
      </x:c>
    </x:row>
    <x:row r="253" ht="36" customHeight="1">
      <x:c r="A253" s="256" t="str">
        <x:v>C01-LONGTITLE</x:v>
      </x:c>
      <x:c r="B253" s="256" t="str">
        <x:v>C01</x:v>
      </x:c>
      <x:c r="C253" s="256" t="str">
        <x:v>海蚀铁片</x:v>
      </x:c>
      <x:c r="D253" s="257" t="n">
        <x:v>120</x:v>
      </x:c>
      <x:c r="E253" s="257" t="n">
        <x:v>1</x:v>
      </x:c>
      <x:c r="F253" s="257" t="n">
        <x:f>D253*E253</x:f>
        <x:v>120</x:v>
      </x:c>
      <x:c r="G253" s="256" t="str">
        <x:v>辅助成长</x:v>
      </x:c>
      <x:c r="H253" s="256" t="str">
        <x:v>计入PVE情景</x:v>
      </x:c>
    </x:row>
    <x:row r="254" ht="36" customHeight="1">
      <x:c r="A254" s="256" t="str">
        <x:v>C01-LONGTITLE</x:v>
      </x:c>
      <x:c r="B254" s="256" t="str">
        <x:v>C01</x:v>
      </x:c>
      <x:c r="C254" s="256" t="str">
        <x:v>漂流大陆印记</x:v>
      </x:c>
      <x:c r="D254" s="257" t="n">
        <x:v>2</x:v>
      </x:c>
      <x:c r="E254" s="257" t="n">
        <x:v>1</x:v>
      </x:c>
      <x:c r="F254" s="257" t="n">
        <x:f>D254*E254</x:f>
        <x:v>2</x:v>
      </x:c>
      <x:c r="G254" s="256" t="str">
        <x:v>辅助成长</x:v>
      </x:c>
      <x:c r="H254" s="256" t="str">
        <x:v>计入PVE情景</x:v>
      </x:c>
    </x:row>
    <x:row r="255" ht="36" customHeight="1">
      <x:c r="A255" s="256" t="str">
        <x:v>C02-LONGTITLE</x:v>
      </x:c>
      <x:c r="B255" s="256" t="str">
        <x:v>C02</x:v>
      </x:c>
      <x:c r="C255" s="256" t="str">
        <x:v>风暴石片</x:v>
      </x:c>
      <x:c r="D255" s="257" t="n">
        <x:v>180</x:v>
      </x:c>
      <x:c r="E255" s="257" t="n">
        <x:v>1</x:v>
      </x:c>
      <x:c r="F255" s="257" t="n">
        <x:f>D255*E255</x:f>
        <x:v>180</x:v>
      </x:c>
      <x:c r="G255" s="256" t="str">
        <x:v>辅助成长</x:v>
      </x:c>
      <x:c r="H255" s="256" t="str">
        <x:v>计入PVE情景</x:v>
      </x:c>
    </x:row>
    <x:row r="256" ht="36" customHeight="1">
      <x:c r="A256" s="256" t="str">
        <x:v>C02-LONGTITLE</x:v>
      </x:c>
      <x:c r="B256" s="256" t="str">
        <x:v>C02</x:v>
      </x:c>
      <x:c r="C256" s="256" t="str">
        <x:v>接肢王印</x:v>
      </x:c>
      <x:c r="D256" s="257" t="n">
        <x:v>3</x:v>
      </x:c>
      <x:c r="E256" s="257" t="n">
        <x:v>1</x:v>
      </x:c>
      <x:c r="F256" s="257" t="n">
        <x:f>D256*E256</x:f>
        <x:v>3</x:v>
      </x:c>
      <x:c r="G256" s="256" t="str">
        <x:v>辅助成长</x:v>
      </x:c>
      <x:c r="H256" s="256" t="str">
        <x:v>计入PVE情景</x:v>
      </x:c>
    </x:row>
    <x:row r="257" ht="36" customHeight="1">
      <x:c r="A257" s="256" t="str">
        <x:v>C03-LONGTITLE</x:v>
      </x:c>
      <x:c r="B257" s="256" t="str">
        <x:v>C03</x:v>
      </x:c>
      <x:c r="C257" s="256" t="str">
        <x:v>风蚀铁片</x:v>
      </x:c>
      <x:c r="D257" s="257" t="n">
        <x:v>260</x:v>
      </x:c>
      <x:c r="E257" s="257" t="n">
        <x:v>1</x:v>
      </x:c>
      <x:c r="F257" s="257" t="n">
        <x:f>D257*E257</x:f>
        <x:v>260</x:v>
      </x:c>
      <x:c r="G257" s="256" t="str">
        <x:v>辅助成长</x:v>
      </x:c>
      <x:c r="H257" s="256" t="str">
        <x:v>计入PVE情景</x:v>
      </x:c>
    </x:row>
    <x:row r="258" ht="36" customHeight="1">
      <x:c r="A258" s="256" t="str">
        <x:v>C03-LONGTITLE</x:v>
      </x:c>
      <x:c r="B258" s="256" t="str">
        <x:v>C03</x:v>
      </x:c>
      <x:c r="C258" s="256" t="str">
        <x:v>西境战旗印</x:v>
      </x:c>
      <x:c r="D258" s="257" t="n">
        <x:v>4</x:v>
      </x:c>
      <x:c r="E258" s="257" t="n">
        <x:v>1</x:v>
      </x:c>
      <x:c r="F258" s="257" t="n">
        <x:f>D258*E258</x:f>
        <x:v>4</x:v>
      </x:c>
      <x:c r="G258" s="256" t="str">
        <x:v>辅助成长</x:v>
      </x:c>
      <x:c r="H258" s="256" t="str">
        <x:v>计入PVE情景</x:v>
      </x:c>
    </x:row>
    <x:row r="259" ht="36" customHeight="1">
      <x:c r="A259" s="256" t="str">
        <x:v>C03-LONGTITLE</x:v>
      </x:c>
      <x:c r="B259" s="256" t="str">
        <x:v>C03</x:v>
      </x:c>
      <x:c r="C259" s="256" t="str">
        <x:v>商队火漆</x:v>
      </x:c>
      <x:c r="D259" s="257" t="n">
        <x:v>20</x:v>
      </x:c>
      <x:c r="E259" s="257" t="n">
        <x:v>1</x:v>
      </x:c>
      <x:c r="F259" s="257" t="n">
        <x:f>D259*E259</x:f>
        <x:v>20</x:v>
      </x:c>
      <x:c r="G259" s="256" t="str">
        <x:v>辅助成长</x:v>
      </x:c>
      <x:c r="H259" s="256" t="str">
        <x:v>计入PVE情景</x:v>
      </x:c>
    </x:row>
    <x:row r="260" ht="36" customHeight="1">
      <x:c r="A260" s="256" t="str">
        <x:v>C04-LONGTITLE</x:v>
      </x:c>
      <x:c r="B260" s="256" t="str">
        <x:v>C04</x:v>
      </x:c>
      <x:c r="C260" s="256" t="str">
        <x:v>湖盐结晶</x:v>
      </x:c>
      <x:c r="D260" s="257" t="n">
        <x:v>340</x:v>
      </x:c>
      <x:c r="E260" s="257" t="n">
        <x:v>1</x:v>
      </x:c>
      <x:c r="F260" s="257" t="n">
        <x:f>D260*E260</x:f>
        <x:v>340</x:v>
      </x:c>
      <x:c r="G260" s="256" t="str">
        <x:v>辅助成长</x:v>
      </x:c>
      <x:c r="H260" s="256" t="str">
        <x:v>计入PVE情景</x:v>
      </x:c>
    </x:row>
    <x:row r="261" ht="36" customHeight="1">
      <x:c r="A261" s="256" t="str">
        <x:v>C04-LONGTITLE</x:v>
      </x:c>
      <x:c r="B261" s="256" t="str">
        <x:v>C04</x:v>
      </x:c>
      <x:c r="C261" s="256" t="str">
        <x:v>沉湖王印</x:v>
      </x:c>
      <x:c r="D261" s="257" t="n">
        <x:v>5</x:v>
      </x:c>
      <x:c r="E261" s="257" t="n">
        <x:v>1</x:v>
      </x:c>
      <x:c r="F261" s="257" t="n">
        <x:f>D261*E261</x:f>
        <x:v>5</x:v>
      </x:c>
      <x:c r="G261" s="256" t="str">
        <x:v>辅助成长</x:v>
      </x:c>
      <x:c r="H261" s="256" t="str">
        <x:v>计入PVE情景</x:v>
      </x:c>
    </x:row>
    <x:row r="262" ht="36" customHeight="1">
      <x:c r="A262" s="256" t="str">
        <x:v>C04-LONGTITLE</x:v>
      </x:c>
      <x:c r="B262" s="256" t="str">
        <x:v>C04</x:v>
      </x:c>
      <x:c r="C262" s="256" t="str">
        <x:v>沉船缆扣</x:v>
      </x:c>
      <x:c r="D262" s="257" t="n">
        <x:v>12</x:v>
      </x:c>
      <x:c r="E262" s="257" t="n">
        <x:v>1</x:v>
      </x:c>
      <x:c r="F262" s="257" t="n">
        <x:f>D262*E262</x:f>
        <x:v>12</x:v>
      </x:c>
      <x:c r="G262" s="256" t="str">
        <x:v>辅助成长</x:v>
      </x:c>
      <x:c r="H262" s="256" t="str">
        <x:v>计入PVE情景</x:v>
      </x:c>
    </x:row>
    <x:row r="263" ht="36" customHeight="1">
      <x:c r="A263" s="256" t="str">
        <x:v>C05-LONGTITLE</x:v>
      </x:c>
      <x:c r="B263" s="256" t="str">
        <x:v>C05</x:v>
      </x:c>
      <x:c r="C263" s="256" t="str">
        <x:v>辉石碎晶</x:v>
      </x:c>
      <x:c r="D263" s="257" t="n">
        <x:v>450</x:v>
      </x:c>
      <x:c r="E263" s="257" t="n">
        <x:v>1</x:v>
      </x:c>
      <x:c r="F263" s="257" t="n">
        <x:f>D263*E263</x:f>
        <x:v>450</x:v>
      </x:c>
      <x:c r="G263" s="256" t="str">
        <x:v>辅助成长</x:v>
      </x:c>
      <x:c r="H263" s="256" t="str">
        <x:v>计入PVE情景</x:v>
      </x:c>
    </x:row>
    <x:row r="264" ht="36" customHeight="1">
      <x:c r="A264" s="256" t="str">
        <x:v>C05-LONGTITLE</x:v>
      </x:c>
      <x:c r="B264" s="256" t="str">
        <x:v>C05</x:v>
      </x:c>
      <x:c r="C264" s="256" t="str">
        <x:v>满月王室印</x:v>
      </x:c>
      <x:c r="D264" s="257" t="n">
        <x:v>6</x:v>
      </x:c>
      <x:c r="E264" s="257" t="n">
        <x:v>1</x:v>
      </x:c>
      <x:c r="F264" s="257" t="n">
        <x:f>D264*E264</x:f>
        <x:v>6</x:v>
      </x:c>
      <x:c r="G264" s="256" t="str">
        <x:v>辅助成长</x:v>
      </x:c>
      <x:c r="H264" s="256" t="str">
        <x:v>计入PVE情景</x:v>
      </x:c>
    </x:row>
    <x:row r="265" ht="36" customHeight="1">
      <x:c r="A265" s="256" t="str">
        <x:v>C05-LONGTITLE</x:v>
      </x:c>
      <x:c r="B265" s="256" t="str">
        <x:v>C05</x:v>
      </x:c>
      <x:c r="C265" s="256" t="str">
        <x:v>学院封蜡</x:v>
      </x:c>
      <x:c r="D265" s="257" t="n">
        <x:v>24</x:v>
      </x:c>
      <x:c r="E265" s="257" t="n">
        <x:v>1</x:v>
      </x:c>
      <x:c r="F265" s="257" t="n">
        <x:f>D265*E265</x:f>
        <x:v>24</x:v>
      </x:c>
      <x:c r="G265" s="256" t="str">
        <x:v>辅助成长</x:v>
      </x:c>
      <x:c r="H265" s="256" t="str">
        <x:v>计入PVE情景</x:v>
      </x:c>
    </x:row>
    <x:row r="266" ht="36" customHeight="1">
      <x:c r="A266" s="256" t="str">
        <x:v>C06-LONGTITLE</x:v>
      </x:c>
      <x:c r="B266" s="256" t="str">
        <x:v>C06</x:v>
      </x:c>
      <x:c r="C266" s="256" t="str">
        <x:v>猩红矿渣</x:v>
      </x:c>
      <x:c r="D266" s="257" t="n">
        <x:v>580</x:v>
      </x:c>
      <x:c r="E266" s="257" t="n">
        <x:v>1</x:v>
      </x:c>
      <x:c r="F266" s="257" t="n">
        <x:f>D266*E266</x:f>
        <x:v>580</x:v>
      </x:c>
      <x:c r="G266" s="256" t="str">
        <x:v>辅助成长</x:v>
      </x:c>
      <x:c r="H266" s="256" t="str">
        <x:v>计入PVE情景</x:v>
      </x:c>
    </x:row>
    <x:row r="267" ht="36" customHeight="1">
      <x:c r="A267" s="256" t="str">
        <x:v>C06-LONGTITLE</x:v>
      </x:c>
      <x:c r="B267" s="256" t="str">
        <x:v>C06</x:v>
      </x:c>
      <x:c r="C267" s="256" t="str">
        <x:v>红狮战印</x:v>
      </x:c>
      <x:c r="D267" s="257" t="n">
        <x:v>7</x:v>
      </x:c>
      <x:c r="E267" s="257" t="n">
        <x:v>1</x:v>
      </x:c>
      <x:c r="F267" s="257" t="n">
        <x:f>D267*E267</x:f>
        <x:v>7</x:v>
      </x:c>
      <x:c r="G267" s="256" t="str">
        <x:v>辅助成长</x:v>
      </x:c>
      <x:c r="H267" s="256" t="str">
        <x:v>计入PVE情景</x:v>
      </x:c>
    </x:row>
    <x:row r="268" ht="36" customHeight="1">
      <x:c r="A268" s="256" t="str">
        <x:v>C06-LONGTITLE</x:v>
      </x:c>
      <x:c r="B268" s="256" t="str">
        <x:v>C06</x:v>
      </x:c>
      <x:c r="C268" s="256" t="str">
        <x:v>净火腺囊</x:v>
      </x:c>
      <x:c r="D268" s="257" t="n">
        <x:v>18</x:v>
      </x:c>
      <x:c r="E268" s="257" t="n">
        <x:v>1</x:v>
      </x:c>
      <x:c r="F268" s="257" t="n">
        <x:f>D268*E268</x:f>
        <x:v>18</x:v>
      </x:c>
      <x:c r="G268" s="256" t="str">
        <x:v>辅助成长</x:v>
      </x:c>
      <x:c r="H268" s="256" t="str">
        <x:v>计入PVE情景</x:v>
      </x:c>
    </x:row>
    <x:row r="269" ht="36" customHeight="1">
      <x:c r="A269" s="256" t="str">
        <x:v>C07-LONGTITLE</x:v>
      </x:c>
      <x:c r="B269" s="256" t="str">
        <x:v>C07</x:v>
      </x:c>
      <x:c r="C269" s="256" t="str">
        <x:v>冻晶尘</x:v>
      </x:c>
      <x:c r="D269" s="257" t="n">
        <x:v>720</x:v>
      </x:c>
      <x:c r="E269" s="257" t="n">
        <x:v>1</x:v>
      </x:c>
      <x:c r="F269" s="257" t="n">
        <x:f>D269*E269</x:f>
        <x:v>720</x:v>
      </x:c>
      <x:c r="G269" s="256" t="str">
        <x:v>辅助成长</x:v>
      </x:c>
      <x:c r="H269" s="256" t="str">
        <x:v>计入PVE情景</x:v>
      </x:c>
    </x:row>
    <x:row r="270" ht="36" customHeight="1">
      <x:c r="A270" s="256" t="str">
        <x:v>C07-LONGTITLE</x:v>
      </x:c>
      <x:c r="B270" s="256" t="str">
        <x:v>C07</x:v>
      </x:c>
      <x:c r="C270" s="256" t="str">
        <x:v>圣雪誓印</x:v>
      </x:c>
      <x:c r="D270" s="257" t="n">
        <x:v>8</x:v>
      </x:c>
      <x:c r="E270" s="257" t="n">
        <x:v>1</x:v>
      </x:c>
      <x:c r="F270" s="257" t="n">
        <x:f>D270*E270</x:f>
        <x:v>8</x:v>
      </x:c>
      <x:c r="G270" s="256" t="str">
        <x:v>辅助成长</x:v>
      </x:c>
      <x:c r="H270" s="256" t="str">
        <x:v>计入PVE情景</x:v>
      </x:c>
    </x:row>
    <x:row r="271" ht="36" customHeight="1">
      <x:c r="A271" s="256" t="str">
        <x:v>C07-LONGTITLE</x:v>
      </x:c>
      <x:c r="B271" s="256" t="str">
        <x:v>C07</x:v>
      </x:c>
      <x:c r="C271" s="256" t="str">
        <x:v>冻原银角</x:v>
      </x:c>
      <x:c r="D271" s="257" t="n">
        <x:v>30</x:v>
      </x:c>
      <x:c r="E271" s="257" t="n">
        <x:v>1</x:v>
      </x:c>
      <x:c r="F271" s="257" t="n">
        <x:f>D271*E271</x:f>
        <x:v>30</x:v>
      </x:c>
      <x:c r="G271" s="256" t="str">
        <x:v>辅助成长</x:v>
      </x:c>
      <x:c r="H271" s="256" t="str">
        <x:v>计入PVE情景</x:v>
      </x:c>
    </x:row>
    <x:row r="272" ht="36" customHeight="1">
      <x:c r="A272" s="256" t="str">
        <x:v>C08-LONGTITLE</x:v>
      </x:c>
      <x:c r="B272" s="256" t="str">
        <x:v>C08</x:v>
      </x:c>
      <x:c r="C272" s="256" t="str">
        <x:v>霜脊铁</x:v>
      </x:c>
      <x:c r="D272" s="257" t="n">
        <x:v>880</x:v>
      </x:c>
      <x:c r="E272" s="257" t="n">
        <x:v>1</x:v>
      </x:c>
      <x:c r="F272" s="257" t="n">
        <x:f>D272*E272</x:f>
        <x:v>880</x:v>
      </x:c>
      <x:c r="G272" s="256" t="str">
        <x:v>辅助成长</x:v>
      </x:c>
      <x:c r="H272" s="256" t="str">
        <x:v>计入PVE情景</x:v>
      </x:c>
    </x:row>
    <x:row r="273" ht="36" customHeight="1">
      <x:c r="A273" s="256" t="str">
        <x:v>C08-LONGTITLE</x:v>
      </x:c>
      <x:c r="B273" s="256" t="str">
        <x:v>C08</x:v>
      </x:c>
      <x:c r="C273" s="256" t="str">
        <x:v>巨人火印</x:v>
      </x:c>
      <x:c r="D273" s="257" t="n">
        <x:v>9</x:v>
      </x:c>
      <x:c r="E273" s="257" t="n">
        <x:v>1</x:v>
      </x:c>
      <x:c r="F273" s="257" t="n">
        <x:f>D273*E273</x:f>
        <x:v>9</x:v>
      </x:c>
      <x:c r="G273" s="256" t="str">
        <x:v>辅助成长</x:v>
      </x:c>
      <x:c r="H273" s="256" t="str">
        <x:v>计入PVE情景</x:v>
      </x:c>
    </x:row>
    <x:row r="274" ht="36" customHeight="1">
      <x:c r="A274" s="256" t="str">
        <x:v>C08-LONGTITLE</x:v>
      </x:c>
      <x:c r="B274" s="256" t="str">
        <x:v>C08</x:v>
      </x:c>
      <x:c r="C274" s="256" t="str">
        <x:v>裂峰号角片</x:v>
      </x:c>
      <x:c r="D274" s="257" t="n">
        <x:v>24</x:v>
      </x:c>
      <x:c r="E274" s="257" t="n">
        <x:v>1</x:v>
      </x:c>
      <x:c r="F274" s="257" t="n">
        <x:f>D274*E274</x:f>
        <x:v>24</x:v>
      </x:c>
      <x:c r="G274" s="256" t="str">
        <x:v>辅助成长</x:v>
      </x:c>
      <x:c r="H274" s="256" t="str">
        <x:v>计入PVE情景</x:v>
      </x:c>
    </x:row>
    <x:row r="275" ht="36" customHeight="1">
      <x:c r="A275" s="256" t="str">
        <x:v>C09-LONGTITLE</x:v>
      </x:c>
      <x:c r="B275" s="256" t="str">
        <x:v>C09</x:v>
      </x:c>
      <x:c r="C275" s="256" t="str">
        <x:v>黄金叶脉</x:v>
      </x:c>
      <x:c r="D275" s="257" t="n">
        <x:v>1050</x:v>
      </x:c>
      <x:c r="E275" s="257" t="n">
        <x:v>1</x:v>
      </x:c>
      <x:c r="F275" s="257" t="n">
        <x:f>D275*E275</x:f>
        <x:v>1050</x:v>
      </x:c>
      <x:c r="G275" s="256" t="str">
        <x:v>辅助成长</x:v>
      </x:c>
      <x:c r="H275" s="256" t="str">
        <x:v>计入PVE情景</x:v>
      </x:c>
    </x:row>
    <x:row r="276" ht="36" customHeight="1">
      <x:c r="A276" s="256" t="str">
        <x:v>C09-LONGTITLE</x:v>
      </x:c>
      <x:c r="B276" s="256" t="str">
        <x:v>C09</x:v>
      </x:c>
      <x:c r="C276" s="256" t="str">
        <x:v>黄金律印</x:v>
      </x:c>
      <x:c r="D276" s="257" t="n">
        <x:v>10</x:v>
      </x:c>
      <x:c r="E276" s="257" t="n">
        <x:v>1</x:v>
      </x:c>
      <x:c r="F276" s="257" t="n">
        <x:f>D276*E276</x:f>
        <x:v>10</x:v>
      </x:c>
      <x:c r="G276" s="256" t="str">
        <x:v>辅助成长</x:v>
      </x:c>
      <x:c r="H276" s="256" t="str">
        <x:v>计入PVE情景</x:v>
      </x:c>
    </x:row>
    <x:row r="277" ht="36" customHeight="1">
      <x:c r="A277" s="256" t="str">
        <x:v>C09-LONGTITLE</x:v>
      </x:c>
      <x:c r="B277" s="256" t="str">
        <x:v>C09</x:v>
      </x:c>
      <x:c r="C277" s="256" t="str">
        <x:v>金叶驿票</x:v>
      </x:c>
      <x:c r="D277" s="257" t="n">
        <x:v>50</x:v>
      </x:c>
      <x:c r="E277" s="257" t="n">
        <x:v>1</x:v>
      </x:c>
      <x:c r="F277" s="257" t="n">
        <x:f>D277*E277</x:f>
        <x:v>50</x:v>
      </x:c>
      <x:c r="G277" s="256" t="str">
        <x:v>辅助成长</x:v>
      </x:c>
      <x:c r="H277" s="256" t="str">
        <x:v>计入PVE情景</x:v>
      </x:c>
    </x:row>
    <x:row r="278" ht="36" customHeight="1">
      <x:c r="A278" s="256" t="str">
        <x:v>C09-LONGTITLE</x:v>
      </x:c>
      <x:c r="B278" s="256" t="str">
        <x:v>C09</x:v>
      </x:c>
      <x:c r="C278" s="256" t="str">
        <x:v>矿脉灯芯</x:v>
      </x:c>
      <x:c r="D278" s="257" t="n">
        <x:v>20</x:v>
      </x:c>
      <x:c r="E278" s="257" t="n">
        <x:v>1</x:v>
      </x:c>
      <x:c r="F278" s="257" t="n">
        <x:f>D278*E278</x:f>
        <x:v>20</x:v>
      </x:c>
      <x:c r="G278" s="256" t="str">
        <x:v>辅助成长</x:v>
      </x:c>
      <x:c r="H278" s="256" t="str">
        <x:v>计入PVE情景</x:v>
      </x:c>
    </x:row>
    <x:row r="279" ht="36" customHeight="1">
      <x:c r="A279" s="256" t="str">
        <x:v>C10-LONGTITLE</x:v>
      </x:c>
      <x:c r="B279" s="256" t="str">
        <x:v>C10</x:v>
      </x:c>
      <x:c r="C279" s="256" t="str">
        <x:v>王城金屑</x:v>
      </x:c>
      <x:c r="D279" s="257" t="n">
        <x:v>1250</x:v>
      </x:c>
      <x:c r="E279" s="257" t="n">
        <x:v>1</x:v>
      </x:c>
      <x:c r="F279" s="257" t="n">
        <x:f>D279*E279</x:f>
        <x:v>1250</x:v>
      </x:c>
      <x:c r="G279" s="256" t="str">
        <x:v>辅助成长</x:v>
      </x:c>
      <x:c r="H279" s="256" t="str">
        <x:v>计入PVE情景</x:v>
      </x:c>
    </x:row>
    <x:row r="280" ht="36" customHeight="1">
      <x:c r="A280" s="256" t="str">
        <x:v>C10-LONGTITLE</x:v>
      </x:c>
      <x:c r="B280" s="256" t="str">
        <x:v>C10</x:v>
      </x:c>
      <x:c r="C280" s="256" t="str">
        <x:v>艾尔登王印</x:v>
      </x:c>
      <x:c r="D280" s="257" t="n">
        <x:v>12</x:v>
      </x:c>
      <x:c r="E280" s="257" t="n">
        <x:v>1</x:v>
      </x:c>
      <x:c r="F280" s="257" t="n">
        <x:f>D280*E280</x:f>
        <x:v>12</x:v>
      </x:c>
      <x:c r="G280" s="256" t="str">
        <x:v>辅助成长</x:v>
      </x:c>
      <x:c r="H280" s="256" t="str">
        <x:v>计入PVE情景</x:v>
      </x:c>
    </x:row>
    <x:row r="281" ht="36" customHeight="1">
      <x:c r="A281" s="256" t="str">
        <x:v>C10-LONGTITLE</x:v>
      </x:c>
      <x:c r="B281" s="256" t="str">
        <x:v>C10</x:v>
      </x:c>
      <x:c r="C281" s="256" t="str">
        <x:v>旧渠阀芯</x:v>
      </x:c>
      <x:c r="D281" s="257" t="n">
        <x:v>30</x:v>
      </x:c>
      <x:c r="E281" s="257" t="n">
        <x:v>1</x:v>
      </x:c>
      <x:c r="F281" s="257" t="n">
        <x:f>D281*E281</x:f>
        <x:v>30</x:v>
      </x:c>
      <x:c r="G281" s="256" t="str">
        <x:v>辅助成长</x:v>
      </x:c>
      <x:c r="H281" s="256" t="str">
        <x:v>计入PVE情景</x:v>
      </x:c>
    </x:row>
    <x:row r="282" ht="36" customHeight="1">
      <x:c r="A282" s="256" t="str">
        <x:v>C01-SKILL-01</x:v>
      </x:c>
      <x:c r="B282" s="256" t="str">
        <x:v>C01</x:v>
      </x:c>
      <x:c r="C282" s="256" t="str">
        <x:v>技能残页</x:v>
      </x:c>
      <x:c r="D282" s="257" t="n">
        <x:v>10</x:v>
      </x:c>
      <x:c r="E282" s="257" t="n">
        <x:v>1</x:v>
      </x:c>
      <x:c r="F282" s="257" t="n">
        <x:f>D282*E282</x:f>
        <x:v>10</x:v>
      </x:c>
      <x:c r="G282" s="256" t="str">
        <x:v>辅助成长</x:v>
      </x:c>
      <x:c r="H282" s="256" t="str">
        <x:v>计入PVE情景</x:v>
      </x:c>
    </x:row>
    <x:row r="283" ht="36" customHeight="1">
      <x:c r="A283" s="256" t="str">
        <x:v>C01-SKILL-02</x:v>
      </x:c>
      <x:c r="B283" s="256" t="str">
        <x:v>C01</x:v>
      </x:c>
      <x:c r="C283" s="256" t="str">
        <x:v>技能残页</x:v>
      </x:c>
      <x:c r="D283" s="257" t="n">
        <x:v>20</x:v>
      </x:c>
      <x:c r="E283" s="257" t="n">
        <x:v>1</x:v>
      </x:c>
      <x:c r="F283" s="257" t="n">
        <x:f>D283*E283</x:f>
        <x:v>20</x:v>
      </x:c>
      <x:c r="G283" s="256" t="str">
        <x:v>辅助成长</x:v>
      </x:c>
      <x:c r="H283" s="256" t="str">
        <x:v>计入PVE情景</x:v>
      </x:c>
    </x:row>
    <x:row r="284" ht="36" customHeight="1">
      <x:c r="A284" s="256" t="str">
        <x:v>C01-SKILL-03</x:v>
      </x:c>
      <x:c r="B284" s="256" t="str">
        <x:v>C01</x:v>
      </x:c>
      <x:c r="C284" s="256" t="str">
        <x:v>技能残页</x:v>
      </x:c>
      <x:c r="D284" s="257" t="n">
        <x:v>30</x:v>
      </x:c>
      <x:c r="E284" s="257" t="n">
        <x:v>1</x:v>
      </x:c>
      <x:c r="F284" s="257" t="n">
        <x:f>D284*E284</x:f>
        <x:v>30</x:v>
      </x:c>
      <x:c r="G284" s="256" t="str">
        <x:v>辅助成长</x:v>
      </x:c>
      <x:c r="H284" s="256" t="str">
        <x:v>计入PVE情景</x:v>
      </x:c>
    </x:row>
    <x:row r="285" ht="36" customHeight="1">
      <x:c r="A285" s="256" t="str">
        <x:v>C01-SKILL-04</x:v>
      </x:c>
      <x:c r="B285" s="256" t="str">
        <x:v>C01</x:v>
      </x:c>
      <x:c r="C285" s="256" t="str">
        <x:v>技能残页</x:v>
      </x:c>
      <x:c r="D285" s="257" t="n">
        <x:v>40</x:v>
      </x:c>
      <x:c r="E285" s="257" t="n">
        <x:v>1</x:v>
      </x:c>
      <x:c r="F285" s="257" t="n">
        <x:f>D285*E285</x:f>
        <x:v>40</x:v>
      </x:c>
      <x:c r="G285" s="256" t="str">
        <x:v>辅助成长</x:v>
      </x:c>
      <x:c r="H285" s="256" t="str">
        <x:v>计入PVE情景</x:v>
      </x:c>
    </x:row>
    <x:row r="286" ht="36" customHeight="1">
      <x:c r="A286" s="256" t="str">
        <x:v>C01-SKILL-05</x:v>
      </x:c>
      <x:c r="B286" s="256" t="str">
        <x:v>C01</x:v>
      </x:c>
      <x:c r="C286" s="256" t="str">
        <x:v>技能残页</x:v>
      </x:c>
      <x:c r="D286" s="257" t="n">
        <x:v>50</x:v>
      </x:c>
      <x:c r="E286" s="257" t="n">
        <x:v>1</x:v>
      </x:c>
      <x:c r="F286" s="257" t="n">
        <x:f>D286*E286</x:f>
        <x:v>50</x:v>
      </x:c>
      <x:c r="G286" s="256" t="str">
        <x:v>辅助成长</x:v>
      </x:c>
      <x:c r="H286" s="256" t="str">
        <x:v>计入PVE情景</x:v>
      </x:c>
    </x:row>
    <x:row r="287" ht="36" customHeight="1">
      <x:c r="A287" s="256" t="str">
        <x:v>C01-SKILL-06</x:v>
      </x:c>
      <x:c r="B287" s="256" t="str">
        <x:v>C01</x:v>
      </x:c>
      <x:c r="C287" s="256" t="str">
        <x:v>技能残页</x:v>
      </x:c>
      <x:c r="D287" s="257" t="n">
        <x:v>60</x:v>
      </x:c>
      <x:c r="E287" s="257" t="n">
        <x:v>1</x:v>
      </x:c>
      <x:c r="F287" s="257" t="n">
        <x:f>D287*E287</x:f>
        <x:v>60</x:v>
      </x:c>
      <x:c r="G287" s="256" t="str">
        <x:v>辅助成长</x:v>
      </x:c>
      <x:c r="H287" s="256" t="str">
        <x:v>计入PVE情景</x:v>
      </x:c>
    </x:row>
    <x:row r="288" ht="36" customHeight="1">
      <x:c r="A288" s="256" t="str">
        <x:v>C01-SKILL-07</x:v>
      </x:c>
      <x:c r="B288" s="256" t="str">
        <x:v>C01</x:v>
      </x:c>
      <x:c r="C288" s="256" t="str">
        <x:v>技能残页</x:v>
      </x:c>
      <x:c r="D288" s="257" t="n">
        <x:v>70</x:v>
      </x:c>
      <x:c r="E288" s="257" t="n">
        <x:v>1</x:v>
      </x:c>
      <x:c r="F288" s="257" t="n">
        <x:f>D288*E288</x:f>
        <x:v>70</x:v>
      </x:c>
      <x:c r="G288" s="256" t="str">
        <x:v>辅助成长</x:v>
      </x:c>
      <x:c r="H288" s="256" t="str">
        <x:v>计入PVE情景</x:v>
      </x:c>
    </x:row>
    <x:row r="289" ht="36" customHeight="1">
      <x:c r="A289" s="256" t="str">
        <x:v>C01-SKILL-08</x:v>
      </x:c>
      <x:c r="B289" s="256" t="str">
        <x:v>C01</x:v>
      </x:c>
      <x:c r="C289" s="256" t="str">
        <x:v>技能残页</x:v>
      </x:c>
      <x:c r="D289" s="257" t="n">
        <x:v>80</x:v>
      </x:c>
      <x:c r="E289" s="257" t="n">
        <x:v>1</x:v>
      </x:c>
      <x:c r="F289" s="257" t="n">
        <x:f>D289*E289</x:f>
        <x:v>80</x:v>
      </x:c>
      <x:c r="G289" s="256" t="str">
        <x:v>辅助成长</x:v>
      </x:c>
      <x:c r="H289" s="256" t="str">
        <x:v>计入PVE情景</x:v>
      </x:c>
    </x:row>
    <x:row r="290" ht="36" customHeight="1">
      <x:c r="A290" s="256" t="str">
        <x:v>C01-SKILL-09</x:v>
      </x:c>
      <x:c r="B290" s="256" t="str">
        <x:v>C01</x:v>
      </x:c>
      <x:c r="C290" s="256" t="str">
        <x:v>技能残页</x:v>
      </x:c>
      <x:c r="D290" s="257" t="n">
        <x:v>90</x:v>
      </x:c>
      <x:c r="E290" s="257" t="n">
        <x:v>1</x:v>
      </x:c>
      <x:c r="F290" s="257" t="n">
        <x:f>D290*E290</x:f>
        <x:v>90</x:v>
      </x:c>
      <x:c r="G290" s="256" t="str">
        <x:v>辅助成长</x:v>
      </x:c>
      <x:c r="H290" s="256" t="str">
        <x:v>计入PVE情景</x:v>
      </x:c>
    </x:row>
    <x:row r="291" ht="36" customHeight="1">
      <x:c r="A291" s="256" t="str">
        <x:v>C02-ADVSKILL-01</x:v>
      </x:c>
      <x:c r="B291" s="256" t="str">
        <x:v>C02</x:v>
      </x:c>
      <x:c r="C291" s="256" t="str">
        <x:v>宁姆格福誓页</x:v>
      </x:c>
      <x:c r="D291" s="257" t="n">
        <x:v>30</x:v>
      </x:c>
      <x:c r="E291" s="257" t="n">
        <x:v>1</x:v>
      </x:c>
      <x:c r="F291" s="257" t="n">
        <x:f>D291*E291</x:f>
        <x:v>30</x:v>
      </x:c>
      <x:c r="G291" s="256" t="str">
        <x:v>辅助成长</x:v>
      </x:c>
      <x:c r="H291" s="256" t="str">
        <x:v>计入PVE情景</x:v>
      </x:c>
    </x:row>
    <x:row r="292" ht="36" customHeight="1">
      <x:c r="A292" s="256" t="str">
        <x:v>C02-ADVSKILL-02</x:v>
      </x:c>
      <x:c r="B292" s="256" t="str">
        <x:v>C02</x:v>
      </x:c>
      <x:c r="C292" s="256" t="str">
        <x:v>宁姆格福誓页</x:v>
      </x:c>
      <x:c r="D292" s="257" t="n">
        <x:v>30</x:v>
      </x:c>
      <x:c r="E292" s="257" t="n">
        <x:v>1</x:v>
      </x:c>
      <x:c r="F292" s="257" t="n">
        <x:f>D292*E292</x:f>
        <x:v>30</x:v>
      </x:c>
      <x:c r="G292" s="256" t="str">
        <x:v>辅助成长</x:v>
      </x:c>
      <x:c r="H292" s="256" t="str">
        <x:v>计入PVE情景</x:v>
      </x:c>
    </x:row>
    <x:row r="293" ht="36" customHeight="1">
      <x:c r="A293" s="256" t="str">
        <x:v>C02-ADVSKILL-03</x:v>
      </x:c>
      <x:c r="B293" s="256" t="str">
        <x:v>C02</x:v>
      </x:c>
      <x:c r="C293" s="256" t="str">
        <x:v>宁姆格福誓页</x:v>
      </x:c>
      <x:c r="D293" s="257" t="n">
        <x:v>30</x:v>
      </x:c>
      <x:c r="E293" s="257" t="n">
        <x:v>1</x:v>
      </x:c>
      <x:c r="F293" s="257" t="n">
        <x:f>D293*E293</x:f>
        <x:v>30</x:v>
      </x:c>
      <x:c r="G293" s="256" t="str">
        <x:v>辅助成长</x:v>
      </x:c>
      <x:c r="H293" s="256" t="str">
        <x:v>计入PVE情景</x:v>
      </x:c>
    </x:row>
    <x:row r="294" ht="36" customHeight="1">
      <x:c r="A294" s="256" t="str">
        <x:v>C02-ADVSKILL-04</x:v>
      </x:c>
      <x:c r="B294" s="256" t="str">
        <x:v>C02</x:v>
      </x:c>
      <x:c r="C294" s="256" t="str">
        <x:v>宁姆格福誓页</x:v>
      </x:c>
      <x:c r="D294" s="257" t="n">
        <x:v>30</x:v>
      </x:c>
      <x:c r="E294" s="257" t="n">
        <x:v>1</x:v>
      </x:c>
      <x:c r="F294" s="257" t="n">
        <x:f>D294*E294</x:f>
        <x:v>30</x:v>
      </x:c>
      <x:c r="G294" s="256" t="str">
        <x:v>辅助成长</x:v>
      </x:c>
      <x:c r="H294" s="256" t="str">
        <x:v>计入PVE情景</x:v>
      </x:c>
    </x:row>
    <x:row r="295" ht="36" customHeight="1">
      <x:c r="A295" s="256" t="str">
        <x:v>C02-ADVSKILL-05</x:v>
      </x:c>
      <x:c r="B295" s="256" t="str">
        <x:v>C02</x:v>
      </x:c>
      <x:c r="C295" s="256" t="str">
        <x:v>宁姆格福誓页</x:v>
      </x:c>
      <x:c r="D295" s="257" t="n">
        <x:v>30</x:v>
      </x:c>
      <x:c r="E295" s="257" t="n">
        <x:v>1</x:v>
      </x:c>
      <x:c r="F295" s="257" t="n">
        <x:f>D295*E295</x:f>
        <x:v>30</x:v>
      </x:c>
      <x:c r="G295" s="256" t="str">
        <x:v>辅助成长</x:v>
      </x:c>
      <x:c r="H295" s="256" t="str">
        <x:v>计入PVE情景</x:v>
      </x:c>
    </x:row>
    <x:row r="296" ht="36" customHeight="1">
      <x:c r="A296" s="256" t="str">
        <x:v>C02-ADVSKILL-06</x:v>
      </x:c>
      <x:c r="B296" s="256" t="str">
        <x:v>C02</x:v>
      </x:c>
      <x:c r="C296" s="256" t="str">
        <x:v>宁姆格福誓页</x:v>
      </x:c>
      <x:c r="D296" s="257" t="n">
        <x:v>30</x:v>
      </x:c>
      <x:c r="E296" s="257" t="n">
        <x:v>1</x:v>
      </x:c>
      <x:c r="F296" s="257" t="n">
        <x:f>D296*E296</x:f>
        <x:v>30</x:v>
      </x:c>
      <x:c r="G296" s="256" t="str">
        <x:v>辅助成长</x:v>
      </x:c>
      <x:c r="H296" s="256" t="str">
        <x:v>计入PVE情景</x:v>
      </x:c>
    </x:row>
    <x:row r="297" ht="36" customHeight="1">
      <x:c r="A297" s="256" t="str">
        <x:v>C02-WASH</x:v>
      </x:c>
      <x:c r="B297" s="256" t="str">
        <x:v>C02</x:v>
      </x:c>
      <x:c r="C297" s="256" t="str">
        <x:v>失色锻造石</x:v>
      </x:c>
      <x:c r="D297" s="257" t="n">
        <x:v>1</x:v>
      </x:c>
      <x:c r="E297" s="257" t="n">
        <x:v>120</x:v>
      </x:c>
      <x:c r="F297" s="257" t="n">
        <x:f>D297*E297</x:f>
        <x:v>120</x:v>
      </x:c>
      <x:c r="G297" s="256" t="str">
        <x:v>辅助成长</x:v>
      </x:c>
      <x:c r="H297" s="256" t="str">
        <x:v>计入PVE情景</x:v>
      </x:c>
    </x:row>
    <x:row r="298" ht="36" customHeight="1">
      <x:c r="A298" s="256" t="str">
        <x:v>C02-OPEN</x:v>
      </x:c>
      <x:c r="B298" s="256" t="str">
        <x:v>C02</x:v>
      </x:c>
      <x:c r="C298" s="256" t="str">
        <x:v>失色锻造石</x:v>
      </x:c>
      <x:c r="D298" s="257" t="n">
        <x:v>5</x:v>
      </x:c>
      <x:c r="E298" s="257" t="n">
        <x:v>5</x:v>
      </x:c>
      <x:c r="F298" s="257" t="n">
        <x:f>D298*E298</x:f>
        <x:v>25</x:v>
      </x:c>
      <x:c r="G298" s="256" t="str">
        <x:v>辅助成长</x:v>
      </x:c>
      <x:c r="H298" s="256" t="str">
        <x:v>计入PVE情景</x:v>
      </x:c>
    </x:row>
    <x:row r="299" ht="36" customHeight="1">
      <x:c r="A299" s="256" t="str">
        <x:v>C03-WASH</x:v>
      </x:c>
      <x:c r="B299" s="256" t="str">
        <x:v>C03</x:v>
      </x:c>
      <x:c r="C299" s="256" t="str">
        <x:v>失色锻造石</x:v>
      </x:c>
      <x:c r="D299" s="257" t="n">
        <x:v>1</x:v>
      </x:c>
      <x:c r="E299" s="257" t="n">
        <x:v>160</x:v>
      </x:c>
      <x:c r="F299" s="257" t="n">
        <x:f>D299*E299</x:f>
        <x:v>160</x:v>
      </x:c>
      <x:c r="G299" s="256" t="str">
        <x:v>辅助成长</x:v>
      </x:c>
      <x:c r="H299" s="256" t="str">
        <x:v>计入PVE情景</x:v>
      </x:c>
    </x:row>
    <x:row r="300" ht="36" customHeight="1">
      <x:c r="A300" s="256" t="str">
        <x:v>C03-OPEN</x:v>
      </x:c>
      <x:c r="B300" s="256" t="str">
        <x:v>C03</x:v>
      </x:c>
      <x:c r="C300" s="256" t="str">
        <x:v>失色锻造石</x:v>
      </x:c>
      <x:c r="D300" s="257" t="n">
        <x:v>6</x:v>
      </x:c>
      <x:c r="E300" s="257" t="n">
        <x:v>8</x:v>
      </x:c>
      <x:c r="F300" s="257" t="n">
        <x:f>D300*E300</x:f>
        <x:v>48</x:v>
      </x:c>
      <x:c r="G300" s="256" t="str">
        <x:v>辅助成长</x:v>
      </x:c>
      <x:c r="H300" s="256" t="str">
        <x:v>计入PVE情景</x:v>
      </x:c>
    </x:row>
    <x:row r="301" ht="36" customHeight="1">
      <x:c r="A301" s="256" t="str">
        <x:v>C04-WASH</x:v>
      </x:c>
      <x:c r="B301" s="256" t="str">
        <x:v>C04</x:v>
      </x:c>
      <x:c r="C301" s="256" t="str">
        <x:v>失色锻造石</x:v>
      </x:c>
      <x:c r="D301" s="257" t="n">
        <x:v>1</x:v>
      </x:c>
      <x:c r="E301" s="257" t="n">
        <x:v>200</x:v>
      </x:c>
      <x:c r="F301" s="257" t="n">
        <x:f>D301*E301</x:f>
        <x:v>200</x:v>
      </x:c>
      <x:c r="G301" s="256" t="str">
        <x:v>辅助成长</x:v>
      </x:c>
      <x:c r="H301" s="256" t="str">
        <x:v>计入PVE情景</x:v>
      </x:c>
    </x:row>
    <x:row r="302" ht="36" customHeight="1">
      <x:c r="A302" s="256" t="str">
        <x:v>C04-OPEN</x:v>
      </x:c>
      <x:c r="B302" s="256" t="str">
        <x:v>C04</x:v>
      </x:c>
      <x:c r="C302" s="256" t="str">
        <x:v>失色锻造石</x:v>
      </x:c>
      <x:c r="D302" s="257" t="n">
        <x:v>7</x:v>
      </x:c>
      <x:c r="E302" s="257" t="n">
        <x:v>10</x:v>
      </x:c>
      <x:c r="F302" s="257" t="n">
        <x:f>D302*E302</x:f>
        <x:v>70</x:v>
      </x:c>
      <x:c r="G302" s="256" t="str">
        <x:v>辅助成长</x:v>
      </x:c>
      <x:c r="H302" s="256" t="str">
        <x:v>计入PVE情景</x:v>
      </x:c>
    </x:row>
    <x:row r="303" ht="36" customHeight="1">
      <x:c r="A303" s="256" t="str">
        <x:v>C05-WASH</x:v>
      </x:c>
      <x:c r="B303" s="256" t="str">
        <x:v>C05</x:v>
      </x:c>
      <x:c r="C303" s="256" t="str">
        <x:v>失色锻造石</x:v>
      </x:c>
      <x:c r="D303" s="257" t="n">
        <x:v>2</x:v>
      </x:c>
      <x:c r="E303" s="257" t="n">
        <x:v>240</x:v>
      </x:c>
      <x:c r="F303" s="257" t="n">
        <x:f>D303*E303</x:f>
        <x:v>480</x:v>
      </x:c>
      <x:c r="G303" s="256" t="str">
        <x:v>辅助成长</x:v>
      </x:c>
      <x:c r="H303" s="256" t="str">
        <x:v>计入PVE情景</x:v>
      </x:c>
    </x:row>
    <x:row r="304" ht="36" customHeight="1">
      <x:c r="A304" s="256" t="str">
        <x:v>C05-OPEN</x:v>
      </x:c>
      <x:c r="B304" s="256" t="str">
        <x:v>C05</x:v>
      </x:c>
      <x:c r="C304" s="256" t="str">
        <x:v>失色锻造石</x:v>
      </x:c>
      <x:c r="D304" s="257" t="n">
        <x:v>9</x:v>
      </x:c>
      <x:c r="E304" s="257" t="n">
        <x:v>12</x:v>
      </x:c>
      <x:c r="F304" s="257" t="n">
        <x:f>D304*E304</x:f>
        <x:v>108</x:v>
      </x:c>
      <x:c r="G304" s="256" t="str">
        <x:v>辅助成长</x:v>
      </x:c>
      <x:c r="H304" s="256" t="str">
        <x:v>计入PVE情景</x:v>
      </x:c>
    </x:row>
    <x:row r="305" ht="36" customHeight="1">
      <x:c r="A305" s="256" t="str">
        <x:v>C06-WASH</x:v>
      </x:c>
      <x:c r="B305" s="256" t="str">
        <x:v>C06</x:v>
      </x:c>
      <x:c r="C305" s="256" t="str">
        <x:v>失色锻造石</x:v>
      </x:c>
      <x:c r="D305" s="257" t="n">
        <x:v>2</x:v>
      </x:c>
      <x:c r="E305" s="257" t="n">
        <x:v>280</x:v>
      </x:c>
      <x:c r="F305" s="257" t="n">
        <x:f>D305*E305</x:f>
        <x:v>560</x:v>
      </x:c>
      <x:c r="G305" s="256" t="str">
        <x:v>辅助成长</x:v>
      </x:c>
      <x:c r="H305" s="256" t="str">
        <x:v>计入PVE情景</x:v>
      </x:c>
    </x:row>
    <x:row r="306" ht="36" customHeight="1">
      <x:c r="A306" s="256" t="str">
        <x:v>C06-OPEN</x:v>
      </x:c>
      <x:c r="B306" s="256" t="str">
        <x:v>C06</x:v>
      </x:c>
      <x:c r="C306" s="256" t="str">
        <x:v>失色锻造石</x:v>
      </x:c>
      <x:c r="D306" s="257" t="n">
        <x:v>11</x:v>
      </x:c>
      <x:c r="E306" s="257" t="n">
        <x:v>14</x:v>
      </x:c>
      <x:c r="F306" s="257" t="n">
        <x:f>D306*E306</x:f>
        <x:v>154</x:v>
      </x:c>
      <x:c r="G306" s="256" t="str">
        <x:v>辅助成长</x:v>
      </x:c>
      <x:c r="H306" s="256" t="str">
        <x:v>计入PVE情景</x:v>
      </x:c>
    </x:row>
    <x:row r="307" ht="36" customHeight="1">
      <x:c r="A307" s="256" t="str">
        <x:v>C07-WASH</x:v>
      </x:c>
      <x:c r="B307" s="256" t="str">
        <x:v>C07</x:v>
      </x:c>
      <x:c r="C307" s="256" t="str">
        <x:v>失色锻造石</x:v>
      </x:c>
      <x:c r="D307" s="257" t="n">
        <x:v>3</x:v>
      </x:c>
      <x:c r="E307" s="257" t="n">
        <x:v>320</x:v>
      </x:c>
      <x:c r="F307" s="257" t="n">
        <x:f>D307*E307</x:f>
        <x:v>960</x:v>
      </x:c>
      <x:c r="G307" s="256" t="str">
        <x:v>辅助成长</x:v>
      </x:c>
      <x:c r="H307" s="256" t="str">
        <x:v>计入PVE情景</x:v>
      </x:c>
    </x:row>
    <x:row r="308" ht="36" customHeight="1">
      <x:c r="A308" s="256" t="str">
        <x:v>C07-OPEN</x:v>
      </x:c>
      <x:c r="B308" s="256" t="str">
        <x:v>C07</x:v>
      </x:c>
      <x:c r="C308" s="256" t="str">
        <x:v>失色锻造石</x:v>
      </x:c>
      <x:c r="D308" s="257" t="n">
        <x:v>14</x:v>
      </x:c>
      <x:c r="E308" s="257" t="n">
        <x:v>16</x:v>
      </x:c>
      <x:c r="F308" s="257" t="n">
        <x:f>D308*E308</x:f>
        <x:v>224</x:v>
      </x:c>
      <x:c r="G308" s="256" t="str">
        <x:v>辅助成长</x:v>
      </x:c>
      <x:c r="H308" s="256" t="str">
        <x:v>计入PVE情景</x:v>
      </x:c>
    </x:row>
    <x:row r="309" ht="36" customHeight="1">
      <x:c r="A309" s="256" t="str">
        <x:v>C08-WASH</x:v>
      </x:c>
      <x:c r="B309" s="256" t="str">
        <x:v>C08</x:v>
      </x:c>
      <x:c r="C309" s="256" t="str">
        <x:v>失色锻造石</x:v>
      </x:c>
      <x:c r="D309" s="257" t="n">
        <x:v>3</x:v>
      </x:c>
      <x:c r="E309" s="257" t="n">
        <x:v>360</x:v>
      </x:c>
      <x:c r="F309" s="257" t="n">
        <x:f>D309*E309</x:f>
        <x:v>1080</x:v>
      </x:c>
      <x:c r="G309" s="256" t="str">
        <x:v>辅助成长</x:v>
      </x:c>
      <x:c r="H309" s="256" t="str">
        <x:v>计入PVE情景</x:v>
      </x:c>
    </x:row>
    <x:row r="310" ht="36" customHeight="1">
      <x:c r="A310" s="256" t="str">
        <x:v>C08-OPEN</x:v>
      </x:c>
      <x:c r="B310" s="256" t="str">
        <x:v>C08</x:v>
      </x:c>
      <x:c r="C310" s="256" t="str">
        <x:v>失色锻造石</x:v>
      </x:c>
      <x:c r="D310" s="257" t="n">
        <x:v>17</x:v>
      </x:c>
      <x:c r="E310" s="257" t="n">
        <x:v>18</x:v>
      </x:c>
      <x:c r="F310" s="257" t="n">
        <x:f>D310*E310</x:f>
        <x:v>306</x:v>
      </x:c>
      <x:c r="G310" s="256" t="str">
        <x:v>辅助成长</x:v>
      </x:c>
      <x:c r="H310" s="256" t="str">
        <x:v>计入PVE情景</x:v>
      </x:c>
    </x:row>
    <x:row r="311" ht="36" customHeight="1">
      <x:c r="A311" s="256" t="str">
        <x:v>C09-WASH</x:v>
      </x:c>
      <x:c r="B311" s="256" t="str">
        <x:v>C09</x:v>
      </x:c>
      <x:c r="C311" s="256" t="str">
        <x:v>失色锻造石</x:v>
      </x:c>
      <x:c r="D311" s="257" t="n">
        <x:v>4</x:v>
      </x:c>
      <x:c r="E311" s="257" t="n">
        <x:v>400</x:v>
      </x:c>
      <x:c r="F311" s="257" t="n">
        <x:f>D311*E311</x:f>
        <x:v>1600</x:v>
      </x:c>
      <x:c r="G311" s="256" t="str">
        <x:v>辅助成长</x:v>
      </x:c>
      <x:c r="H311" s="256" t="str">
        <x:v>计入PVE情景</x:v>
      </x:c>
    </x:row>
    <x:row r="312" ht="36" customHeight="1">
      <x:c r="A312" s="256" t="str">
        <x:v>C09-OPEN</x:v>
      </x:c>
      <x:c r="B312" s="256" t="str">
        <x:v>C09</x:v>
      </x:c>
      <x:c r="C312" s="256" t="str">
        <x:v>失色锻造石</x:v>
      </x:c>
      <x:c r="D312" s="257" t="n">
        <x:v>21</x:v>
      </x:c>
      <x:c r="E312" s="257" t="n">
        <x:v>20</x:v>
      </x:c>
      <x:c r="F312" s="257" t="n">
        <x:f>D312*E312</x:f>
        <x:v>420</x:v>
      </x:c>
      <x:c r="G312" s="256" t="str">
        <x:v>辅助成长</x:v>
      </x:c>
      <x:c r="H312" s="256" t="str">
        <x:v>计入PVE情景</x:v>
      </x:c>
    </x:row>
    <x:row r="313" ht="36" customHeight="1">
      <x:c r="A313" s="256" t="str">
        <x:v>C10-WASH</x:v>
      </x:c>
      <x:c r="B313" s="256" t="str">
        <x:v>C10</x:v>
      </x:c>
      <x:c r="C313" s="256" t="str">
        <x:v>失色锻造石</x:v>
      </x:c>
      <x:c r="D313" s="257" t="n">
        <x:v>5</x:v>
      </x:c>
      <x:c r="E313" s="257" t="n">
        <x:v>450</x:v>
      </x:c>
      <x:c r="F313" s="257" t="n">
        <x:f>D313*E313</x:f>
        <x:v>2250</x:v>
      </x:c>
      <x:c r="G313" s="256" t="str">
        <x:v>辅助成长</x:v>
      </x:c>
      <x:c r="H313" s="256" t="str">
        <x:v>计入PVE情景</x:v>
      </x:c>
    </x:row>
    <x:row r="314" ht="36" customHeight="1">
      <x:c r="A314" s="256" t="str">
        <x:v>C10-OPEN</x:v>
      </x:c>
      <x:c r="B314" s="256" t="str">
        <x:v>C10</x:v>
      </x:c>
      <x:c r="C314" s="256" t="str">
        <x:v>失色锻造石</x:v>
      </x:c>
      <x:c r="D314" s="257" t="n">
        <x:v>25</x:v>
      </x:c>
      <x:c r="E314" s="257" t="n">
        <x:v>24</x:v>
      </x:c>
      <x:c r="F314" s="257" t="n">
        <x:f>D314*E314</x:f>
        <x:v>600</x:v>
      </x:c>
      <x:c r="G314" s="256" t="str">
        <x:v>辅助成长</x:v>
      </x:c>
      <x:c r="H314" s="256" t="str">
        <x:v>计入PVE情景</x:v>
      </x:c>
    </x:row>
    <x:row r="315" ht="36" customHeight="1">
      <x:c r="A315" s="256" t="str">
        <x:v>C02-NECKLUCK</x:v>
      </x:c>
      <x:c r="B315" s="256" t="str">
        <x:v>C02</x:v>
      </x:c>
      <x:c r="C315" s="256" t="str">
        <x:v>黄金树芽</x:v>
      </x:c>
      <x:c r="D315" s="257" t="n">
        <x:v>1</x:v>
      </x:c>
      <x:c r="E315" s="257" t="n">
        <x:v>250</x:v>
      </x:c>
      <x:c r="F315" s="257" t="n">
        <x:f>D315*E315</x:f>
        <x:v>250</x:v>
      </x:c>
      <x:c r="G315" s="256" t="str">
        <x:v>辅助成长</x:v>
      </x:c>
      <x:c r="H315" s="256" t="str">
        <x:v>计入PVE情景</x:v>
      </x:c>
    </x:row>
    <x:row r="316" ht="36" customHeight="1">
      <x:c r="A316" s="256" t="str">
        <x:v>C02-BODY-1-50</x:v>
      </x:c>
      <x:c r="B316" s="256" t="str">
        <x:v>C02</x:v>
      </x:c>
      <x:c r="C316" s="256" t="str">
        <x:v>野兽骨片</x:v>
      </x:c>
      <x:c r="D316" s="257" t="n">
        <x:v>1725</x:v>
      </x:c>
      <x:c r="E316" s="257" t="n">
        <x:v>1</x:v>
      </x:c>
      <x:c r="F316" s="257" t="n">
        <x:f>D316*E316</x:f>
        <x:v>1725</x:v>
      </x:c>
      <x:c r="G316" s="256" t="str">
        <x:v>辅助成长</x:v>
      </x:c>
      <x:c r="H316" s="256" t="str">
        <x:v>计入PVE情景</x:v>
      </x:c>
    </x:row>
    <x:row r="317" ht="36" customHeight="1">
      <x:c r="A317" s="256" t="str">
        <x:v>C03-BODY-51-80</x:v>
      </x:c>
      <x:c r="B317" s="256" t="str">
        <x:v>C03</x:v>
      </x:c>
      <x:c r="C317" s="256" t="str">
        <x:v>野兽骨片</x:v>
      </x:c>
      <x:c r="D317" s="257" t="n">
        <x:v>2730</x:v>
      </x:c>
      <x:c r="E317" s="257" t="n">
        <x:v>1</x:v>
      </x:c>
      <x:c r="F317" s="257" t="n">
        <x:f>D317*E317</x:f>
        <x:v>2730</x:v>
      </x:c>
      <x:c r="G317" s="256" t="str">
        <x:v>辅助成长</x:v>
      </x:c>
      <x:c r="H317" s="256" t="str">
        <x:v>计入PVE情景</x:v>
      </x:c>
    </x:row>
    <x:row r="318" ht="36" customHeight="1">
      <x:c r="A318" s="256" t="str">
        <x:v>C04-BODY-81-110</x:v>
      </x:c>
      <x:c r="B318" s="256" t="str">
        <x:v>C04</x:v>
      </x:c>
      <x:c r="C318" s="256" t="str">
        <x:v>野兽骨片</x:v>
      </x:c>
      <x:c r="D318" s="257" t="n">
        <x:v>4585</x:v>
      </x:c>
      <x:c r="E318" s="257" t="n">
        <x:v>1</x:v>
      </x:c>
      <x:c r="F318" s="257" t="n">
        <x:f>D318*E318</x:f>
        <x:v>4585</x:v>
      </x:c>
      <x:c r="G318" s="256" t="str">
        <x:v>辅助成长</x:v>
      </x:c>
      <x:c r="H318" s="256" t="str">
        <x:v>计入PVE情景</x:v>
      </x:c>
    </x:row>
    <x:row r="319" ht="36" customHeight="1">
      <x:c r="A319" s="256" t="str">
        <x:v>C05-BODY-111-140</x:v>
      </x:c>
      <x:c r="B319" s="256" t="str">
        <x:v>C05</x:v>
      </x:c>
      <x:c r="C319" s="256" t="str">
        <x:v>野兽骨片</x:v>
      </x:c>
      <x:c r="D319" s="257" t="n">
        <x:v>7095</x:v>
      </x:c>
      <x:c r="E319" s="257" t="n">
        <x:v>1</x:v>
      </x:c>
      <x:c r="F319" s="257" t="n">
        <x:f>D319*E319</x:f>
        <x:v>7095</x:v>
      </x:c>
      <x:c r="G319" s="256" t="str">
        <x:v>辅助成长</x:v>
      </x:c>
      <x:c r="H319" s="256" t="str">
        <x:v>计入PVE情景</x:v>
      </x:c>
    </x:row>
    <x:row r="320" ht="36" customHeight="1">
      <x:c r="A320" s="256" t="str">
        <x:v>C06-BODY-141-170</x:v>
      </x:c>
      <x:c r="B320" s="256" t="str">
        <x:v>C06</x:v>
      </x:c>
      <x:c r="C320" s="256" t="str">
        <x:v>野兽骨片</x:v>
      </x:c>
      <x:c r="D320" s="257" t="n">
        <x:v>10215</x:v>
      </x:c>
      <x:c r="E320" s="257" t="n">
        <x:v>1</x:v>
      </x:c>
      <x:c r="F320" s="257" t="n">
        <x:f>D320*E320</x:f>
        <x:v>10215</x:v>
      </x:c>
      <x:c r="G320" s="256" t="str">
        <x:v>辅助成长</x:v>
      </x:c>
      <x:c r="H320" s="256" t="str">
        <x:v>计入PVE情景</x:v>
      </x:c>
    </x:row>
    <x:row r="321" ht="36" customHeight="1">
      <x:c r="A321" s="256" t="str">
        <x:v>C07-BODY-171-195</x:v>
      </x:c>
      <x:c r="B321" s="256" t="str">
        <x:v>C07</x:v>
      </x:c>
      <x:c r="C321" s="256" t="str">
        <x:v>野兽骨片</x:v>
      </x:c>
      <x:c r="D321" s="257" t="n">
        <x:v>11875</x:v>
      </x:c>
      <x:c r="E321" s="257" t="n">
        <x:v>1</x:v>
      </x:c>
      <x:c r="F321" s="257" t="n">
        <x:f>D321*E321</x:f>
        <x:v>11875</x:v>
      </x:c>
      <x:c r="G321" s="256" t="str">
        <x:v>辅助成长</x:v>
      </x:c>
      <x:c r="H321" s="256" t="str">
        <x:v>计入PVE情景</x:v>
      </x:c>
    </x:row>
    <x:row r="322" ht="36" customHeight="1">
      <x:c r="A322" s="256" t="str">
        <x:v>C08-BODY-196-220</x:v>
      </x:c>
      <x:c r="B322" s="256" t="str">
        <x:v>C08</x:v>
      </x:c>
      <x:c r="C322" s="256" t="str">
        <x:v>野兽骨片</x:v>
      </x:c>
      <x:c r="D322" s="257" t="n">
        <x:v>15630</x:v>
      </x:c>
      <x:c r="E322" s="257" t="n">
        <x:v>1</x:v>
      </x:c>
      <x:c r="F322" s="257" t="n">
        <x:f>D322*E322</x:f>
        <x:v>15630</x:v>
      </x:c>
      <x:c r="G322" s="256" t="str">
        <x:v>辅助成长</x:v>
      </x:c>
      <x:c r="H322" s="256" t="str">
        <x:v>计入PVE情景</x:v>
      </x:c>
    </x:row>
    <x:row r="323" ht="36" customHeight="1">
      <x:c r="A323" s="256" t="str">
        <x:v>C09-BODY-221-240</x:v>
      </x:c>
      <x:c r="B323" s="256" t="str">
        <x:v>C09</x:v>
      </x:c>
      <x:c r="C323" s="256" t="str">
        <x:v>野兽骨片</x:v>
      </x:c>
      <x:c r="D323" s="257" t="n">
        <x:v>16080</x:v>
      </x:c>
      <x:c r="E323" s="257" t="n">
        <x:v>1</x:v>
      </x:c>
      <x:c r="F323" s="257" t="n">
        <x:f>D323*E323</x:f>
        <x:v>16080</x:v>
      </x:c>
      <x:c r="G323" s="256" t="str">
        <x:v>辅助成长</x:v>
      </x:c>
      <x:c r="H323" s="256" t="str">
        <x:v>计入PVE情景</x:v>
      </x:c>
    </x:row>
    <x:row r="324" ht="36" customHeight="1">
      <x:c r="A324" s="256" t="str">
        <x:v>C10-BODY-241-255</x:v>
      </x:c>
      <x:c r="B324" s="256" t="str">
        <x:v>C10</x:v>
      </x:c>
      <x:c r="C324" s="256" t="str">
        <x:v>野兽骨片</x:v>
      </x:c>
      <x:c r="D324" s="257" t="n">
        <x:v>14160</x:v>
      </x:c>
      <x:c r="E324" s="257" t="n">
        <x:v>1</x:v>
      </x:c>
      <x:c r="F324" s="257" t="n">
        <x:f>D324*E324</x:f>
        <x:v>14160</x:v>
      </x:c>
      <x:c r="G324" s="256" t="str">
        <x:v>辅助成长</x:v>
      </x:c>
      <x:c r="H324" s="256" t="str">
        <x:v>计入PVE情景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36" hidden="0" customWidth="1"/>
  </x:cols>
  <x:sheetData>
    <x:row r="1" ht="28" customHeight="1">
      <x:c r="A1" s="246" t="str">
        <x:v>金币和元宝阶段对账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</x:row>
    <x:row r="2" ht="38" customHeight="1">
      <x:c r="A2" s="249" t="str">
        <x:v>逐行读取74项核心和53项辅助成本；回访生肖计C2，战灰不计PVE。普通洗练120～450次属于整个人物阶段预算。</x:v>
      </x:c>
      <x:c r="B2" s="249"/>
      <x:c r="C2" s="249"/>
      <x:c r="D2" s="249"/>
      <x:c r="E2" s="249"/>
      <x:c r="F2" s="249"/>
      <x:c r="G2" s="249"/>
      <x:c r="H2" s="249"/>
      <x:c r="I2" s="249"/>
      <x:c r="J2" s="249"/>
      <x:c r="K2" s="249"/>
    </x:row>
    <x:row r="4" ht="32" customHeight="1">
      <x:c r="A4" s="253" t="str">
        <x:v>ID</x:v>
      </x:c>
      <x:c r="B4" s="253" t="str">
        <x:v>NPC所在地</x:v>
      </x:c>
      <x:c r="C4" s="253" t="str">
        <x:v>预算大陆</x:v>
      </x:c>
      <x:c r="D4" s="253" t="str">
        <x:v>需求层级</x:v>
      </x:c>
      <x:c r="E4" s="253" t="str">
        <x:v>单次金币</x:v>
      </x:c>
      <x:c r="F4" s="253" t="str">
        <x:v>单次元宝</x:v>
      </x:c>
      <x:c r="G4" s="253" t="str">
        <x:v>预算次数</x:v>
      </x:c>
      <x:c r="H4" s="253" t="str">
        <x:v>阶段金币</x:v>
      </x:c>
      <x:c r="I4" s="253" t="str">
        <x:v>阶段元宝</x:v>
      </x:c>
      <x:c r="J4" s="253" t="str">
        <x:v>PVE预算</x:v>
      </x:c>
      <x:c r="K4" s="253" t="str">
        <x:v>出处</x:v>
      </x:c>
    </x:row>
    <x:row r="5" ht="36" customHeight="1">
      <x:c r="A5" s="256" t="str">
        <x:v>CAMP-SWORD-GROWTH</x:v>
      </x:c>
      <x:c r="B5" s="256" t="str">
        <x:v>CAMP</x:v>
      </x:c>
      <x:c r="C5" s="256" t="str">
        <x:v>CAMP</x:v>
      </x:c>
      <x:c r="D5" s="256" t="str">
        <x:v>沿用既有脚本</x:v>
      </x:c>
      <x:c r="E5" s="257" t="n">
        <x:v>0</x:v>
      </x:c>
      <x:c r="F5" s="257" t="n">
        <x:v>0</x:v>
      </x:c>
      <x:c r="G5" s="257" t="n">
        <x:v>1</x:v>
      </x:c>
      <x:c r="H5" s="257" t="n">
        <x:v>0</x:v>
      </x:c>
      <x:c r="I5" s="257" t="n">
        <x:v>0</x:v>
      </x:c>
      <x:c r="J5" s="256" t="str">
        <x:v>是</x:v>
      </x:c>
      <x:c r="K5" s="256" t="str">
        <x:v>02_NPC配方数值!第5行</x:v>
      </x:c>
    </x:row>
    <x:row r="6" ht="36" customHeight="1">
      <x:c r="A6" s="256" t="str">
        <x:v>CAMP-RELIC-GROWTH</x:v>
      </x:c>
      <x:c r="B6" s="256" t="str">
        <x:v>CAMP</x:v>
      </x:c>
      <x:c r="C6" s="256" t="str">
        <x:v>CAMP</x:v>
      </x:c>
      <x:c r="D6" s="256" t="str">
        <x:v>沿用既有脚本</x:v>
      </x:c>
      <x:c r="E6" s="257" t="n">
        <x:v>0</x:v>
      </x:c>
      <x:c r="F6" s="257" t="n">
        <x:v>0</x:v>
      </x:c>
      <x:c r="G6" s="257" t="n">
        <x:v>1</x:v>
      </x:c>
      <x:c r="H6" s="257" t="n">
        <x:v>0</x:v>
      </x:c>
      <x:c r="I6" s="257" t="n">
        <x:v>0</x:v>
      </x:c>
      <x:c r="J6" s="256" t="str">
        <x:v>是</x:v>
      </x:c>
      <x:c r="K6" s="256" t="str">
        <x:v>02_NPC配方数值!第6行</x:v>
      </x:c>
    </x:row>
    <x:row r="7" ht="36" customHeight="1">
      <x:c r="A7" s="256" t="str">
        <x:v>CAMP-TITLE-GROWTH</x:v>
      </x:c>
      <x:c r="B7" s="256" t="str">
        <x:v>CAMP</x:v>
      </x:c>
      <x:c r="C7" s="256" t="str">
        <x:v>CAMP</x:v>
      </x:c>
      <x:c r="D7" s="256" t="str">
        <x:v>沿用既有脚本</x:v>
      </x:c>
      <x:c r="E7" s="257" t="n">
        <x:v>0</x:v>
      </x:c>
      <x:c r="F7" s="257" t="n">
        <x:v>0</x:v>
      </x:c>
      <x:c r="G7" s="257" t="n">
        <x:v>1</x:v>
      </x:c>
      <x:c r="H7" s="257" t="n">
        <x:v>0</x:v>
      </x:c>
      <x:c r="I7" s="257" t="n">
        <x:v>0</x:v>
      </x:c>
      <x:c r="J7" s="256" t="str">
        <x:v>是</x:v>
      </x:c>
      <x:c r="K7" s="256" t="str">
        <x:v>02_NPC配方数值!第7行</x:v>
      </x:c>
    </x:row>
    <x:row r="8" ht="36" customHeight="1">
      <x:c r="A8" s="256" t="str">
        <x:v>C01-FATE-SINGLE</x:v>
      </x:c>
      <x:c r="B8" s="256" t="str">
        <x:v>C01</x:v>
      </x:c>
      <x:c r="C8" s="256" t="str">
        <x:v>C01</x:v>
      </x:c>
      <x:c r="D8" s="256" t="str">
        <x:v>付费/深度追求</x:v>
      </x:c>
      <x:c r="E8" s="257" t="n">
        <x:v>0</x:v>
      </x:c>
      <x:c r="F8" s="257" t="n">
        <x:v>500000</x:v>
      </x:c>
      <x:c r="G8" s="257" t="n">
        <x:v>0</x:v>
      </x:c>
      <x:c r="H8" s="257" t="n">
        <x:v>0</x:v>
      </x:c>
      <x:c r="I8" s="257" t="n">
        <x:v>0</x:v>
      </x:c>
      <x:c r="J8" s="256" t="str">
        <x:v>是</x:v>
      </x:c>
      <x:c r="K8" s="256" t="str">
        <x:v>02_NPC配方数值!第8行</x:v>
      </x:c>
    </x:row>
    <x:row r="9" ht="36" customHeight="1">
      <x:c r="A9" s="256" t="str">
        <x:v>C01-FATE-TEN</x:v>
      </x:c>
      <x:c r="B9" s="256" t="str">
        <x:v>C01</x:v>
      </x:c>
      <x:c r="C9" s="256" t="str">
        <x:v>C01</x:v>
      </x:c>
      <x:c r="D9" s="256" t="str">
        <x:v>付费/深度追求</x:v>
      </x:c>
      <x:c r="E9" s="257" t="n">
        <x:v>0</x:v>
      </x:c>
      <x:c r="F9" s="257" t="n">
        <x:v>5000000</x:v>
      </x:c>
      <x:c r="G9" s="257" t="n">
        <x:v>10</x:v>
      </x:c>
      <x:c r="H9" s="257" t="n">
        <x:v>0</x:v>
      </x:c>
      <x:c r="I9" s="257" t="n">
        <x:v>500000000000</x:v>
      </x:c>
      <x:c r="J9" s="256" t="str">
        <x:v>是</x:v>
      </x:c>
      <x:c r="K9" s="256" t="str">
        <x:v>02_NPC配方数值!第9行</x:v>
      </x:c>
    </x:row>
    <x:row r="10" ht="36" customHeight="1">
      <x:c r="A10" s="256" t="str">
        <x:v>C01-FATE-SHOP</x:v>
      </x:c>
      <x:c r="B10" s="256" t="str">
        <x:v>C01</x:v>
      </x:c>
      <x:c r="C10" s="256" t="str">
        <x:v>C01</x:v>
      </x:c>
      <x:c r="D10" s="256" t="str">
        <x:v>付费/深度追求</x:v>
      </x:c>
      <x:c r="E10" s="257" t="n">
        <x:v>0</x:v>
      </x:c>
      <x:c r="F10" s="257" t="n">
        <x:v>0</x:v>
      </x:c>
      <x:c r="G10" s="257" t="n">
        <x:v>0</x:v>
      </x:c>
      <x:c r="H10" s="257" t="n">
        <x:v>0</x:v>
      </x:c>
      <x:c r="I10" s="257" t="n">
        <x:v>0</x:v>
      </x:c>
      <x:c r="J10" s="256" t="str">
        <x:v>是</x:v>
      </x:c>
      <x:c r="K10" s="256" t="str">
        <x:v>02_NPC配方数值!第10行</x:v>
      </x:c>
    </x:row>
    <x:row r="11" ht="36" customHeight="1">
      <x:c r="A11" s="256" t="str">
        <x:v>C01-FATE-SLOT</x:v>
      </x:c>
      <x:c r="B11" s="256" t="str">
        <x:v>C01</x:v>
      </x:c>
      <x:c r="C11" s="256" t="str">
        <x:v>C01</x:v>
      </x:c>
      <x:c r="D11" s="256" t="str">
        <x:v>付费/深度追求</x:v>
      </x:c>
      <x:c r="E11" s="257" t="n">
        <x:v>0</x:v>
      </x:c>
      <x:c r="F11" s="257" t="n">
        <x:v>0</x:v>
      </x:c>
      <x:c r="G11" s="257" t="n">
        <x:v>1</x:v>
      </x:c>
      <x:c r="H11" s="257" t="n">
        <x:v>0</x:v>
      </x:c>
      <x:c r="I11" s="257" t="n">
        <x:v>0</x:v>
      </x:c>
      <x:c r="J11" s="256" t="str">
        <x:v>是</x:v>
      </x:c>
      <x:c r="K11" s="256" t="str">
        <x:v>02_NPC配方数值!第11行</x:v>
      </x:c>
    </x:row>
    <x:row r="12" ht="36" customHeight="1">
      <x:c r="A12" s="256" t="str">
        <x:v>C02-ASH-NORMAL</x:v>
      </x:c>
      <x:c r="B12" s="256" t="str">
        <x:v>C02</x:v>
      </x:c>
      <x:c r="C12" s="256" t="str">
        <x:v>C02</x:v>
      </x:c>
      <x:c r="D12" s="256" t="str">
        <x:v>PVP可选</x:v>
      </x:c>
      <x:c r="E12" s="257" t="n">
        <x:v>0</x:v>
      </x:c>
      <x:c r="F12" s="257" t="n">
        <x:v>5000000</x:v>
      </x:c>
      <x:c r="G12" s="257" t="n">
        <x:v>10</x:v>
      </x:c>
      <x:c r="H12" s="257" t="n">
        <x:v>0</x:v>
      </x:c>
      <x:c r="I12" s="257" t="n">
        <x:v>500000000000</x:v>
      </x:c>
      <x:c r="J12" s="256" t="str">
        <x:v>否</x:v>
      </x:c>
      <x:c r="K12" s="256" t="str">
        <x:v>02_NPC配方数值!第12行</x:v>
      </x:c>
    </x:row>
    <x:row r="13" ht="36" customHeight="1">
      <x:c r="A13" s="256" t="str">
        <x:v>C02-ASH-HIGH</x:v>
      </x:c>
      <x:c r="B13" s="256" t="str">
        <x:v>C02</x:v>
      </x:c>
      <x:c r="C13" s="256" t="str">
        <x:v>C02</x:v>
      </x:c>
      <x:c r="D13" s="256" t="str">
        <x:v>PVP可选</x:v>
      </x:c>
      <x:c r="E13" s="257" t="n">
        <x:v>0</x:v>
      </x:c>
      <x:c r="F13" s="257" t="n">
        <x:v>15000000</x:v>
      </x:c>
      <x:c r="G13" s="257" t="n">
        <x:v>3</x:v>
      </x:c>
      <x:c r="H13" s="257" t="n">
        <x:v>0</x:v>
      </x:c>
      <x:c r="I13" s="257" t="n">
        <x:v>450000000000</x:v>
      </x:c>
      <x:c r="J13" s="256" t="str">
        <x:v>否</x:v>
      </x:c>
      <x:c r="K13" s="256" t="str">
        <x:v>02_NPC配方数值!第13行</x:v>
      </x:c>
    </x:row>
    <x:row r="14" ht="36" customHeight="1">
      <x:c r="A14" s="256" t="str">
        <x:v>C02-ASH-OVERWRITE</x:v>
      </x:c>
      <x:c r="B14" s="256" t="str">
        <x:v>C02</x:v>
      </x:c>
      <x:c r="C14" s="256" t="str">
        <x:v>C02</x:v>
      </x:c>
      <x:c r="D14" s="256" t="str">
        <x:v>PVP可选</x:v>
      </x:c>
      <x:c r="E14" s="257" t="n">
        <x:v>500000000</x:v>
      </x:c>
      <x:c r="F14" s="257" t="n">
        <x:v>0</x:v>
      </x:c>
      <x:c r="G14" s="257" t="n">
        <x:v>2</x:v>
      </x:c>
      <x:c r="H14" s="257" t="n">
        <x:v>10000000000000</x:v>
      </x:c>
      <x:c r="I14" s="257" t="n">
        <x:v>0</x:v>
      </x:c>
      <x:c r="J14" s="256" t="str">
        <x:v>否</x:v>
      </x:c>
      <x:c r="K14" s="256" t="str">
        <x:v>02_NPC配方数值!第14行</x:v>
      </x:c>
    </x:row>
    <x:row r="15" ht="36" customHeight="1">
      <x:c r="A15" s="256" t="str">
        <x:v>C01-SYN-EQ-01</x:v>
      </x:c>
      <x:c r="B15" s="256" t="str">
        <x:v>C01</x:v>
      </x:c>
      <x:c r="C15" s="256" t="str">
        <x:v>C01</x:v>
      </x:c>
      <x:c r="D15" s="256" t="str">
        <x:v>主线/阶段成长</x:v>
      </x:c>
      <x:c r="E15" s="257" t="n">
        <x:v>1600000000</x:v>
      </x:c>
      <x:c r="F15" s="257" t="n">
        <x:v>0</x:v>
      </x:c>
      <x:c r="G15" s="257" t="n">
        <x:v>1</x:v>
      </x:c>
      <x:c r="H15" s="257" t="n">
        <x:v>16000000000000</x:v>
      </x:c>
      <x:c r="I15" s="257" t="n">
        <x:v>0</x:v>
      </x:c>
      <x:c r="J15" s="256" t="str">
        <x:v>是</x:v>
      </x:c>
      <x:c r="K15" s="256" t="str">
        <x:v>02_NPC配方数值!第15行</x:v>
      </x:c>
    </x:row>
    <x:row r="16" ht="36" customHeight="1">
      <x:c r="A16" s="256" t="str">
        <x:v>C02-SYN-EQ-01</x:v>
      </x:c>
      <x:c r="B16" s="256" t="str">
        <x:v>C02</x:v>
      </x:c>
      <x:c r="C16" s="256" t="str">
        <x:v>C02</x:v>
      </x:c>
      <x:c r="D16" s="256" t="str">
        <x:v>主线/阶段成长</x:v>
      </x:c>
      <x:c r="E16" s="257" t="n">
        <x:v>0</x:v>
      </x:c>
      <x:c r="F16" s="257" t="n">
        <x:v>57500000</x:v>
      </x:c>
      <x:c r="G16" s="257" t="n">
        <x:v>1</x:v>
      </x:c>
      <x:c r="H16" s="257" t="n">
        <x:v>0</x:v>
      </x:c>
      <x:c r="I16" s="257" t="n">
        <x:v>575000000000</x:v>
      </x:c>
      <x:c r="J16" s="256" t="str">
        <x:v>是</x:v>
      </x:c>
      <x:c r="K16" s="256" t="str">
        <x:v>02_NPC配方数值!第16行</x:v>
      </x:c>
    </x:row>
    <x:row r="17" ht="36" customHeight="1">
      <x:c r="A17" s="256" t="str">
        <x:v>C02-SYN-EQ-02</x:v>
      </x:c>
      <x:c r="B17" s="256" t="str">
        <x:v>C02</x:v>
      </x:c>
      <x:c r="C17" s="256" t="str">
        <x:v>C02</x:v>
      </x:c>
      <x:c r="D17" s="256" t="str">
        <x:v>主线/阶段成长</x:v>
      </x:c>
      <x:c r="E17" s="257" t="n">
        <x:v>4900000000</x:v>
      </x:c>
      <x:c r="F17" s="257" t="n">
        <x:v>31500000</x:v>
      </x:c>
      <x:c r="G17" s="257" t="n">
        <x:v>1</x:v>
      </x:c>
      <x:c r="H17" s="257" t="n">
        <x:v>49000000000000</x:v>
      </x:c>
      <x:c r="I17" s="257" t="n">
        <x:v>315000000000</x:v>
      </x:c>
      <x:c r="J17" s="256" t="str">
        <x:v>是</x:v>
      </x:c>
      <x:c r="K17" s="256" t="str">
        <x:v>02_NPC配方数值!第17行</x:v>
      </x:c>
    </x:row>
    <x:row r="18" ht="36" customHeight="1">
      <x:c r="A18" s="256" t="str">
        <x:v>C03-SYN-EQ-01</x:v>
      </x:c>
      <x:c r="B18" s="256" t="str">
        <x:v>C03</x:v>
      </x:c>
      <x:c r="C18" s="256" t="str">
        <x:v>C03</x:v>
      </x:c>
      <x:c r="D18" s="256" t="str">
        <x:v>主线/阶段成长</x:v>
      </x:c>
      <x:c r="E18" s="257" t="n">
        <x:v>16000000000</x:v>
      </x:c>
      <x:c r="F18" s="257" t="n">
        <x:v>0</x:v>
      </x:c>
      <x:c r="G18" s="257" t="n">
        <x:v>1</x:v>
      </x:c>
      <x:c r="H18" s="257" t="n">
        <x:v>160000000000000</x:v>
      </x:c>
      <x:c r="I18" s="257" t="n">
        <x:v>0</x:v>
      </x:c>
      <x:c r="J18" s="256" t="str">
        <x:v>是</x:v>
      </x:c>
      <x:c r="K18" s="256" t="str">
        <x:v>02_NPC配方数值!第18行</x:v>
      </x:c>
    </x:row>
    <x:row r="19" ht="36" customHeight="1">
      <x:c r="A19" s="256" t="str">
        <x:v>C03-SYN-EQ-02</x:v>
      </x:c>
      <x:c r="B19" s="256" t="str">
        <x:v>C03</x:v>
      </x:c>
      <x:c r="C19" s="256" t="str">
        <x:v>C03</x:v>
      </x:c>
      <x:c r="D19" s="256" t="str">
        <x:v>主线/阶段成长</x:v>
      </x:c>
      <x:c r="E19" s="257" t="n">
        <x:v>16000000000</x:v>
      </x:c>
      <x:c r="F19" s="257" t="n">
        <x:v>0</x:v>
      </x:c>
      <x:c r="G19" s="257" t="n">
        <x:v>1</x:v>
      </x:c>
      <x:c r="H19" s="257" t="n">
        <x:v>160000000000000</x:v>
      </x:c>
      <x:c r="I19" s="257" t="n">
        <x:v>0</x:v>
      </x:c>
      <x:c r="J19" s="256" t="str">
        <x:v>是</x:v>
      </x:c>
      <x:c r="K19" s="256" t="str">
        <x:v>02_NPC配方数值!第19行</x:v>
      </x:c>
    </x:row>
    <x:row r="20" ht="36" customHeight="1">
      <x:c r="A20" s="256" t="str">
        <x:v>C04-SYN-EQ-01</x:v>
      </x:c>
      <x:c r="B20" s="256" t="str">
        <x:v>C04</x:v>
      </x:c>
      <x:c r="C20" s="256" t="str">
        <x:v>C04</x:v>
      </x:c>
      <x:c r="D20" s="256" t="str">
        <x:v>主线/阶段成长</x:v>
      </x:c>
      <x:c r="E20" s="257" t="n">
        <x:v>11000000000</x:v>
      </x:c>
      <x:c r="F20" s="257" t="n">
        <x:v>96500000</x:v>
      </x:c>
      <x:c r="G20" s="257" t="n">
        <x:v>1</x:v>
      </x:c>
      <x:c r="H20" s="257" t="n">
        <x:v>110000000000000</x:v>
      </x:c>
      <x:c r="I20" s="257" t="n">
        <x:v>965000000000</x:v>
      </x:c>
      <x:c r="J20" s="256" t="str">
        <x:v>是</x:v>
      </x:c>
      <x:c r="K20" s="256" t="str">
        <x:v>02_NPC配方数值!第20行</x:v>
      </x:c>
    </x:row>
    <x:row r="21" ht="36" customHeight="1">
      <x:c r="A21" s="256" t="str">
        <x:v>C04-SYN-EQ-02</x:v>
      </x:c>
      <x:c r="B21" s="256" t="str">
        <x:v>C04</x:v>
      </x:c>
      <x:c r="C21" s="256" t="str">
        <x:v>C04</x:v>
      </x:c>
      <x:c r="D21" s="256" t="str">
        <x:v>主线/阶段成长</x:v>
      </x:c>
      <x:c r="E21" s="257" t="n">
        <x:v>11000000000</x:v>
      </x:c>
      <x:c r="F21" s="257" t="n">
        <x:v>96500000</x:v>
      </x:c>
      <x:c r="G21" s="257" t="n">
        <x:v>1</x:v>
      </x:c>
      <x:c r="H21" s="257" t="n">
        <x:v>110000000000000</x:v>
      </x:c>
      <x:c r="I21" s="257" t="n">
        <x:v>965000000000</x:v>
      </x:c>
      <x:c r="J21" s="256" t="str">
        <x:v>是</x:v>
      </x:c>
      <x:c r="K21" s="256" t="str">
        <x:v>02_NPC配方数值!第21行</x:v>
      </x:c>
    </x:row>
    <x:row r="22" ht="36" customHeight="1">
      <x:c r="A22" s="256" t="str">
        <x:v>C04-SYN-EQ-03</x:v>
      </x:c>
      <x:c r="B22" s="256" t="str">
        <x:v>C04</x:v>
      </x:c>
      <x:c r="C22" s="256" t="str">
        <x:v>C04</x:v>
      </x:c>
      <x:c r="D22" s="256" t="str">
        <x:v>主线/阶段成长</x:v>
      </x:c>
      <x:c r="E22" s="257" t="n">
        <x:v>0</x:v>
      </x:c>
      <x:c r="F22" s="257" t="n">
        <x:v>292000000</x:v>
      </x:c>
      <x:c r="G22" s="257" t="n">
        <x:v>1</x:v>
      </x:c>
      <x:c r="H22" s="257" t="n">
        <x:v>0</x:v>
      </x:c>
      <x:c r="I22" s="257" t="n">
        <x:v>2920000000000</x:v>
      </x:c>
      <x:c r="J22" s="256" t="str">
        <x:v>是</x:v>
      </x:c>
      <x:c r="K22" s="256" t="str">
        <x:v>02_NPC配方数值!第22行</x:v>
      </x:c>
    </x:row>
    <x:row r="23" ht="36" customHeight="1">
      <x:c r="A23" s="256" t="str">
        <x:v>C05-SYN-EQ-01</x:v>
      </x:c>
      <x:c r="B23" s="256" t="str">
        <x:v>C05</x:v>
      </x:c>
      <x:c r="C23" s="256" t="str">
        <x:v>C05</x:v>
      </x:c>
      <x:c r="D23" s="256" t="str">
        <x:v>主线/阶段成长</x:v>
      </x:c>
      <x:c r="E23" s="257" t="n">
        <x:v>0</x:v>
      </x:c>
      <x:c r="F23" s="257" t="n">
        <x:v>496000000</x:v>
      </x:c>
      <x:c r="G23" s="257" t="n">
        <x:v>1</x:v>
      </x:c>
      <x:c r="H23" s="257" t="n">
        <x:v>0</x:v>
      </x:c>
      <x:c r="I23" s="257" t="n">
        <x:v>4960000000000</x:v>
      </x:c>
      <x:c r="J23" s="256" t="str">
        <x:v>是</x:v>
      </x:c>
      <x:c r="K23" s="256" t="str">
        <x:v>02_NPC配方数值!第23行</x:v>
      </x:c>
    </x:row>
    <x:row r="24" ht="36" customHeight="1">
      <x:c r="A24" s="256" t="str">
        <x:v>C05-SYN-EQ-02</x:v>
      </x:c>
      <x:c r="B24" s="256" t="str">
        <x:v>C05</x:v>
      </x:c>
      <x:c r="C24" s="256" t="str">
        <x:v>C05</x:v>
      </x:c>
      <x:c r="D24" s="256" t="str">
        <x:v>主线/阶段成长</x:v>
      </x:c>
      <x:c r="E24" s="257" t="n">
        <x:v>0</x:v>
      </x:c>
      <x:c r="F24" s="257" t="n">
        <x:v>620000000</x:v>
      </x:c>
      <x:c r="G24" s="257" t="n">
        <x:v>1</x:v>
      </x:c>
      <x:c r="H24" s="257" t="n">
        <x:v>0</x:v>
      </x:c>
      <x:c r="I24" s="257" t="n">
        <x:v>6200000000000</x:v>
      </x:c>
      <x:c r="J24" s="256" t="str">
        <x:v>是</x:v>
      </x:c>
      <x:c r="K24" s="256" t="str">
        <x:v>02_NPC配方数值!第24行</x:v>
      </x:c>
    </x:row>
    <x:row r="25" ht="36" customHeight="1">
      <x:c r="A25" s="256" t="str">
        <x:v>C06-SYN-EQ-01</x:v>
      </x:c>
      <x:c r="B25" s="256" t="str">
        <x:v>C06</x:v>
      </x:c>
      <x:c r="C25" s="256" t="str">
        <x:v>C06</x:v>
      </x:c>
      <x:c r="D25" s="256" t="str">
        <x:v>主线/阶段成长</x:v>
      </x:c>
      <x:c r="E25" s="257" t="n">
        <x:v>48500000000</x:v>
      </x:c>
      <x:c r="F25" s="257" t="n">
        <x:v>0</x:v>
      </x:c>
      <x:c r="G25" s="257" t="n">
        <x:v>1</x:v>
      </x:c>
      <x:c r="H25" s="257" t="n">
        <x:v>485000000000000</x:v>
      </x:c>
      <x:c r="I25" s="257" t="n">
        <x:v>0</x:v>
      </x:c>
      <x:c r="J25" s="256" t="str">
        <x:v>是</x:v>
      </x:c>
      <x:c r="K25" s="256" t="str">
        <x:v>02_NPC配方数值!第25行</x:v>
      </x:c>
    </x:row>
    <x:row r="26" ht="36" customHeight="1">
      <x:c r="A26" s="256" t="str">
        <x:v>C06-SYN-EQ-02</x:v>
      </x:c>
      <x:c r="B26" s="256" t="str">
        <x:v>C06</x:v>
      </x:c>
      <x:c r="C26" s="256" t="str">
        <x:v>C06</x:v>
      </x:c>
      <x:c r="D26" s="256" t="str">
        <x:v>主线/阶段成长</x:v>
      </x:c>
      <x:c r="E26" s="257" t="n">
        <x:v>48500000000</x:v>
      </x:c>
      <x:c r="F26" s="257" t="n">
        <x:v>0</x:v>
      </x:c>
      <x:c r="G26" s="257" t="n">
        <x:v>1</x:v>
      </x:c>
      <x:c r="H26" s="257" t="n">
        <x:v>485000000000000</x:v>
      </x:c>
      <x:c r="I26" s="257" t="n">
        <x:v>0</x:v>
      </x:c>
      <x:c r="J26" s="256" t="str">
        <x:v>是</x:v>
      </x:c>
      <x:c r="K26" s="256" t="str">
        <x:v>02_NPC配方数值!第26行</x:v>
      </x:c>
    </x:row>
    <x:row r="27" ht="36" customHeight="1">
      <x:c r="A27" s="256" t="str">
        <x:v>C06-SYN-EQ-03</x:v>
      </x:c>
      <x:c r="B27" s="256" t="str">
        <x:v>C06</x:v>
      </x:c>
      <x:c r="C27" s="256" t="str">
        <x:v>C06</x:v>
      </x:c>
      <x:c r="D27" s="256" t="str">
        <x:v>主线/阶段成长</x:v>
      </x:c>
      <x:c r="E27" s="257" t="n">
        <x:v>44500000000</x:v>
      </x:c>
      <x:c r="F27" s="257" t="n">
        <x:v>372000000</x:v>
      </x:c>
      <x:c r="G27" s="257" t="n">
        <x:v>1</x:v>
      </x:c>
      <x:c r="H27" s="257" t="n">
        <x:v>445000000000000</x:v>
      </x:c>
      <x:c r="I27" s="257" t="n">
        <x:v>3720000000000</x:v>
      </x:c>
      <x:c r="J27" s="256" t="str">
        <x:v>是</x:v>
      </x:c>
      <x:c r="K27" s="256" t="str">
        <x:v>02_NPC配方数值!第27行</x:v>
      </x:c>
    </x:row>
    <x:row r="28" ht="36" customHeight="1">
      <x:c r="A28" s="256" t="str">
        <x:v>C07-SYN-EQ-01</x:v>
      </x:c>
      <x:c r="B28" s="256" t="str">
        <x:v>C07</x:v>
      </x:c>
      <x:c r="C28" s="256" t="str">
        <x:v>C07</x:v>
      </x:c>
      <x:c r="D28" s="256" t="str">
        <x:v>主线/阶段成长</x:v>
      </x:c>
      <x:c r="E28" s="257" t="n">
        <x:v>75000000000</x:v>
      </x:c>
      <x:c r="F28" s="257" t="n">
        <x:v>736000000</x:v>
      </x:c>
      <x:c r="G28" s="257" t="n">
        <x:v>1</x:v>
      </x:c>
      <x:c r="H28" s="257" t="n">
        <x:v>750000000000000</x:v>
      </x:c>
      <x:c r="I28" s="257" t="n">
        <x:v>7360000000000</x:v>
      </x:c>
      <x:c r="J28" s="256" t="str">
        <x:v>是</x:v>
      </x:c>
      <x:c r="K28" s="256" t="str">
        <x:v>02_NPC配方数值!第28行</x:v>
      </x:c>
    </x:row>
    <x:row r="29" ht="36" customHeight="1">
      <x:c r="A29" s="256" t="str">
        <x:v>C07-SYN-EQ-02</x:v>
      </x:c>
      <x:c r="B29" s="256" t="str">
        <x:v>C07</x:v>
      </x:c>
      <x:c r="C29" s="256" t="str">
        <x:v>C07</x:v>
      </x:c>
      <x:c r="D29" s="256" t="str">
        <x:v>主线/阶段成长</x:v>
      </x:c>
      <x:c r="E29" s="257" t="n">
        <x:v>75000000000</x:v>
      </x:c>
      <x:c r="F29" s="257" t="n">
        <x:v>736000000</x:v>
      </x:c>
      <x:c r="G29" s="257" t="n">
        <x:v>1</x:v>
      </x:c>
      <x:c r="H29" s="257" t="n">
        <x:v>750000000000000</x:v>
      </x:c>
      <x:c r="I29" s="257" t="n">
        <x:v>7360000000000</x:v>
      </x:c>
      <x:c r="J29" s="256" t="str">
        <x:v>是</x:v>
      </x:c>
      <x:c r="K29" s="256" t="str">
        <x:v>02_NPC配方数值!第29行</x:v>
      </x:c>
    </x:row>
    <x:row r="30" ht="36" customHeight="1">
      <x:c r="A30" s="256" t="str">
        <x:v>C08-SYN-EQ-01</x:v>
      </x:c>
      <x:c r="B30" s="256" t="str">
        <x:v>C08</x:v>
      </x:c>
      <x:c r="C30" s="256" t="str">
        <x:v>C08</x:v>
      </x:c>
      <x:c r="D30" s="256" t="str">
        <x:v>主线/阶段成长</x:v>
      </x:c>
      <x:c r="E30" s="257" t="n">
        <x:v>99000000000</x:v>
      </x:c>
      <x:c r="F30" s="257" t="n">
        <x:v>0</x:v>
      </x:c>
      <x:c r="G30" s="257" t="n">
        <x:v>1</x:v>
      </x:c>
      <x:c r="H30" s="257" t="n">
        <x:v>990000000000000</x:v>
      </x:c>
      <x:c r="I30" s="257" t="n">
        <x:v>0</x:v>
      </x:c>
      <x:c r="J30" s="256" t="str">
        <x:v>是</x:v>
      </x:c>
      <x:c r="K30" s="256" t="str">
        <x:v>02_NPC配方数值!第30行</x:v>
      </x:c>
    </x:row>
    <x:row r="31" ht="36" customHeight="1">
      <x:c r="A31" s="256" t="str">
        <x:v>C08-SYN-EQ-02</x:v>
      </x:c>
      <x:c r="B31" s="256" t="str">
        <x:v>C08</x:v>
      </x:c>
      <x:c r="C31" s="256" t="str">
        <x:v>C08</x:v>
      </x:c>
      <x:c r="D31" s="256" t="str">
        <x:v>主线/阶段成长</x:v>
      </x:c>
      <x:c r="E31" s="257" t="n">
        <x:v>99000000000</x:v>
      </x:c>
      <x:c r="F31" s="257" t="n">
        <x:v>0</x:v>
      </x:c>
      <x:c r="G31" s="257" t="n">
        <x:v>1</x:v>
      </x:c>
      <x:c r="H31" s="257" t="n">
        <x:v>990000000000000</x:v>
      </x:c>
      <x:c r="I31" s="257" t="n">
        <x:v>0</x:v>
      </x:c>
      <x:c r="J31" s="256" t="str">
        <x:v>是</x:v>
      </x:c>
      <x:c r="K31" s="256" t="str">
        <x:v>02_NPC配方数值!第31行</x:v>
      </x:c>
    </x:row>
    <x:row r="32" ht="36" customHeight="1">
      <x:c r="A32" s="256" t="str">
        <x:v>C08-SYN-EQ-03</x:v>
      </x:c>
      <x:c r="B32" s="256" t="str">
        <x:v>C08</x:v>
      </x:c>
      <x:c r="C32" s="256" t="str">
        <x:v>C08</x:v>
      </x:c>
      <x:c r="D32" s="256" t="str">
        <x:v>主线/阶段成长</x:v>
      </x:c>
      <x:c r="E32" s="257" t="n">
        <x:v>91000000000</x:v>
      </x:c>
      <x:c r="F32" s="257" t="n">
        <x:v>779000000</x:v>
      </x:c>
      <x:c r="G32" s="257" t="n">
        <x:v>1</x:v>
      </x:c>
      <x:c r="H32" s="257" t="n">
        <x:v>910000000000000</x:v>
      </x:c>
      <x:c r="I32" s="257" t="n">
        <x:v>7790000000000</x:v>
      </x:c>
      <x:c r="J32" s="256" t="str">
        <x:v>是</x:v>
      </x:c>
      <x:c r="K32" s="256" t="str">
        <x:v>02_NPC配方数值!第32行</x:v>
      </x:c>
    </x:row>
    <x:row r="33" ht="36" customHeight="1">
      <x:c r="A33" s="256" t="str">
        <x:v>C09-SYN-EQ-01</x:v>
      </x:c>
      <x:c r="B33" s="256" t="str">
        <x:v>C09</x:v>
      </x:c>
      <x:c r="C33" s="256" t="str">
        <x:v>C09</x:v>
      </x:c>
      <x:c r="D33" s="256" t="str">
        <x:v>主线/阶段成长</x:v>
      </x:c>
      <x:c r="E33" s="257" t="n">
        <x:v>0</x:v>
      </x:c>
      <x:c r="F33" s="257" t="n">
        <x:v>2840000000</x:v>
      </x:c>
      <x:c r="G33" s="257" t="n">
        <x:v>1</x:v>
      </x:c>
      <x:c r="H33" s="257" t="n">
        <x:v>0</x:v>
      </x:c>
      <x:c r="I33" s="257" t="n">
        <x:v>28400000000000</x:v>
      </x:c>
      <x:c r="J33" s="256" t="str">
        <x:v>是</x:v>
      </x:c>
      <x:c r="K33" s="256" t="str">
        <x:v>02_NPC配方数值!第33行</x:v>
      </x:c>
    </x:row>
    <x:row r="34" ht="36" customHeight="1">
      <x:c r="A34" s="256" t="str">
        <x:v>C09-SYN-EQ-02</x:v>
      </x:c>
      <x:c r="B34" s="256" t="str">
        <x:v>C09</x:v>
      </x:c>
      <x:c r="C34" s="256" t="str">
        <x:v>C09</x:v>
      </x:c>
      <x:c r="D34" s="256" t="str">
        <x:v>主线/阶段成长</x:v>
      </x:c>
      <x:c r="E34" s="257" t="n">
        <x:v>0</x:v>
      </x:c>
      <x:c r="F34" s="257" t="n">
        <x:v>3550000000</x:v>
      </x:c>
      <x:c r="G34" s="257" t="n">
        <x:v>1</x:v>
      </x:c>
      <x:c r="H34" s="257" t="n">
        <x:v>0</x:v>
      </x:c>
      <x:c r="I34" s="257" t="n">
        <x:v>35500000000000</x:v>
      </x:c>
      <x:c r="J34" s="256" t="str">
        <x:v>是</x:v>
      </x:c>
      <x:c r="K34" s="256" t="str">
        <x:v>02_NPC配方数值!第34行</x:v>
      </x:c>
    </x:row>
    <x:row r="35" ht="36" customHeight="1">
      <x:c r="A35" s="256" t="str">
        <x:v>C10-SYN-EQ-01</x:v>
      </x:c>
      <x:c r="B35" s="256" t="str">
        <x:v>C10</x:v>
      </x:c>
      <x:c r="C35" s="256" t="str">
        <x:v>C10</x:v>
      </x:c>
      <x:c r="D35" s="256" t="str">
        <x:v>主线/阶段成长</x:v>
      </x:c>
      <x:c r="E35" s="257" t="n">
        <x:v>136000000000</x:v>
      </x:c>
      <x:c r="F35" s="257" t="n">
        <x:v>1620000000</x:v>
      </x:c>
      <x:c r="G35" s="257" t="n">
        <x:v>1</x:v>
      </x:c>
      <x:c r="H35" s="257" t="n">
        <x:v>1360000000000000</x:v>
      </x:c>
      <x:c r="I35" s="257" t="n">
        <x:v>16200000000000</x:v>
      </x:c>
      <x:c r="J35" s="256" t="str">
        <x:v>是</x:v>
      </x:c>
      <x:c r="K35" s="256" t="str">
        <x:v>02_NPC配方数值!第35行</x:v>
      </x:c>
    </x:row>
    <x:row r="36" ht="36" customHeight="1">
      <x:c r="A36" s="256" t="str">
        <x:v>C10-SYN-EQ-02</x:v>
      </x:c>
      <x:c r="B36" s="256" t="str">
        <x:v>C10</x:v>
      </x:c>
      <x:c r="C36" s="256" t="str">
        <x:v>C10</x:v>
      </x:c>
      <x:c r="D36" s="256" t="str">
        <x:v>主线/阶段成长</x:v>
      </x:c>
      <x:c r="E36" s="257" t="n">
        <x:v>170000000000</x:v>
      </x:c>
      <x:c r="F36" s="257" t="n">
        <x:v>2030000000</x:v>
      </x:c>
      <x:c r="G36" s="257" t="n">
        <x:v>1</x:v>
      </x:c>
      <x:c r="H36" s="257" t="n">
        <x:v>1700000000000000</x:v>
      </x:c>
      <x:c r="I36" s="257" t="n">
        <x:v>20300000000000</x:v>
      </x:c>
      <x:c r="J36" s="256" t="str">
        <x:v>是</x:v>
      </x:c>
      <x:c r="K36" s="256" t="str">
        <x:v>02_NPC配方数值!第36行</x:v>
      </x:c>
    </x:row>
    <x:row r="37" ht="36" customHeight="1">
      <x:c r="A37" s="256" t="str">
        <x:v>C10-SYN-EQ-03</x:v>
      </x:c>
      <x:c r="B37" s="256" t="str">
        <x:v>C10</x:v>
      </x:c>
      <x:c r="C37" s="256" t="str">
        <x:v>C10</x:v>
      </x:c>
      <x:c r="D37" s="256" t="str">
        <x:v>主线/阶段成长</x:v>
      </x:c>
      <x:c r="E37" s="257" t="n">
        <x:v>170000000000</x:v>
      </x:c>
      <x:c r="F37" s="257" t="n">
        <x:v>2030000000</x:v>
      </x:c>
      <x:c r="G37" s="257" t="n">
        <x:v>1</x:v>
      </x:c>
      <x:c r="H37" s="257" t="n">
        <x:v>1700000000000000</x:v>
      </x:c>
      <x:c r="I37" s="257" t="n">
        <x:v>20300000000000</x:v>
      </x:c>
      <x:c r="J37" s="256" t="str">
        <x:v>是</x:v>
      </x:c>
      <x:c r="K37" s="256" t="str">
        <x:v>02_NPC配方数值!第37行</x:v>
      </x:c>
    </x:row>
    <x:row r="38" ht="36" customHeight="1">
      <x:c r="A38" s="256" t="str">
        <x:v>C01-SYN-ZD-01</x:v>
      </x:c>
      <x:c r="B38" s="256" t="str">
        <x:v>C01</x:v>
      </x:c>
      <x:c r="C38" s="256" t="str">
        <x:v>C02</x:v>
      </x:c>
      <x:c r="D38" s="256" t="str">
        <x:v>可选/回访合成</x:v>
      </x:c>
      <x:c r="E38" s="257" t="n">
        <x:v>1100000000</x:v>
      </x:c>
      <x:c r="F38" s="257" t="n">
        <x:v>0</x:v>
      </x:c>
      <x:c r="G38" s="257" t="n">
        <x:v>1</x:v>
      </x:c>
      <x:c r="H38" s="257" t="n">
        <x:v>11000000000000</x:v>
      </x:c>
      <x:c r="I38" s="257" t="n">
        <x:v>0</x:v>
      </x:c>
      <x:c r="J38" s="256" t="str">
        <x:v>是</x:v>
      </x:c>
      <x:c r="K38" s="256" t="str">
        <x:v>02_NPC配方数值!第38行</x:v>
      </x:c>
    </x:row>
    <x:row r="39" ht="36" customHeight="1">
      <x:c r="A39" s="256" t="str">
        <x:v>C02-SYN-ZD-01</x:v>
      </x:c>
      <x:c r="B39" s="256" t="str">
        <x:v>C02</x:v>
      </x:c>
      <x:c r="C39" s="256" t="str">
        <x:v>C02</x:v>
      </x:c>
      <x:c r="D39" s="256" t="str">
        <x:v>主线/阶段成长</x:v>
      </x:c>
      <x:c r="E39" s="257" t="n">
        <x:v>0</x:v>
      </x:c>
      <x:c r="F39" s="257" t="n">
        <x:v>38000000</x:v>
      </x:c>
      <x:c r="G39" s="257" t="n">
        <x:v>1</x:v>
      </x:c>
      <x:c r="H39" s="257" t="n">
        <x:v>0</x:v>
      </x:c>
      <x:c r="I39" s="257" t="n">
        <x:v>380000000000</x:v>
      </x:c>
      <x:c r="J39" s="256" t="str">
        <x:v>是</x:v>
      </x:c>
      <x:c r="K39" s="256" t="str">
        <x:v>02_NPC配方数值!第39行</x:v>
      </x:c>
    </x:row>
    <x:row r="40" ht="36" customHeight="1">
      <x:c r="A40" s="256" t="str">
        <x:v>C03-SYN-ZD-01</x:v>
      </x:c>
      <x:c r="B40" s="256" t="str">
        <x:v>C03</x:v>
      </x:c>
      <x:c r="C40" s="256" t="str">
        <x:v>C03</x:v>
      </x:c>
      <x:c r="D40" s="256" t="str">
        <x:v>主线/阶段成长</x:v>
      </x:c>
      <x:c r="E40" s="257" t="n">
        <x:v>10500000000</x:v>
      </x:c>
      <x:c r="F40" s="257" t="n">
        <x:v>0</x:v>
      </x:c>
      <x:c r="G40" s="257" t="n">
        <x:v>1</x:v>
      </x:c>
      <x:c r="H40" s="257" t="n">
        <x:v>105000000000000</x:v>
      </x:c>
      <x:c r="I40" s="257" t="n">
        <x:v>0</x:v>
      </x:c>
      <x:c r="J40" s="256" t="str">
        <x:v>是</x:v>
      </x:c>
      <x:c r="K40" s="256" t="str">
        <x:v>02_NPC配方数值!第40行</x:v>
      </x:c>
    </x:row>
    <x:row r="41" ht="36" customHeight="1">
      <x:c r="A41" s="256" t="str">
        <x:v>C04-SYN-ZD-01</x:v>
      </x:c>
      <x:c r="B41" s="256" t="str">
        <x:v>C04</x:v>
      </x:c>
      <x:c r="C41" s="256" t="str">
        <x:v>C04</x:v>
      </x:c>
      <x:c r="D41" s="256" t="str">
        <x:v>主线/阶段成长</x:v>
      </x:c>
      <x:c r="E41" s="257" t="n">
        <x:v>7400000000</x:v>
      </x:c>
      <x:c r="F41" s="257" t="n">
        <x:v>64500000</x:v>
      </x:c>
      <x:c r="G41" s="257" t="n">
        <x:v>1</x:v>
      </x:c>
      <x:c r="H41" s="257" t="n">
        <x:v>74000000000000</x:v>
      </x:c>
      <x:c r="I41" s="257" t="n">
        <x:v>645000000000</x:v>
      </x:c>
      <x:c r="J41" s="256" t="str">
        <x:v>是</x:v>
      </x:c>
      <x:c r="K41" s="256" t="str">
        <x:v>02_NPC配方数值!第41行</x:v>
      </x:c>
    </x:row>
    <x:row r="42" ht="36" customHeight="1">
      <x:c r="A42" s="256" t="str">
        <x:v>C05-SYN-ZD-01</x:v>
      </x:c>
      <x:c r="B42" s="256" t="str">
        <x:v>C05</x:v>
      </x:c>
      <x:c r="C42" s="256" t="str">
        <x:v>C05</x:v>
      </x:c>
      <x:c r="D42" s="256" t="str">
        <x:v>主线/阶段成长</x:v>
      </x:c>
      <x:c r="E42" s="257" t="n">
        <x:v>0</x:v>
      </x:c>
      <x:c r="F42" s="257" t="n">
        <x:v>248000000</x:v>
      </x:c>
      <x:c r="G42" s="257" t="n">
        <x:v>1</x:v>
      </x:c>
      <x:c r="H42" s="257" t="n">
        <x:v>0</x:v>
      </x:c>
      <x:c r="I42" s="257" t="n">
        <x:v>2480000000000</x:v>
      </x:c>
      <x:c r="J42" s="256" t="str">
        <x:v>是</x:v>
      </x:c>
      <x:c r="K42" s="256" t="str">
        <x:v>02_NPC配方数值!第42行</x:v>
      </x:c>
    </x:row>
    <x:row r="43" ht="36" customHeight="1">
      <x:c r="A43" s="256" t="str">
        <x:v>C06-SYN-ZD-01</x:v>
      </x:c>
      <x:c r="B43" s="256" t="str">
        <x:v>C06</x:v>
      </x:c>
      <x:c r="C43" s="256" t="str">
        <x:v>C06</x:v>
      </x:c>
      <x:c r="D43" s="256" t="str">
        <x:v>主线/阶段成长</x:v>
      </x:c>
      <x:c r="E43" s="257" t="n">
        <x:v>32500000000</x:v>
      </x:c>
      <x:c r="F43" s="257" t="n">
        <x:v>0</x:v>
      </x:c>
      <x:c r="G43" s="257" t="n">
        <x:v>1</x:v>
      </x:c>
      <x:c r="H43" s="257" t="n">
        <x:v>325000000000000</x:v>
      </x:c>
      <x:c r="I43" s="257" t="n">
        <x:v>0</x:v>
      </x:c>
      <x:c r="J43" s="256" t="str">
        <x:v>是</x:v>
      </x:c>
      <x:c r="K43" s="256" t="str">
        <x:v>02_NPC配方数值!第43行</x:v>
      </x:c>
    </x:row>
    <x:row r="44" ht="36" customHeight="1">
      <x:c r="A44" s="256" t="str">
        <x:v>C07-SYN-ZD-01</x:v>
      </x:c>
      <x:c r="B44" s="256" t="str">
        <x:v>C07</x:v>
      </x:c>
      <x:c r="C44" s="256" t="str">
        <x:v>C07</x:v>
      </x:c>
      <x:c r="D44" s="256" t="str">
        <x:v>主线/阶段成长</x:v>
      </x:c>
      <x:c r="E44" s="257" t="n">
        <x:v>30000000000</x:v>
      </x:c>
      <x:c r="F44" s="257" t="n">
        <x:v>295000000</x:v>
      </x:c>
      <x:c r="G44" s="257" t="n">
        <x:v>1</x:v>
      </x:c>
      <x:c r="H44" s="257" t="n">
        <x:v>300000000000000</x:v>
      </x:c>
      <x:c r="I44" s="257" t="n">
        <x:v>2950000000000</x:v>
      </x:c>
      <x:c r="J44" s="256" t="str">
        <x:v>是</x:v>
      </x:c>
      <x:c r="K44" s="256" t="str">
        <x:v>02_NPC配方数值!第44行</x:v>
      </x:c>
    </x:row>
    <x:row r="45" ht="36" customHeight="1">
      <x:c r="A45" s="256" t="str">
        <x:v>C08-SYN-ZD-01</x:v>
      </x:c>
      <x:c r="B45" s="256" t="str">
        <x:v>C08</x:v>
      </x:c>
      <x:c r="C45" s="256" t="str">
        <x:v>C08</x:v>
      </x:c>
      <x:c r="D45" s="256" t="str">
        <x:v>主线/阶段成长</x:v>
      </x:c>
      <x:c r="E45" s="257" t="n">
        <x:v>66000000000</x:v>
      </x:c>
      <x:c r="F45" s="257" t="n">
        <x:v>0</x:v>
      </x:c>
      <x:c r="G45" s="257" t="n">
        <x:v>1</x:v>
      </x:c>
      <x:c r="H45" s="257" t="n">
        <x:v>660000000000000</x:v>
      </x:c>
      <x:c r="I45" s="257" t="n">
        <x:v>0</x:v>
      </x:c>
      <x:c r="J45" s="256" t="str">
        <x:v>是</x:v>
      </x:c>
      <x:c r="K45" s="256" t="str">
        <x:v>02_NPC配方数值!第45行</x:v>
      </x:c>
    </x:row>
    <x:row r="46" ht="36" customHeight="1">
      <x:c r="A46" s="256" t="str">
        <x:v>C09-SYN-ZD-01</x:v>
      </x:c>
      <x:c r="B46" s="256" t="str">
        <x:v>C09</x:v>
      </x:c>
      <x:c r="C46" s="256" t="str">
        <x:v>C09</x:v>
      </x:c>
      <x:c r="D46" s="256" t="str">
        <x:v>主线/阶段成长</x:v>
      </x:c>
      <x:c r="E46" s="257" t="n">
        <x:v>0</x:v>
      </x:c>
      <x:c r="F46" s="257" t="n">
        <x:v>1420000000</x:v>
      </x:c>
      <x:c r="G46" s="257" t="n">
        <x:v>1</x:v>
      </x:c>
      <x:c r="H46" s="257" t="n">
        <x:v>0</x:v>
      </x:c>
      <x:c r="I46" s="257" t="n">
        <x:v>14200000000000</x:v>
      </x:c>
      <x:c r="J46" s="256" t="str">
        <x:v>是</x:v>
      </x:c>
      <x:c r="K46" s="256" t="str">
        <x:v>02_NPC配方数值!第46行</x:v>
      </x:c>
    </x:row>
    <x:row r="47" ht="36" customHeight="1">
      <x:c r="A47" s="256" t="str">
        <x:v>C10-SYN-ZD-01</x:v>
      </x:c>
      <x:c r="B47" s="256" t="str">
        <x:v>C10</x:v>
      </x:c>
      <x:c r="C47" s="256" t="str">
        <x:v>C10</x:v>
      </x:c>
      <x:c r="D47" s="256" t="str">
        <x:v>主线/阶段成长</x:v>
      </x:c>
      <x:c r="E47" s="257" t="n">
        <x:v>68000000000</x:v>
      </x:c>
      <x:c r="F47" s="257" t="n">
        <x:v>812000000</x:v>
      </x:c>
      <x:c r="G47" s="257" t="n">
        <x:v>1</x:v>
      </x:c>
      <x:c r="H47" s="257" t="n">
        <x:v>680000000000000</x:v>
      </x:c>
      <x:c r="I47" s="257" t="n">
        <x:v>8120000000000</x:v>
      </x:c>
      <x:c r="J47" s="256" t="str">
        <x:v>是</x:v>
      </x:c>
      <x:c r="K47" s="256" t="str">
        <x:v>02_NPC配方数值!第47行</x:v>
      </x:c>
    </x:row>
    <x:row r="48" ht="36" customHeight="1">
      <x:c r="A48" s="256" t="str">
        <x:v>C01-SYN-TT-01</x:v>
      </x:c>
      <x:c r="B48" s="256" t="str">
        <x:v>C01</x:v>
      </x:c>
      <x:c r="C48" s="256" t="str">
        <x:v>C01</x:v>
      </x:c>
      <x:c r="D48" s="256" t="str">
        <x:v>主线/阶段成长</x:v>
      </x:c>
      <x:c r="E48" s="257" t="n">
        <x:v>1200000000</x:v>
      </x:c>
      <x:c r="F48" s="257" t="n">
        <x:v>11500000</x:v>
      </x:c>
      <x:c r="G48" s="257" t="n">
        <x:v>1</x:v>
      </x:c>
      <x:c r="H48" s="257" t="n">
        <x:v>12000000000000</x:v>
      </x:c>
      <x:c r="I48" s="257" t="n">
        <x:v>115000000000</x:v>
      </x:c>
      <x:c r="J48" s="256" t="str">
        <x:v>是</x:v>
      </x:c>
      <x:c r="K48" s="256" t="str">
        <x:v>02_NPC配方数值!第48行</x:v>
      </x:c>
    </x:row>
    <x:row r="49" ht="36" customHeight="1">
      <x:c r="A49" s="256" t="str">
        <x:v>C03-SYN-TT-01</x:v>
      </x:c>
      <x:c r="B49" s="256" t="str">
        <x:v>C03</x:v>
      </x:c>
      <x:c r="C49" s="256" t="str">
        <x:v>C03</x:v>
      </x:c>
      <x:c r="D49" s="256" t="str">
        <x:v>主线/阶段成长</x:v>
      </x:c>
      <x:c r="E49" s="257" t="n">
        <x:v>21000000000</x:v>
      </x:c>
      <x:c r="F49" s="257" t="n">
        <x:v>0</x:v>
      </x:c>
      <x:c r="G49" s="257" t="n">
        <x:v>1</x:v>
      </x:c>
      <x:c r="H49" s="257" t="n">
        <x:v>210000000000000</x:v>
      </x:c>
      <x:c r="I49" s="257" t="n">
        <x:v>0</x:v>
      </x:c>
      <x:c r="J49" s="256" t="str">
        <x:v>是</x:v>
      </x:c>
      <x:c r="K49" s="256" t="str">
        <x:v>02_NPC配方数值!第49行</x:v>
      </x:c>
    </x:row>
    <x:row r="50" ht="36" customHeight="1">
      <x:c r="A50" s="256" t="str">
        <x:v>C05-SYN-TT-01</x:v>
      </x:c>
      <x:c r="B50" s="256" t="str">
        <x:v>C05</x:v>
      </x:c>
      <x:c r="C50" s="256" t="str">
        <x:v>C05</x:v>
      </x:c>
      <x:c r="D50" s="256" t="str">
        <x:v>主线/阶段成长</x:v>
      </x:c>
      <x:c r="E50" s="257" t="n">
        <x:v>0</x:v>
      </x:c>
      <x:c r="F50" s="257" t="n">
        <x:v>496000000</x:v>
      </x:c>
      <x:c r="G50" s="257" t="n">
        <x:v>1</x:v>
      </x:c>
      <x:c r="H50" s="257" t="n">
        <x:v>0</x:v>
      </x:c>
      <x:c r="I50" s="257" t="n">
        <x:v>4960000000000</x:v>
      </x:c>
      <x:c r="J50" s="256" t="str">
        <x:v>是</x:v>
      </x:c>
      <x:c r="K50" s="256" t="str">
        <x:v>02_NPC配方数值!第50行</x:v>
      </x:c>
    </x:row>
    <x:row r="51" ht="36" customHeight="1">
      <x:c r="A51" s="256" t="str">
        <x:v>C07-SYN-TT-01</x:v>
      </x:c>
      <x:c r="B51" s="256" t="str">
        <x:v>C07</x:v>
      </x:c>
      <x:c r="C51" s="256" t="str">
        <x:v>C07</x:v>
      </x:c>
      <x:c r="D51" s="256" t="str">
        <x:v>主线/阶段成长</x:v>
      </x:c>
      <x:c r="E51" s="257" t="n">
        <x:v>60000000000</x:v>
      </x:c>
      <x:c r="F51" s="257" t="n">
        <x:v>589000000</x:v>
      </x:c>
      <x:c r="G51" s="257" t="n">
        <x:v>1</x:v>
      </x:c>
      <x:c r="H51" s="257" t="n">
        <x:v>600000000000000</x:v>
      </x:c>
      <x:c r="I51" s="257" t="n">
        <x:v>5890000000000</x:v>
      </x:c>
      <x:c r="J51" s="256" t="str">
        <x:v>是</x:v>
      </x:c>
      <x:c r="K51" s="256" t="str">
        <x:v>02_NPC配方数值!第51行</x:v>
      </x:c>
    </x:row>
    <x:row r="52" ht="36" customHeight="1">
      <x:c r="A52" s="256" t="str">
        <x:v>C09-SYN-TT-01</x:v>
      </x:c>
      <x:c r="B52" s="256" t="str">
        <x:v>C09</x:v>
      </x:c>
      <x:c r="C52" s="256" t="str">
        <x:v>C09</x:v>
      </x:c>
      <x:c r="D52" s="256" t="str">
        <x:v>主线/阶段成长</x:v>
      </x:c>
      <x:c r="E52" s="257" t="n">
        <x:v>0</x:v>
      </x:c>
      <x:c r="F52" s="257" t="n">
        <x:v>2840000000</x:v>
      </x:c>
      <x:c r="G52" s="257" t="n">
        <x:v>1</x:v>
      </x:c>
      <x:c r="H52" s="257" t="n">
        <x:v>0</x:v>
      </x:c>
      <x:c r="I52" s="257" t="n">
        <x:v>28400000000000</x:v>
      </x:c>
      <x:c r="J52" s="256" t="str">
        <x:v>是</x:v>
      </x:c>
      <x:c r="K52" s="256" t="str">
        <x:v>02_NPC配方数值!第52行</x:v>
      </x:c>
    </x:row>
    <x:row r="53" ht="36" customHeight="1">
      <x:c r="A53" s="256" t="str">
        <x:v>C10-SYN-TT-01</x:v>
      </x:c>
      <x:c r="B53" s="256" t="str">
        <x:v>C10</x:v>
      </x:c>
      <x:c r="C53" s="256" t="str">
        <x:v>C10</x:v>
      </x:c>
      <x:c r="D53" s="256" t="str">
        <x:v>主线/阶段成长</x:v>
      </x:c>
      <x:c r="E53" s="257" t="n">
        <x:v>136000000000</x:v>
      </x:c>
      <x:c r="F53" s="257" t="n">
        <x:v>1620000000</x:v>
      </x:c>
      <x:c r="G53" s="257" t="n">
        <x:v>1</x:v>
      </x:c>
      <x:c r="H53" s="257" t="n">
        <x:v>1360000000000000</x:v>
      </x:c>
      <x:c r="I53" s="257" t="n">
        <x:v>16200000000000</x:v>
      </x:c>
      <x:c r="J53" s="256" t="str">
        <x:v>是</x:v>
      </x:c>
      <x:c r="K53" s="256" t="str">
        <x:v>02_NPC配方数值!第53行</x:v>
      </x:c>
    </x:row>
    <x:row r="54" ht="36" customHeight="1">
      <x:c r="A54" s="256" t="str">
        <x:v>C02-AOE-LV1</x:v>
      </x:c>
      <x:c r="B54" s="256" t="str">
        <x:v>C02</x:v>
      </x:c>
      <x:c r="C54" s="256" t="str">
        <x:v>C02</x:v>
      </x:c>
      <x:c r="D54" s="256" t="str">
        <x:v>主线/阶段成长</x:v>
      </x:c>
      <x:c r="E54" s="257" t="n">
        <x:v>0</x:v>
      </x:c>
      <x:c r="F54" s="257" t="n">
        <x:v>57500000</x:v>
      </x:c>
      <x:c r="G54" s="257" t="n">
        <x:v>1</x:v>
      </x:c>
      <x:c r="H54" s="257" t="n">
        <x:v>0</x:v>
      </x:c>
      <x:c r="I54" s="257" t="n">
        <x:v>575000000000</x:v>
      </x:c>
      <x:c r="J54" s="256" t="str">
        <x:v>是</x:v>
      </x:c>
      <x:c r="K54" s="256" t="str">
        <x:v>02_NPC配方数值!第54行</x:v>
      </x:c>
    </x:row>
    <x:row r="55" ht="36" customHeight="1">
      <x:c r="A55" s="256" t="str">
        <x:v>C03-AOE-LV2</x:v>
      </x:c>
      <x:c r="B55" s="256" t="str">
        <x:v>C03</x:v>
      </x:c>
      <x:c r="C55" s="256" t="str">
        <x:v>C03</x:v>
      </x:c>
      <x:c r="D55" s="256" t="str">
        <x:v>主线/阶段成长</x:v>
      </x:c>
      <x:c r="E55" s="257" t="n">
        <x:v>16000000000</x:v>
      </x:c>
      <x:c r="F55" s="257" t="n">
        <x:v>0</x:v>
      </x:c>
      <x:c r="G55" s="257" t="n">
        <x:v>1</x:v>
      </x:c>
      <x:c r="H55" s="257" t="n">
        <x:v>160000000000000</x:v>
      </x:c>
      <x:c r="I55" s="257" t="n">
        <x:v>0</x:v>
      </x:c>
      <x:c r="J55" s="256" t="str">
        <x:v>是</x:v>
      </x:c>
      <x:c r="K55" s="256" t="str">
        <x:v>02_NPC配方数值!第55行</x:v>
      </x:c>
    </x:row>
    <x:row r="56" ht="36" customHeight="1">
      <x:c r="A56" s="256" t="str">
        <x:v>C05-AOE-LV3</x:v>
      </x:c>
      <x:c r="B56" s="256" t="str">
        <x:v>C05</x:v>
      </x:c>
      <x:c r="C56" s="256" t="str">
        <x:v>C05</x:v>
      </x:c>
      <x:c r="D56" s="256" t="str">
        <x:v>主线/阶段成长</x:v>
      </x:c>
      <x:c r="E56" s="257" t="n">
        <x:v>0</x:v>
      </x:c>
      <x:c r="F56" s="257" t="n">
        <x:v>372000000</x:v>
      </x:c>
      <x:c r="G56" s="257" t="n">
        <x:v>1</x:v>
      </x:c>
      <x:c r="H56" s="257" t="n">
        <x:v>0</x:v>
      </x:c>
      <x:c r="I56" s="257" t="n">
        <x:v>3720000000000</x:v>
      </x:c>
      <x:c r="J56" s="256" t="str">
        <x:v>是</x:v>
      </x:c>
      <x:c r="K56" s="256" t="str">
        <x:v>02_NPC配方数值!第56行</x:v>
      </x:c>
    </x:row>
    <x:row r="57" ht="36" customHeight="1">
      <x:c r="A57" s="256" t="str">
        <x:v>C07-AOE-LV4</x:v>
      </x:c>
      <x:c r="B57" s="256" t="str">
        <x:v>C07</x:v>
      </x:c>
      <x:c r="C57" s="256" t="str">
        <x:v>C07</x:v>
      </x:c>
      <x:c r="D57" s="256" t="str">
        <x:v>主线/阶段成长</x:v>
      </x:c>
      <x:c r="E57" s="257" t="n">
        <x:v>45000000000</x:v>
      </x:c>
      <x:c r="F57" s="257" t="n">
        <x:v>442000000</x:v>
      </x:c>
      <x:c r="G57" s="257" t="n">
        <x:v>1</x:v>
      </x:c>
      <x:c r="H57" s="257" t="n">
        <x:v>450000000000000</x:v>
      </x:c>
      <x:c r="I57" s="257" t="n">
        <x:v>4420000000000</x:v>
      </x:c>
      <x:c r="J57" s="256" t="str">
        <x:v>是</x:v>
      </x:c>
      <x:c r="K57" s="256" t="str">
        <x:v>02_NPC配方数值!第57行</x:v>
      </x:c>
    </x:row>
    <x:row r="58" ht="36" customHeight="1">
      <x:c r="A58" s="256" t="str">
        <x:v>C09-AOE-LV5</x:v>
      </x:c>
      <x:c r="B58" s="256" t="str">
        <x:v>C09</x:v>
      </x:c>
      <x:c r="C58" s="256" t="str">
        <x:v>C09</x:v>
      </x:c>
      <x:c r="D58" s="256" t="str">
        <x:v>主线/阶段成长</x:v>
      </x:c>
      <x:c r="E58" s="257" t="n">
        <x:v>0</x:v>
      </x:c>
      <x:c r="F58" s="257" t="n">
        <x:v>2130000000</x:v>
      </x:c>
      <x:c r="G58" s="257" t="n">
        <x:v>1</x:v>
      </x:c>
      <x:c r="H58" s="257" t="n">
        <x:v>0</x:v>
      </x:c>
      <x:c r="I58" s="257" t="n">
        <x:v>21300000000000</x:v>
      </x:c>
      <x:c r="J58" s="256" t="str">
        <x:v>是</x:v>
      </x:c>
      <x:c r="K58" s="256" t="str">
        <x:v>02_NPC配方数值!第58行</x:v>
      </x:c>
    </x:row>
    <x:row r="59" ht="36" customHeight="1">
      <x:c r="A59" s="256" t="str">
        <x:v>C04-REBIRTH-01</x:v>
      </x:c>
      <x:c r="B59" s="256" t="str">
        <x:v>C04</x:v>
      </x:c>
      <x:c r="C59" s="256" t="str">
        <x:v>C04</x:v>
      </x:c>
      <x:c r="D59" s="256" t="str">
        <x:v>主线/阶段成长</x:v>
      </x:c>
      <x:c r="E59" s="257" t="n">
        <x:v>5500000000</x:v>
      </x:c>
      <x:c r="F59" s="257" t="n">
        <x:v>48000000</x:v>
      </x:c>
      <x:c r="G59" s="257" t="n">
        <x:v>1</x:v>
      </x:c>
      <x:c r="H59" s="257" t="n">
        <x:v>55000000000000</x:v>
      </x:c>
      <x:c r="I59" s="257" t="n">
        <x:v>480000000000</x:v>
      </x:c>
      <x:c r="J59" s="256" t="str">
        <x:v>是</x:v>
      </x:c>
      <x:c r="K59" s="256" t="str">
        <x:v>02_NPC配方数值!第59行</x:v>
      </x:c>
    </x:row>
    <x:row r="60" ht="36" customHeight="1">
      <x:c r="A60" s="256" t="str">
        <x:v>C04-REBIRTH-02</x:v>
      </x:c>
      <x:c r="B60" s="256" t="str">
        <x:v>C04</x:v>
      </x:c>
      <x:c r="C60" s="256" t="str">
        <x:v>C04</x:v>
      </x:c>
      <x:c r="D60" s="256" t="str">
        <x:v>主线/阶段成长</x:v>
      </x:c>
      <x:c r="E60" s="257" t="n">
        <x:v>7400000000</x:v>
      </x:c>
      <x:c r="F60" s="257" t="n">
        <x:v>64500000</x:v>
      </x:c>
      <x:c r="G60" s="257" t="n">
        <x:v>1</x:v>
      </x:c>
      <x:c r="H60" s="257" t="n">
        <x:v>74000000000000</x:v>
      </x:c>
      <x:c r="I60" s="257" t="n">
        <x:v>645000000000</x:v>
      </x:c>
      <x:c r="J60" s="256" t="str">
        <x:v>是</x:v>
      </x:c>
      <x:c r="K60" s="256" t="str">
        <x:v>02_NPC配方数值!第60行</x:v>
      </x:c>
    </x:row>
    <x:row r="61" ht="36" customHeight="1">
      <x:c r="A61" s="256" t="str">
        <x:v>C04-REBIRTH-03</x:v>
      </x:c>
      <x:c r="B61" s="256" t="str">
        <x:v>C04</x:v>
      </x:c>
      <x:c r="C61" s="256" t="str">
        <x:v>C04</x:v>
      </x:c>
      <x:c r="D61" s="256" t="str">
        <x:v>主线/阶段成长</x:v>
      </x:c>
      <x:c r="E61" s="257" t="n">
        <x:v>9200000000</x:v>
      </x:c>
      <x:c r="F61" s="257" t="n">
        <x:v>80500000</x:v>
      </x:c>
      <x:c r="G61" s="257" t="n">
        <x:v>1</x:v>
      </x:c>
      <x:c r="H61" s="257" t="n">
        <x:v>92000000000000</x:v>
      </x:c>
      <x:c r="I61" s="257" t="n">
        <x:v>805000000000</x:v>
      </x:c>
      <x:c r="J61" s="256" t="str">
        <x:v>是</x:v>
      </x:c>
      <x:c r="K61" s="256" t="str">
        <x:v>02_NPC配方数值!第61行</x:v>
      </x:c>
    </x:row>
    <x:row r="62" ht="36" customHeight="1">
      <x:c r="A62" s="256" t="str">
        <x:v>C04-REBIRTH-04</x:v>
      </x:c>
      <x:c r="B62" s="256" t="str">
        <x:v>C04</x:v>
      </x:c>
      <x:c r="C62" s="256" t="str">
        <x:v>C04</x:v>
      </x:c>
      <x:c r="D62" s="256" t="str">
        <x:v>主线/阶段成长</x:v>
      </x:c>
      <x:c r="E62" s="257" t="n">
        <x:v>11000000000</x:v>
      </x:c>
      <x:c r="F62" s="257" t="n">
        <x:v>96500000</x:v>
      </x:c>
      <x:c r="G62" s="257" t="n">
        <x:v>1</x:v>
      </x:c>
      <x:c r="H62" s="257" t="n">
        <x:v>110000000000000</x:v>
      </x:c>
      <x:c r="I62" s="257" t="n">
        <x:v>965000000000</x:v>
      </x:c>
      <x:c r="J62" s="256" t="str">
        <x:v>是</x:v>
      </x:c>
      <x:c r="K62" s="256" t="str">
        <x:v>02_NPC配方数值!第62行</x:v>
      </x:c>
    </x:row>
    <x:row r="63" ht="36" customHeight="1">
      <x:c r="A63" s="256" t="str">
        <x:v>C04-REBIRTH-05</x:v>
      </x:c>
      <x:c r="B63" s="256" t="str">
        <x:v>C04</x:v>
      </x:c>
      <x:c r="C63" s="256" t="str">
        <x:v>C04</x:v>
      </x:c>
      <x:c r="D63" s="256" t="str">
        <x:v>主线/阶段成长</x:v>
      </x:c>
      <x:c r="E63" s="257" t="n">
        <x:v>13000000000</x:v>
      </x:c>
      <x:c r="F63" s="257" t="n">
        <x:v>113000000</x:v>
      </x:c>
      <x:c r="G63" s="257" t="n">
        <x:v>1</x:v>
      </x:c>
      <x:c r="H63" s="257" t="n">
        <x:v>130000000000000</x:v>
      </x:c>
      <x:c r="I63" s="257" t="n">
        <x:v>1130000000000</x:v>
      </x:c>
      <x:c r="J63" s="256" t="str">
        <x:v>是</x:v>
      </x:c>
      <x:c r="K63" s="256" t="str">
        <x:v>02_NPC配方数值!第63行</x:v>
      </x:c>
    </x:row>
    <x:row r="64" ht="36" customHeight="1">
      <x:c r="A64" s="256" t="str">
        <x:v>C06-REBIRTH-06</x:v>
      </x:c>
      <x:c r="B64" s="256" t="str">
        <x:v>C06</x:v>
      </x:c>
      <x:c r="C64" s="256" t="str">
        <x:v>C06</x:v>
      </x:c>
      <x:c r="D64" s="256" t="str">
        <x:v>主线/阶段成长</x:v>
      </x:c>
      <x:c r="E64" s="257" t="n">
        <x:v>24500000000</x:v>
      </x:c>
      <x:c r="F64" s="257" t="n">
        <x:v>0</x:v>
      </x:c>
      <x:c r="G64" s="257" t="n">
        <x:v>1</x:v>
      </x:c>
      <x:c r="H64" s="257" t="n">
        <x:v>245000000000000</x:v>
      </x:c>
      <x:c r="I64" s="257" t="n">
        <x:v>0</x:v>
      </x:c>
      <x:c r="J64" s="256" t="str">
        <x:v>是</x:v>
      </x:c>
      <x:c r="K64" s="256" t="str">
        <x:v>02_NPC配方数值!第64行</x:v>
      </x:c>
    </x:row>
    <x:row r="65" ht="36" customHeight="1">
      <x:c r="A65" s="256" t="str">
        <x:v>C06-REBIRTH-07</x:v>
      </x:c>
      <x:c r="B65" s="256" t="str">
        <x:v>C06</x:v>
      </x:c>
      <x:c r="C65" s="256" t="str">
        <x:v>C06</x:v>
      </x:c>
      <x:c r="D65" s="256" t="str">
        <x:v>主线/阶段成长</x:v>
      </x:c>
      <x:c r="E65" s="257" t="n">
        <x:v>32500000000</x:v>
      </x:c>
      <x:c r="F65" s="257" t="n">
        <x:v>0</x:v>
      </x:c>
      <x:c r="G65" s="257" t="n">
        <x:v>1</x:v>
      </x:c>
      <x:c r="H65" s="257" t="n">
        <x:v>325000000000000</x:v>
      </x:c>
      <x:c r="I65" s="257" t="n">
        <x:v>0</x:v>
      </x:c>
      <x:c r="J65" s="256" t="str">
        <x:v>是</x:v>
      </x:c>
      <x:c r="K65" s="256" t="str">
        <x:v>02_NPC配方数值!第65行</x:v>
      </x:c>
    </x:row>
    <x:row r="66" ht="36" customHeight="1">
      <x:c r="A66" s="256" t="str">
        <x:v>C06-REBIRTH-08</x:v>
      </x:c>
      <x:c r="B66" s="256" t="str">
        <x:v>C06</x:v>
      </x:c>
      <x:c r="C66" s="256" t="str">
        <x:v>C06</x:v>
      </x:c>
      <x:c r="D66" s="256" t="str">
        <x:v>主线/阶段成长</x:v>
      </x:c>
      <x:c r="E66" s="257" t="n">
        <x:v>40500000000</x:v>
      </x:c>
      <x:c r="F66" s="257" t="n">
        <x:v>0</x:v>
      </x:c>
      <x:c r="G66" s="257" t="n">
        <x:v>1</x:v>
      </x:c>
      <x:c r="H66" s="257" t="n">
        <x:v>405000000000000</x:v>
      </x:c>
      <x:c r="I66" s="257" t="n">
        <x:v>0</x:v>
      </x:c>
      <x:c r="J66" s="256" t="str">
        <x:v>是</x:v>
      </x:c>
      <x:c r="K66" s="256" t="str">
        <x:v>02_NPC配方数值!第66行</x:v>
      </x:c>
    </x:row>
    <x:row r="67" ht="36" customHeight="1">
      <x:c r="A67" s="256" t="str">
        <x:v>C06-REBIRTH-09</x:v>
      </x:c>
      <x:c r="B67" s="256" t="str">
        <x:v>C06</x:v>
      </x:c>
      <x:c r="C67" s="256" t="str">
        <x:v>C06</x:v>
      </x:c>
      <x:c r="D67" s="256" t="str">
        <x:v>主线/阶段成长</x:v>
      </x:c>
      <x:c r="E67" s="257" t="n">
        <x:v>48500000000</x:v>
      </x:c>
      <x:c r="F67" s="257" t="n">
        <x:v>0</x:v>
      </x:c>
      <x:c r="G67" s="257" t="n">
        <x:v>1</x:v>
      </x:c>
      <x:c r="H67" s="257" t="n">
        <x:v>485000000000000</x:v>
      </x:c>
      <x:c r="I67" s="257" t="n">
        <x:v>0</x:v>
      </x:c>
      <x:c r="J67" s="256" t="str">
        <x:v>是</x:v>
      </x:c>
      <x:c r="K67" s="256" t="str">
        <x:v>02_NPC配方数值!第67行</x:v>
      </x:c>
    </x:row>
    <x:row r="68" ht="36" customHeight="1">
      <x:c r="A68" s="256" t="str">
        <x:v>C06-REBIRTH-10</x:v>
      </x:c>
      <x:c r="B68" s="256" t="str">
        <x:v>C06</x:v>
      </x:c>
      <x:c r="C68" s="256" t="str">
        <x:v>C06</x:v>
      </x:c>
      <x:c r="D68" s="256" t="str">
        <x:v>主线/阶段成长</x:v>
      </x:c>
      <x:c r="E68" s="257" t="n">
        <x:v>56500000000</x:v>
      </x:c>
      <x:c r="F68" s="257" t="n">
        <x:v>0</x:v>
      </x:c>
      <x:c r="G68" s="257" t="n">
        <x:v>1</x:v>
      </x:c>
      <x:c r="H68" s="257" t="n">
        <x:v>565000000000000</x:v>
      </x:c>
      <x:c r="I68" s="257" t="n">
        <x:v>0</x:v>
      </x:c>
      <x:c r="J68" s="256" t="str">
        <x:v>是</x:v>
      </x:c>
      <x:c r="K68" s="256" t="str">
        <x:v>02_NPC配方数值!第68行</x:v>
      </x:c>
    </x:row>
    <x:row r="69" ht="36" customHeight="1">
      <x:c r="A69" s="256" t="str">
        <x:v>C08-REBIRTH-11</x:v>
      </x:c>
      <x:c r="B69" s="256" t="str">
        <x:v>C08</x:v>
      </x:c>
      <x:c r="C69" s="256" t="str">
        <x:v>C08</x:v>
      </x:c>
      <x:c r="D69" s="256" t="str">
        <x:v>主线/阶段成长</x:v>
      </x:c>
      <x:c r="E69" s="257" t="n">
        <x:v>27000000000</x:v>
      </x:c>
      <x:c r="F69" s="257" t="n">
        <x:v>234000000</x:v>
      </x:c>
      <x:c r="G69" s="257" t="n">
        <x:v>1</x:v>
      </x:c>
      <x:c r="H69" s="257" t="n">
        <x:v>270000000000000</x:v>
      </x:c>
      <x:c r="I69" s="257" t="n">
        <x:v>2340000000000</x:v>
      </x:c>
      <x:c r="J69" s="256" t="str">
        <x:v>是</x:v>
      </x:c>
      <x:c r="K69" s="256" t="str">
        <x:v>02_NPC配方数值!第69行</x:v>
      </x:c>
    </x:row>
    <x:row r="70" ht="36" customHeight="1">
      <x:c r="A70" s="256" t="str">
        <x:v>C08-REBIRTH-12</x:v>
      </x:c>
      <x:c r="B70" s="256" t="str">
        <x:v>C08</x:v>
      </x:c>
      <x:c r="C70" s="256" t="str">
        <x:v>C08</x:v>
      </x:c>
      <x:c r="D70" s="256" t="str">
        <x:v>主线/阶段成长</x:v>
      </x:c>
      <x:c r="E70" s="257" t="n">
        <x:v>36500000000</x:v>
      </x:c>
      <x:c r="F70" s="257" t="n">
        <x:v>311000000</x:v>
      </x:c>
      <x:c r="G70" s="257" t="n">
        <x:v>1</x:v>
      </x:c>
      <x:c r="H70" s="257" t="n">
        <x:v>365000000000000</x:v>
      </x:c>
      <x:c r="I70" s="257" t="n">
        <x:v>3110000000000</x:v>
      </x:c>
      <x:c r="J70" s="256" t="str">
        <x:v>是</x:v>
      </x:c>
      <x:c r="K70" s="256" t="str">
        <x:v>02_NPC配方数值!第70行</x:v>
      </x:c>
    </x:row>
    <x:row r="71" ht="36" customHeight="1">
      <x:c r="A71" s="256" t="str">
        <x:v>C08-REBIRTH-13</x:v>
      </x:c>
      <x:c r="B71" s="256" t="str">
        <x:v>C08</x:v>
      </x:c>
      <x:c r="C71" s="256" t="str">
        <x:v>C08</x:v>
      </x:c>
      <x:c r="D71" s="256" t="str">
        <x:v>主线/阶段成长</x:v>
      </x:c>
      <x:c r="E71" s="257" t="n">
        <x:v>45500000000</x:v>
      </x:c>
      <x:c r="F71" s="257" t="n">
        <x:v>389000000</x:v>
      </x:c>
      <x:c r="G71" s="257" t="n">
        <x:v>1</x:v>
      </x:c>
      <x:c r="H71" s="257" t="n">
        <x:v>455000000000000</x:v>
      </x:c>
      <x:c r="I71" s="257" t="n">
        <x:v>3890000000000</x:v>
      </x:c>
      <x:c r="J71" s="256" t="str">
        <x:v>是</x:v>
      </x:c>
      <x:c r="K71" s="256" t="str">
        <x:v>02_NPC配方数值!第71行</x:v>
      </x:c>
    </x:row>
    <x:row r="72" ht="36" customHeight="1">
      <x:c r="A72" s="256" t="str">
        <x:v>C08-REBIRTH-14</x:v>
      </x:c>
      <x:c r="B72" s="256" t="str">
        <x:v>C08</x:v>
      </x:c>
      <x:c r="C72" s="256" t="str">
        <x:v>C08</x:v>
      </x:c>
      <x:c r="D72" s="256" t="str">
        <x:v>主线/阶段成长</x:v>
      </x:c>
      <x:c r="E72" s="257" t="n">
        <x:v>54500000000</x:v>
      </x:c>
      <x:c r="F72" s="257" t="n">
        <x:v>467000000</x:v>
      </x:c>
      <x:c r="G72" s="257" t="n">
        <x:v>1</x:v>
      </x:c>
      <x:c r="H72" s="257" t="n">
        <x:v>545000000000000</x:v>
      </x:c>
      <x:c r="I72" s="257" t="n">
        <x:v>4670000000000</x:v>
      </x:c>
      <x:c r="J72" s="256" t="str">
        <x:v>是</x:v>
      </x:c>
      <x:c r="K72" s="256" t="str">
        <x:v>02_NPC配方数值!第72行</x:v>
      </x:c>
    </x:row>
    <x:row r="73" ht="36" customHeight="1">
      <x:c r="A73" s="256" t="str">
        <x:v>C08-REBIRTH-15</x:v>
      </x:c>
      <x:c r="B73" s="256" t="str">
        <x:v>C08</x:v>
      </x:c>
      <x:c r="C73" s="256" t="str">
        <x:v>C08</x:v>
      </x:c>
      <x:c r="D73" s="256" t="str">
        <x:v>主线/阶段成长</x:v>
      </x:c>
      <x:c r="E73" s="257" t="n">
        <x:v>63500000000</x:v>
      </x:c>
      <x:c r="F73" s="257" t="n">
        <x:v>545000000</x:v>
      </x:c>
      <x:c r="G73" s="257" t="n">
        <x:v>1</x:v>
      </x:c>
      <x:c r="H73" s="257" t="n">
        <x:v>635000000000000</x:v>
      </x:c>
      <x:c r="I73" s="257" t="n">
        <x:v>5450000000000</x:v>
      </x:c>
      <x:c r="J73" s="256" t="str">
        <x:v>是</x:v>
      </x:c>
      <x:c r="K73" s="256" t="str">
        <x:v>02_NPC配方数值!第73行</x:v>
      </x:c>
    </x:row>
    <x:row r="74" ht="36" customHeight="1">
      <x:c r="A74" s="256" t="str">
        <x:v>C10-REBIRTH-16</x:v>
      </x:c>
      <x:c r="B74" s="256" t="str">
        <x:v>C10</x:v>
      </x:c>
      <x:c r="C74" s="256" t="str">
        <x:v>C10</x:v>
      </x:c>
      <x:c r="D74" s="256" t="str">
        <x:v>主线/阶段成长</x:v>
      </x:c>
      <x:c r="E74" s="257" t="n">
        <x:v>51000000000</x:v>
      </x:c>
      <x:c r="F74" s="257" t="n">
        <x:v>609000000</x:v>
      </x:c>
      <x:c r="G74" s="257" t="n">
        <x:v>1</x:v>
      </x:c>
      <x:c r="H74" s="257" t="n">
        <x:v>510000000000000</x:v>
      </x:c>
      <x:c r="I74" s="257" t="n">
        <x:v>6090000000000</x:v>
      </x:c>
      <x:c r="J74" s="256" t="str">
        <x:v>是</x:v>
      </x:c>
      <x:c r="K74" s="256" t="str">
        <x:v>02_NPC配方数值!第74行</x:v>
      </x:c>
    </x:row>
    <x:row r="75" ht="36" customHeight="1">
      <x:c r="A75" s="256" t="str">
        <x:v>C10-REBIRTH-17</x:v>
      </x:c>
      <x:c r="B75" s="256" t="str">
        <x:v>C10</x:v>
      </x:c>
      <x:c r="C75" s="256" t="str">
        <x:v>C10</x:v>
      </x:c>
      <x:c r="D75" s="256" t="str">
        <x:v>主线/阶段成长</x:v>
      </x:c>
      <x:c r="E75" s="257" t="n">
        <x:v>68000000000</x:v>
      </x:c>
      <x:c r="F75" s="257" t="n">
        <x:v>812000000</x:v>
      </x:c>
      <x:c r="G75" s="257" t="n">
        <x:v>1</x:v>
      </x:c>
      <x:c r="H75" s="257" t="n">
        <x:v>680000000000000</x:v>
      </x:c>
      <x:c r="I75" s="257" t="n">
        <x:v>8120000000000</x:v>
      </x:c>
      <x:c r="J75" s="256" t="str">
        <x:v>是</x:v>
      </x:c>
      <x:c r="K75" s="256" t="str">
        <x:v>02_NPC配方数值!第75行</x:v>
      </x:c>
    </x:row>
    <x:row r="76" ht="36" customHeight="1">
      <x:c r="A76" s="256" t="str">
        <x:v>C10-REBIRTH-18</x:v>
      </x:c>
      <x:c r="B76" s="256" t="str">
        <x:v>C10</x:v>
      </x:c>
      <x:c r="C76" s="256" t="str">
        <x:v>C10</x:v>
      </x:c>
      <x:c r="D76" s="256" t="str">
        <x:v>主线/阶段成长</x:v>
      </x:c>
      <x:c r="E76" s="257" t="n">
        <x:v>85000000000</x:v>
      </x:c>
      <x:c r="F76" s="257" t="n">
        <x:v>1010000000</x:v>
      </x:c>
      <x:c r="G76" s="257" t="n">
        <x:v>1</x:v>
      </x:c>
      <x:c r="H76" s="257" t="n">
        <x:v>850000000000000</x:v>
      </x:c>
      <x:c r="I76" s="257" t="n">
        <x:v>10100000000000</x:v>
      </x:c>
      <x:c r="J76" s="256" t="str">
        <x:v>是</x:v>
      </x:c>
      <x:c r="K76" s="256" t="str">
        <x:v>02_NPC配方数值!第76行</x:v>
      </x:c>
    </x:row>
    <x:row r="77" ht="36" customHeight="1">
      <x:c r="A77" s="256" t="str">
        <x:v>C10-REBIRTH-19</x:v>
      </x:c>
      <x:c r="B77" s="256" t="str">
        <x:v>C10</x:v>
      </x:c>
      <x:c r="C77" s="256" t="str">
        <x:v>C10</x:v>
      </x:c>
      <x:c r="D77" s="256" t="str">
        <x:v>主线/阶段成长</x:v>
      </x:c>
      <x:c r="E77" s="257" t="n">
        <x:v>102000000000</x:v>
      </x:c>
      <x:c r="F77" s="257" t="n">
        <x:v>1220000000</x:v>
      </x:c>
      <x:c r="G77" s="257" t="n">
        <x:v>1</x:v>
      </x:c>
      <x:c r="H77" s="257" t="n">
        <x:v>1020000000000000</x:v>
      </x:c>
      <x:c r="I77" s="257" t="n">
        <x:v>12200000000000</x:v>
      </x:c>
      <x:c r="J77" s="256" t="str">
        <x:v>是</x:v>
      </x:c>
      <x:c r="K77" s="256" t="str">
        <x:v>02_NPC配方数值!第77行</x:v>
      </x:c>
    </x:row>
    <x:row r="78" ht="36" customHeight="1">
      <x:c r="A78" s="256" t="str">
        <x:v>C10-REBIRTH-20</x:v>
      </x:c>
      <x:c r="B78" s="256" t="str">
        <x:v>C10</x:v>
      </x:c>
      <x:c r="C78" s="256" t="str">
        <x:v>C10</x:v>
      </x:c>
      <x:c r="D78" s="256" t="str">
        <x:v>主线/阶段成长</x:v>
      </x:c>
      <x:c r="E78" s="257" t="n">
        <x:v>119000000000</x:v>
      </x:c>
      <x:c r="F78" s="257" t="n">
        <x:v>1420000000</x:v>
      </x:c>
      <x:c r="G78" s="257" t="n">
        <x:v>1</x:v>
      </x:c>
      <x:c r="H78" s="257" t="n">
        <x:v>1190000000000000</x:v>
      </x:c>
      <x:c r="I78" s="257" t="n">
        <x:v>14200000000000</x:v>
      </x:c>
      <x:c r="J78" s="256" t="str">
        <x:v>是</x:v>
      </x:c>
      <x:c r="K78" s="256" t="str">
        <x:v>02_NPC配方数值!第78行</x:v>
      </x:c>
    </x:row>
    <x:row r="79" ht="36" customHeight="1">
      <x:c r="A79" s="256" t="str">
        <x:v>C01-LONGTITLE</x:v>
      </x:c>
      <x:c r="B79" s="256" t="str">
        <x:v>C01</x:v>
      </x:c>
      <x:c r="C79" s="256" t="str">
        <x:v>C01</x:v>
      </x:c>
      <x:c r="D79" s="256" t="str">
        <x:v>主线/阶段成长</x:v>
      </x:c>
      <x:c r="E79" s="257" t="n">
        <x:v>629000000</x:v>
      </x:c>
      <x:c r="F79" s="257" t="n">
        <x:v>236500</x:v>
      </x:c>
      <x:c r="G79" s="257" t="n">
        <x:v>1</x:v>
      </x:c>
      <x:c r="H79" s="257" t="n">
        <x:v>6290000000000</x:v>
      </x:c>
      <x:c r="I79" s="257" t="n">
        <x:v>2365000000</x:v>
      </x:c>
      <x:c r="J79" s="256" t="str">
        <x:v>是</x:v>
      </x:c>
      <x:c r="K79" s="256" t="str">
        <x:v>03_追加成长系统!第5行</x:v>
      </x:c>
    </x:row>
    <x:row r="80" ht="36" customHeight="1">
      <x:c r="A80" s="256" t="str">
        <x:v>C02-LONGTITLE</x:v>
      </x:c>
      <x:c r="B80" s="256" t="str">
        <x:v>C02</x:v>
      </x:c>
      <x:c r="C80" s="256" t="str">
        <x:v>C02</x:v>
      </x:c>
      <x:c r="D80" s="256" t="str">
        <x:v>主线/阶段成长</x:v>
      </x:c>
      <x:c r="E80" s="257" t="n">
        <x:v>4100000000</x:v>
      </x:c>
      <x:c r="F80" s="257" t="n">
        <x:v>26500000</x:v>
      </x:c>
      <x:c r="G80" s="257" t="n">
        <x:v>1</x:v>
      </x:c>
      <x:c r="H80" s="257" t="n">
        <x:v>41000000000000</x:v>
      </x:c>
      <x:c r="I80" s="257" t="n">
        <x:v>265000000000</x:v>
      </x:c>
      <x:c r="J80" s="256" t="str">
        <x:v>是</x:v>
      </x:c>
      <x:c r="K80" s="256" t="str">
        <x:v>03_追加成长系统!第6行</x:v>
      </x:c>
    </x:row>
    <x:row r="81" ht="36" customHeight="1">
      <x:c r="A81" s="256" t="str">
        <x:v>C03-LONGTITLE</x:v>
      </x:c>
      <x:c r="B81" s="256" t="str">
        <x:v>C03</x:v>
      </x:c>
      <x:c r="C81" s="256" t="str">
        <x:v>C03</x:v>
      </x:c>
      <x:c r="D81" s="256" t="str">
        <x:v>主线/阶段成长</x:v>
      </x:c>
      <x:c r="E81" s="257" t="n">
        <x:v>7300000000</x:v>
      </x:c>
      <x:c r="F81" s="257" t="n">
        <x:v>52000000</x:v>
      </x:c>
      <x:c r="G81" s="257" t="n">
        <x:v>1</x:v>
      </x:c>
      <x:c r="H81" s="257" t="n">
        <x:v>73000000000000</x:v>
      </x:c>
      <x:c r="I81" s="257" t="n">
        <x:v>520000000000</x:v>
      </x:c>
      <x:c r="J81" s="256" t="str">
        <x:v>是</x:v>
      </x:c>
      <x:c r="K81" s="256" t="str">
        <x:v>03_追加成长系统!第7行</x:v>
      </x:c>
    </x:row>
    <x:row r="82" ht="36" customHeight="1">
      <x:c r="A82" s="256" t="str">
        <x:v>C04-LONGTITLE</x:v>
      </x:c>
      <x:c r="B82" s="256" t="str">
        <x:v>C04</x:v>
      </x:c>
      <x:c r="C82" s="256" t="str">
        <x:v>C04</x:v>
      </x:c>
      <x:c r="D82" s="256" t="str">
        <x:v>主线/阶段成长</x:v>
      </x:c>
      <x:c r="E82" s="257" t="n">
        <x:v>9200000000</x:v>
      </x:c>
      <x:c r="F82" s="257" t="n">
        <x:v>80500000</x:v>
      </x:c>
      <x:c r="G82" s="257" t="n">
        <x:v>1</x:v>
      </x:c>
      <x:c r="H82" s="257" t="n">
        <x:v>92000000000000</x:v>
      </x:c>
      <x:c r="I82" s="257" t="n">
        <x:v>805000000000</x:v>
      </x:c>
      <x:c r="J82" s="256" t="str">
        <x:v>是</x:v>
      </x:c>
      <x:c r="K82" s="256" t="str">
        <x:v>03_追加成长系统!第8行</x:v>
      </x:c>
    </x:row>
    <x:row r="83" ht="36" customHeight="1">
      <x:c r="A83" s="256" t="str">
        <x:v>C05-LONGTITLE</x:v>
      </x:c>
      <x:c r="B83" s="256" t="str">
        <x:v>C05</x:v>
      </x:c>
      <x:c r="C83" s="256" t="str">
        <x:v>C05</x:v>
      </x:c>
      <x:c r="D83" s="256" t="str">
        <x:v>主线/阶段成长</x:v>
      </x:c>
      <x:c r="E83" s="257" t="n">
        <x:v>15500000000</x:v>
      </x:c>
      <x:c r="F83" s="257" t="n">
        <x:v>171000000</x:v>
      </x:c>
      <x:c r="G83" s="257" t="n">
        <x:v>1</x:v>
      </x:c>
      <x:c r="H83" s="257" t="n">
        <x:v>155000000000000</x:v>
      </x:c>
      <x:c r="I83" s="257" t="n">
        <x:v>1710000000000</x:v>
      </x:c>
      <x:c r="J83" s="256" t="str">
        <x:v>是</x:v>
      </x:c>
      <x:c r="K83" s="256" t="str">
        <x:v>03_追加成长系统!第9行</x:v>
      </x:c>
    </x:row>
    <x:row r="84" ht="36" customHeight="1">
      <x:c r="A84" s="256" t="str">
        <x:v>C06-LONGTITLE</x:v>
      </x:c>
      <x:c r="B84" s="256" t="str">
        <x:v>C06</x:v>
      </x:c>
      <x:c r="C84" s="256" t="str">
        <x:v>C06</x:v>
      </x:c>
      <x:c r="D84" s="256" t="str">
        <x:v>主线/阶段成长</x:v>
      </x:c>
      <x:c r="E84" s="257" t="n">
        <x:v>22500000000</x:v>
      </x:c>
      <x:c r="F84" s="257" t="n">
        <x:v>186000000</x:v>
      </x:c>
      <x:c r="G84" s="257" t="n">
        <x:v>1</x:v>
      </x:c>
      <x:c r="H84" s="257" t="n">
        <x:v>225000000000000</x:v>
      </x:c>
      <x:c r="I84" s="257" t="n">
        <x:v>1860000000000</x:v>
      </x:c>
      <x:c r="J84" s="256" t="str">
        <x:v>是</x:v>
      </x:c>
      <x:c r="K84" s="256" t="str">
        <x:v>03_追加成长系统!第10行</x:v>
      </x:c>
    </x:row>
    <x:row r="85" ht="36" customHeight="1">
      <x:c r="A85" s="256" t="str">
        <x:v>C07-LONGTITLE</x:v>
      </x:c>
      <x:c r="B85" s="256" t="str">
        <x:v>C07</x:v>
      </x:c>
      <x:c r="C85" s="256" t="str">
        <x:v>C07</x:v>
      </x:c>
      <x:c r="D85" s="256" t="str">
        <x:v>主线/阶段成长</x:v>
      </x:c>
      <x:c r="E85" s="257" t="n">
        <x:v>37500000000</x:v>
      </x:c>
      <x:c r="F85" s="257" t="n">
        <x:v>368000000</x:v>
      </x:c>
      <x:c r="G85" s="257" t="n">
        <x:v>1</x:v>
      </x:c>
      <x:c r="H85" s="257" t="n">
        <x:v>375000000000000</x:v>
      </x:c>
      <x:c r="I85" s="257" t="n">
        <x:v>3680000000000</x:v>
      </x:c>
      <x:c r="J85" s="256" t="str">
        <x:v>是</x:v>
      </x:c>
      <x:c r="K85" s="256" t="str">
        <x:v>03_追加成长系统!第11行</x:v>
      </x:c>
    </x:row>
    <x:row r="86" ht="36" customHeight="1">
      <x:c r="A86" s="256" t="str">
        <x:v>C08-LONGTITLE</x:v>
      </x:c>
      <x:c r="B86" s="256" t="str">
        <x:v>C08</x:v>
      </x:c>
      <x:c r="C86" s="256" t="str">
        <x:v>C08</x:v>
      </x:c>
      <x:c r="D86" s="256" t="str">
        <x:v>主线/阶段成长</x:v>
      </x:c>
      <x:c r="E86" s="257" t="n">
        <x:v>45500000000</x:v>
      </x:c>
      <x:c r="F86" s="257" t="n">
        <x:v>389000000</x:v>
      </x:c>
      <x:c r="G86" s="257" t="n">
        <x:v>1</x:v>
      </x:c>
      <x:c r="H86" s="257" t="n">
        <x:v>455000000000000</x:v>
      </x:c>
      <x:c r="I86" s="257" t="n">
        <x:v>3890000000000</x:v>
      </x:c>
      <x:c r="J86" s="256" t="str">
        <x:v>是</x:v>
      </x:c>
      <x:c r="K86" s="256" t="str">
        <x:v>03_追加成长系统!第12行</x:v>
      </x:c>
    </x:row>
    <x:row r="87" ht="36" customHeight="1">
      <x:c r="A87" s="256" t="str">
        <x:v>C09-LONGTITLE</x:v>
      </x:c>
      <x:c r="B87" s="256" t="str">
        <x:v>C09</x:v>
      </x:c>
      <x:c r="C87" s="256" t="str">
        <x:v>C09</x:v>
      </x:c>
      <x:c r="D87" s="256" t="str">
        <x:v>主线/阶段成长</x:v>
      </x:c>
      <x:c r="E87" s="257" t="n">
        <x:v>70500000000</x:v>
      </x:c>
      <x:c r="F87" s="257" t="n">
        <x:v>977000000</x:v>
      </x:c>
      <x:c r="G87" s="257" t="n">
        <x:v>1</x:v>
      </x:c>
      <x:c r="H87" s="257" t="n">
        <x:v>705000000000000</x:v>
      </x:c>
      <x:c r="I87" s="257" t="n">
        <x:v>9770000000000</x:v>
      </x:c>
      <x:c r="J87" s="256" t="str">
        <x:v>是</x:v>
      </x:c>
      <x:c r="K87" s="256" t="str">
        <x:v>03_追加成长系统!第13行</x:v>
      </x:c>
    </x:row>
    <x:row r="88" ht="36" customHeight="1">
      <x:c r="A88" s="256" t="str">
        <x:v>C10-LONGTITLE</x:v>
      </x:c>
      <x:c r="B88" s="256" t="str">
        <x:v>C10</x:v>
      </x:c>
      <x:c r="C88" s="256" t="str">
        <x:v>C10</x:v>
      </x:c>
      <x:c r="D88" s="256" t="str">
        <x:v>主线/阶段成长</x:v>
      </x:c>
      <x:c r="E88" s="257" t="n">
        <x:v>85000000000</x:v>
      </x:c>
      <x:c r="F88" s="257" t="n">
        <x:v>1010000000</x:v>
      </x:c>
      <x:c r="G88" s="257" t="n">
        <x:v>1</x:v>
      </x:c>
      <x:c r="H88" s="257" t="n">
        <x:v>850000000000000</x:v>
      </x:c>
      <x:c r="I88" s="257" t="n">
        <x:v>10100000000000</x:v>
      </x:c>
      <x:c r="J88" s="256" t="str">
        <x:v>是</x:v>
      </x:c>
      <x:c r="K88" s="256" t="str">
        <x:v>03_追加成长系统!第14行</x:v>
      </x:c>
    </x:row>
    <x:row r="89" ht="36" customHeight="1">
      <x:c r="A89" s="256" t="str">
        <x:v>C01-SKILL-01</x:v>
      </x:c>
      <x:c r="B89" s="256" t="str">
        <x:v>C01</x:v>
      </x:c>
      <x:c r="C89" s="256" t="str">
        <x:v>C01</x:v>
      </x:c>
      <x:c r="D89" s="256" t="str">
        <x:v>主线/阶段成长</x:v>
      </x:c>
      <x:c r="E89" s="257" t="n">
        <x:v>0</x:v>
      </x:c>
      <x:c r="F89" s="257" t="n">
        <x:v>1000000</x:v>
      </x:c>
      <x:c r="G89" s="257" t="n">
        <x:v>1</x:v>
      </x:c>
      <x:c r="H89" s="257" t="n">
        <x:v>0</x:v>
      </x:c>
      <x:c r="I89" s="257" t="n">
        <x:v>10000000000</x:v>
      </x:c>
      <x:c r="J89" s="256" t="str">
        <x:v>是</x:v>
      </x:c>
      <x:c r="K89" s="256" t="str">
        <x:v>03_追加成长系统!第15行</x:v>
      </x:c>
    </x:row>
    <x:row r="90" ht="36" customHeight="1">
      <x:c r="A90" s="256" t="str">
        <x:v>C01-SKILL-02</x:v>
      </x:c>
      <x:c r="B90" s="256" t="str">
        <x:v>C01</x:v>
      </x:c>
      <x:c r="C90" s="256" t="str">
        <x:v>C01</x:v>
      </x:c>
      <x:c r="D90" s="256" t="str">
        <x:v>主线/阶段成长</x:v>
      </x:c>
      <x:c r="E90" s="257" t="n">
        <x:v>0</x:v>
      </x:c>
      <x:c r="F90" s="257" t="n">
        <x:v>2000000</x:v>
      </x:c>
      <x:c r="G90" s="257" t="n">
        <x:v>1</x:v>
      </x:c>
      <x:c r="H90" s="257" t="n">
        <x:v>0</x:v>
      </x:c>
      <x:c r="I90" s="257" t="n">
        <x:v>20000000000</x:v>
      </x:c>
      <x:c r="J90" s="256" t="str">
        <x:v>是</x:v>
      </x:c>
      <x:c r="K90" s="256" t="str">
        <x:v>03_追加成长系统!第16行</x:v>
      </x:c>
    </x:row>
    <x:row r="91" ht="36" customHeight="1">
      <x:c r="A91" s="256" t="str">
        <x:v>C01-SKILL-03</x:v>
      </x:c>
      <x:c r="B91" s="256" t="str">
        <x:v>C01</x:v>
      </x:c>
      <x:c r="C91" s="256" t="str">
        <x:v>C01</x:v>
      </x:c>
      <x:c r="D91" s="256" t="str">
        <x:v>主线/阶段成长</x:v>
      </x:c>
      <x:c r="E91" s="257" t="n">
        <x:v>0</x:v>
      </x:c>
      <x:c r="F91" s="257" t="n">
        <x:v>3000000</x:v>
      </x:c>
      <x:c r="G91" s="257" t="n">
        <x:v>1</x:v>
      </x:c>
      <x:c r="H91" s="257" t="n">
        <x:v>0</x:v>
      </x:c>
      <x:c r="I91" s="257" t="n">
        <x:v>30000000000</x:v>
      </x:c>
      <x:c r="J91" s="256" t="str">
        <x:v>是</x:v>
      </x:c>
      <x:c r="K91" s="256" t="str">
        <x:v>03_追加成长系统!第17行</x:v>
      </x:c>
    </x:row>
    <x:row r="92" ht="36" customHeight="1">
      <x:c r="A92" s="256" t="str">
        <x:v>C01-SKILL-04</x:v>
      </x:c>
      <x:c r="B92" s="256" t="str">
        <x:v>C01</x:v>
      </x:c>
      <x:c r="C92" s="256" t="str">
        <x:v>C01</x:v>
      </x:c>
      <x:c r="D92" s="256" t="str">
        <x:v>主线/阶段成长</x:v>
      </x:c>
      <x:c r="E92" s="257" t="n">
        <x:v>0</x:v>
      </x:c>
      <x:c r="F92" s="257" t="n">
        <x:v>4000000</x:v>
      </x:c>
      <x:c r="G92" s="257" t="n">
        <x:v>1</x:v>
      </x:c>
      <x:c r="H92" s="257" t="n">
        <x:v>0</x:v>
      </x:c>
      <x:c r="I92" s="257" t="n">
        <x:v>40000000000</x:v>
      </x:c>
      <x:c r="J92" s="256" t="str">
        <x:v>是</x:v>
      </x:c>
      <x:c r="K92" s="256" t="str">
        <x:v>03_追加成长系统!第18行</x:v>
      </x:c>
    </x:row>
    <x:row r="93" ht="36" customHeight="1">
      <x:c r="A93" s="256" t="str">
        <x:v>C01-SKILL-05</x:v>
      </x:c>
      <x:c r="B93" s="256" t="str">
        <x:v>C01</x:v>
      </x:c>
      <x:c r="C93" s="256" t="str">
        <x:v>C01</x:v>
      </x:c>
      <x:c r="D93" s="256" t="str">
        <x:v>主线/阶段成长</x:v>
      </x:c>
      <x:c r="E93" s="257" t="n">
        <x:v>0</x:v>
      </x:c>
      <x:c r="F93" s="257" t="n">
        <x:v>5000000</x:v>
      </x:c>
      <x:c r="G93" s="257" t="n">
        <x:v>1</x:v>
      </x:c>
      <x:c r="H93" s="257" t="n">
        <x:v>0</x:v>
      </x:c>
      <x:c r="I93" s="257" t="n">
        <x:v>50000000000</x:v>
      </x:c>
      <x:c r="J93" s="256" t="str">
        <x:v>是</x:v>
      </x:c>
      <x:c r="K93" s="256" t="str">
        <x:v>03_追加成长系统!第19行</x:v>
      </x:c>
    </x:row>
    <x:row r="94" ht="36" customHeight="1">
      <x:c r="A94" s="256" t="str">
        <x:v>C01-SKILL-06</x:v>
      </x:c>
      <x:c r="B94" s="256" t="str">
        <x:v>C01</x:v>
      </x:c>
      <x:c r="C94" s="256" t="str">
        <x:v>C01</x:v>
      </x:c>
      <x:c r="D94" s="256" t="str">
        <x:v>主线/阶段成长</x:v>
      </x:c>
      <x:c r="E94" s="257" t="n">
        <x:v>0</x:v>
      </x:c>
      <x:c r="F94" s="257" t="n">
        <x:v>6000000</x:v>
      </x:c>
      <x:c r="G94" s="257" t="n">
        <x:v>1</x:v>
      </x:c>
      <x:c r="H94" s="257" t="n">
        <x:v>0</x:v>
      </x:c>
      <x:c r="I94" s="257" t="n">
        <x:v>60000000000</x:v>
      </x:c>
      <x:c r="J94" s="256" t="str">
        <x:v>是</x:v>
      </x:c>
      <x:c r="K94" s="256" t="str">
        <x:v>03_追加成长系统!第20行</x:v>
      </x:c>
    </x:row>
    <x:row r="95" ht="36" customHeight="1">
      <x:c r="A95" s="256" t="str">
        <x:v>C01-SKILL-07</x:v>
      </x:c>
      <x:c r="B95" s="256" t="str">
        <x:v>C01</x:v>
      </x:c>
      <x:c r="C95" s="256" t="str">
        <x:v>C01</x:v>
      </x:c>
      <x:c r="D95" s="256" t="str">
        <x:v>主线/阶段成长</x:v>
      </x:c>
      <x:c r="E95" s="257" t="n">
        <x:v>0</x:v>
      </x:c>
      <x:c r="F95" s="257" t="n">
        <x:v>7000000</x:v>
      </x:c>
      <x:c r="G95" s="257" t="n">
        <x:v>1</x:v>
      </x:c>
      <x:c r="H95" s="257" t="n">
        <x:v>0</x:v>
      </x:c>
      <x:c r="I95" s="257" t="n">
        <x:v>70000000000</x:v>
      </x:c>
      <x:c r="J95" s="256" t="str">
        <x:v>是</x:v>
      </x:c>
      <x:c r="K95" s="256" t="str">
        <x:v>03_追加成长系统!第21行</x:v>
      </x:c>
    </x:row>
    <x:row r="96" ht="36" customHeight="1">
      <x:c r="A96" s="256" t="str">
        <x:v>C01-SKILL-08</x:v>
      </x:c>
      <x:c r="B96" s="256" t="str">
        <x:v>C01</x:v>
      </x:c>
      <x:c r="C96" s="256" t="str">
        <x:v>C01</x:v>
      </x:c>
      <x:c r="D96" s="256" t="str">
        <x:v>主线/阶段成长</x:v>
      </x:c>
      <x:c r="E96" s="257" t="n">
        <x:v>0</x:v>
      </x:c>
      <x:c r="F96" s="257" t="n">
        <x:v>8000000</x:v>
      </x:c>
      <x:c r="G96" s="257" t="n">
        <x:v>1</x:v>
      </x:c>
      <x:c r="H96" s="257" t="n">
        <x:v>0</x:v>
      </x:c>
      <x:c r="I96" s="257" t="n">
        <x:v>80000000000</x:v>
      </x:c>
      <x:c r="J96" s="256" t="str">
        <x:v>是</x:v>
      </x:c>
      <x:c r="K96" s="256" t="str">
        <x:v>03_追加成长系统!第22行</x:v>
      </x:c>
    </x:row>
    <x:row r="97" ht="36" customHeight="1">
      <x:c r="A97" s="256" t="str">
        <x:v>C01-SKILL-09</x:v>
      </x:c>
      <x:c r="B97" s="256" t="str">
        <x:v>C01</x:v>
      </x:c>
      <x:c r="C97" s="256" t="str">
        <x:v>C01</x:v>
      </x:c>
      <x:c r="D97" s="256" t="str">
        <x:v>主线/阶段成长</x:v>
      </x:c>
      <x:c r="E97" s="257" t="n">
        <x:v>0</x:v>
      </x:c>
      <x:c r="F97" s="257" t="n">
        <x:v>9000000</x:v>
      </x:c>
      <x:c r="G97" s="257" t="n">
        <x:v>1</x:v>
      </x:c>
      <x:c r="H97" s="257" t="n">
        <x:v>0</x:v>
      </x:c>
      <x:c r="I97" s="257" t="n">
        <x:v>90000000000</x:v>
      </x:c>
      <x:c r="J97" s="256" t="str">
        <x:v>是</x:v>
      </x:c>
      <x:c r="K97" s="256" t="str">
        <x:v>03_追加成长系统!第23行</x:v>
      </x:c>
    </x:row>
    <x:row r="98" ht="36" customHeight="1">
      <x:c r="A98" s="256" t="str">
        <x:v>C02-ADVSKILL-01</x:v>
      </x:c>
      <x:c r="B98" s="256" t="str">
        <x:v>C02</x:v>
      </x:c>
      <x:c r="C98" s="256" t="str">
        <x:v>C02</x:v>
      </x:c>
      <x:c r="D98" s="256" t="str">
        <x:v>深度养成</x:v>
      </x:c>
      <x:c r="E98" s="257" t="n">
        <x:v>500000000</x:v>
      </x:c>
      <x:c r="F98" s="257" t="n">
        <x:v>50000000</x:v>
      </x:c>
      <x:c r="G98" s="257" t="n">
        <x:v>1</x:v>
      </x:c>
      <x:c r="H98" s="257" t="n">
        <x:v>5000000000000</x:v>
      </x:c>
      <x:c r="I98" s="257" t="n">
        <x:v>500000000000</x:v>
      </x:c>
      <x:c r="J98" s="256" t="str">
        <x:v>是</x:v>
      </x:c>
      <x:c r="K98" s="256" t="str">
        <x:v>03_追加成长系统!第24行</x:v>
      </x:c>
    </x:row>
    <x:row r="99" ht="36" customHeight="1">
      <x:c r="A99" s="256" t="str">
        <x:v>C02-ADVSKILL-02</x:v>
      </x:c>
      <x:c r="B99" s="256" t="str">
        <x:v>C02</x:v>
      </x:c>
      <x:c r="C99" s="256" t="str">
        <x:v>C02</x:v>
      </x:c>
      <x:c r="D99" s="256" t="str">
        <x:v>深度养成</x:v>
      </x:c>
      <x:c r="E99" s="257" t="n">
        <x:v>500000000</x:v>
      </x:c>
      <x:c r="F99" s="257" t="n">
        <x:v>50000000</x:v>
      </x:c>
      <x:c r="G99" s="257" t="n">
        <x:v>1</x:v>
      </x:c>
      <x:c r="H99" s="257" t="n">
        <x:v>5000000000000</x:v>
      </x:c>
      <x:c r="I99" s="257" t="n">
        <x:v>500000000000</x:v>
      </x:c>
      <x:c r="J99" s="256" t="str">
        <x:v>是</x:v>
      </x:c>
      <x:c r="K99" s="256" t="str">
        <x:v>03_追加成长系统!第25行</x:v>
      </x:c>
    </x:row>
    <x:row r="100" ht="36" customHeight="1">
      <x:c r="A100" s="256" t="str">
        <x:v>C02-ADVSKILL-03</x:v>
      </x:c>
      <x:c r="B100" s="256" t="str">
        <x:v>C02</x:v>
      </x:c>
      <x:c r="C100" s="256" t="str">
        <x:v>C02</x:v>
      </x:c>
      <x:c r="D100" s="256" t="str">
        <x:v>深度养成</x:v>
      </x:c>
      <x:c r="E100" s="257" t="n">
        <x:v>500000000</x:v>
      </x:c>
      <x:c r="F100" s="257" t="n">
        <x:v>50000000</x:v>
      </x:c>
      <x:c r="G100" s="257" t="n">
        <x:v>1</x:v>
      </x:c>
      <x:c r="H100" s="257" t="n">
        <x:v>5000000000000</x:v>
      </x:c>
      <x:c r="I100" s="257" t="n">
        <x:v>500000000000</x:v>
      </x:c>
      <x:c r="J100" s="256" t="str">
        <x:v>是</x:v>
      </x:c>
      <x:c r="K100" s="256" t="str">
        <x:v>03_追加成长系统!第26行</x:v>
      </x:c>
    </x:row>
    <x:row r="101" ht="36" customHeight="1">
      <x:c r="A101" s="256" t="str">
        <x:v>C02-ADVSKILL-04</x:v>
      </x:c>
      <x:c r="B101" s="256" t="str">
        <x:v>C02</x:v>
      </x:c>
      <x:c r="C101" s="256" t="str">
        <x:v>C02</x:v>
      </x:c>
      <x:c r="D101" s="256" t="str">
        <x:v>深度养成</x:v>
      </x:c>
      <x:c r="E101" s="257" t="n">
        <x:v>500000000</x:v>
      </x:c>
      <x:c r="F101" s="257" t="n">
        <x:v>50000000</x:v>
      </x:c>
      <x:c r="G101" s="257" t="n">
        <x:v>1</x:v>
      </x:c>
      <x:c r="H101" s="257" t="n">
        <x:v>5000000000000</x:v>
      </x:c>
      <x:c r="I101" s="257" t="n">
        <x:v>500000000000</x:v>
      </x:c>
      <x:c r="J101" s="256" t="str">
        <x:v>是</x:v>
      </x:c>
      <x:c r="K101" s="256" t="str">
        <x:v>03_追加成长系统!第27行</x:v>
      </x:c>
    </x:row>
    <x:row r="102" ht="36" customHeight="1">
      <x:c r="A102" s="256" t="str">
        <x:v>C02-ADVSKILL-05</x:v>
      </x:c>
      <x:c r="B102" s="256" t="str">
        <x:v>C02</x:v>
      </x:c>
      <x:c r="C102" s="256" t="str">
        <x:v>C02</x:v>
      </x:c>
      <x:c r="D102" s="256" t="str">
        <x:v>深度养成</x:v>
      </x:c>
      <x:c r="E102" s="257" t="n">
        <x:v>500000000</x:v>
      </x:c>
      <x:c r="F102" s="257" t="n">
        <x:v>50000000</x:v>
      </x:c>
      <x:c r="G102" s="257" t="n">
        <x:v>1</x:v>
      </x:c>
      <x:c r="H102" s="257" t="n">
        <x:v>5000000000000</x:v>
      </x:c>
      <x:c r="I102" s="257" t="n">
        <x:v>500000000000</x:v>
      </x:c>
      <x:c r="J102" s="256" t="str">
        <x:v>是</x:v>
      </x:c>
      <x:c r="K102" s="256" t="str">
        <x:v>03_追加成长系统!第28行</x:v>
      </x:c>
    </x:row>
    <x:row r="103" ht="36" customHeight="1">
      <x:c r="A103" s="256" t="str">
        <x:v>C02-ADVSKILL-06</x:v>
      </x:c>
      <x:c r="B103" s="256" t="str">
        <x:v>C02</x:v>
      </x:c>
      <x:c r="C103" s="256" t="str">
        <x:v>C02</x:v>
      </x:c>
      <x:c r="D103" s="256" t="str">
        <x:v>深度养成</x:v>
      </x:c>
      <x:c r="E103" s="257" t="n">
        <x:v>500000000</x:v>
      </x:c>
      <x:c r="F103" s="257" t="n">
        <x:v>50000000</x:v>
      </x:c>
      <x:c r="G103" s="257" t="n">
        <x:v>1</x:v>
      </x:c>
      <x:c r="H103" s="257" t="n">
        <x:v>5000000000000</x:v>
      </x:c>
      <x:c r="I103" s="257" t="n">
        <x:v>500000000000</x:v>
      </x:c>
      <x:c r="J103" s="256" t="str">
        <x:v>是</x:v>
      </x:c>
      <x:c r="K103" s="256" t="str">
        <x:v>03_追加成长系统!第29行</x:v>
      </x:c>
    </x:row>
    <x:row r="104" ht="36" customHeight="1">
      <x:c r="A104" s="256" t="str">
        <x:v>C02-WASH</x:v>
      </x:c>
      <x:c r="B104" s="256" t="str">
        <x:v>C02</x:v>
      </x:c>
      <x:c r="C104" s="256" t="str">
        <x:v>C02</x:v>
      </x:c>
      <x:c r="D104" s="256" t="str">
        <x:v>深度养成</x:v>
      </x:c>
      <x:c r="E104" s="257" t="n">
        <x:v>0</x:v>
      </x:c>
      <x:c r="F104" s="257" t="n">
        <x:v>1000000</x:v>
      </x:c>
      <x:c r="G104" s="257" t="n">
        <x:v>120</x:v>
      </x:c>
      <x:c r="H104" s="257" t="n">
        <x:v>0</x:v>
      </x:c>
      <x:c r="I104" s="257" t="n">
        <x:v>1200000000000</x:v>
      </x:c>
      <x:c r="J104" s="256" t="str">
        <x:v>是</x:v>
      </x:c>
      <x:c r="K104" s="256" t="str">
        <x:v>03_追加成长系统!第30行</x:v>
      </x:c>
    </x:row>
    <x:row r="105" ht="36" customHeight="1">
      <x:c r="A105" s="256" t="str">
        <x:v>C02-OPEN</x:v>
      </x:c>
      <x:c r="B105" s="256" t="str">
        <x:v>C02</x:v>
      </x:c>
      <x:c r="C105" s="256" t="str">
        <x:v>C02</x:v>
      </x:c>
      <x:c r="D105" s="256" t="str">
        <x:v>深度养成</x:v>
      </x:c>
      <x:c r="E105" s="257" t="n">
        <x:v>0</x:v>
      </x:c>
      <x:c r="F105" s="257" t="n">
        <x:v>5000000</x:v>
      </x:c>
      <x:c r="G105" s="257" t="n">
        <x:v>5</x:v>
      </x:c>
      <x:c r="H105" s="257" t="n">
        <x:v>0</x:v>
      </x:c>
      <x:c r="I105" s="257" t="n">
        <x:v>250000000000</x:v>
      </x:c>
      <x:c r="J105" s="256" t="str">
        <x:v>是</x:v>
      </x:c>
      <x:c r="K105" s="256" t="str">
        <x:v>03_追加成长系统!第31行</x:v>
      </x:c>
    </x:row>
    <x:row r="106" ht="36" customHeight="1">
      <x:c r="A106" s="256" t="str">
        <x:v>C03-WASH</x:v>
      </x:c>
      <x:c r="B106" s="256" t="str">
        <x:v>C03</x:v>
      </x:c>
      <x:c r="C106" s="256" t="str">
        <x:v>C03</x:v>
      </x:c>
      <x:c r="D106" s="256" t="str">
        <x:v>深度养成</x:v>
      </x:c>
      <x:c r="E106" s="257" t="n">
        <x:v>0</x:v>
      </x:c>
      <x:c r="F106" s="257" t="n">
        <x:v>1900000</x:v>
      </x:c>
      <x:c r="G106" s="257" t="n">
        <x:v>160</x:v>
      </x:c>
      <x:c r="H106" s="257" t="n">
        <x:v>0</x:v>
      </x:c>
      <x:c r="I106" s="257" t="n">
        <x:v>3040000000000</x:v>
      </x:c>
      <x:c r="J106" s="256" t="str">
        <x:v>是</x:v>
      </x:c>
      <x:c r="K106" s="256" t="str">
        <x:v>03_追加成长系统!第32行</x:v>
      </x:c>
    </x:row>
    <x:row r="107" ht="36" customHeight="1">
      <x:c r="A107" s="256" t="str">
        <x:v>C03-OPEN</x:v>
      </x:c>
      <x:c r="B107" s="256" t="str">
        <x:v>C03</x:v>
      </x:c>
      <x:c r="C107" s="256" t="str">
        <x:v>C03</x:v>
      </x:c>
      <x:c r="D107" s="256" t="str">
        <x:v>深度养成</x:v>
      </x:c>
      <x:c r="E107" s="257" t="n">
        <x:v>0</x:v>
      </x:c>
      <x:c r="F107" s="257" t="n">
        <x:v>9500000</x:v>
      </x:c>
      <x:c r="G107" s="257" t="n">
        <x:v>8</x:v>
      </x:c>
      <x:c r="H107" s="257" t="n">
        <x:v>0</x:v>
      </x:c>
      <x:c r="I107" s="257" t="n">
        <x:v>760000000000</x:v>
      </x:c>
      <x:c r="J107" s="256" t="str">
        <x:v>是</x:v>
      </x:c>
      <x:c r="K107" s="256" t="str">
        <x:v>03_追加成长系统!第33行</x:v>
      </x:c>
    </x:row>
    <x:row r="108" ht="36" customHeight="1">
      <x:c r="A108" s="256" t="str">
        <x:v>C04-WASH</x:v>
      </x:c>
      <x:c r="B108" s="256" t="str">
        <x:v>C04</x:v>
      </x:c>
      <x:c r="C108" s="256" t="str">
        <x:v>C04</x:v>
      </x:c>
      <x:c r="D108" s="256" t="str">
        <x:v>深度养成</x:v>
      </x:c>
      <x:c r="E108" s="257" t="n">
        <x:v>0</x:v>
      </x:c>
      <x:c r="F108" s="257" t="n">
        <x:v>2900000</x:v>
      </x:c>
      <x:c r="G108" s="257" t="n">
        <x:v>200</x:v>
      </x:c>
      <x:c r="H108" s="257" t="n">
        <x:v>0</x:v>
      </x:c>
      <x:c r="I108" s="257" t="n">
        <x:v>5800000000000</x:v>
      </x:c>
      <x:c r="J108" s="256" t="str">
        <x:v>是</x:v>
      </x:c>
      <x:c r="K108" s="256" t="str">
        <x:v>03_追加成长系统!第34行</x:v>
      </x:c>
    </x:row>
    <x:row r="109" ht="36" customHeight="1">
      <x:c r="A109" s="256" t="str">
        <x:v>C04-OPEN</x:v>
      </x:c>
      <x:c r="B109" s="256" t="str">
        <x:v>C04</x:v>
      </x:c>
      <x:c r="C109" s="256" t="str">
        <x:v>C04</x:v>
      </x:c>
      <x:c r="D109" s="256" t="str">
        <x:v>深度养成</x:v>
      </x:c>
      <x:c r="E109" s="257" t="n">
        <x:v>0</x:v>
      </x:c>
      <x:c r="F109" s="257" t="n">
        <x:v>14500000</x:v>
      </x:c>
      <x:c r="G109" s="257" t="n">
        <x:v>10</x:v>
      </x:c>
      <x:c r="H109" s="257" t="n">
        <x:v>0</x:v>
      </x:c>
      <x:c r="I109" s="257" t="n">
        <x:v>1450000000000</x:v>
      </x:c>
      <x:c r="J109" s="256" t="str">
        <x:v>是</x:v>
      </x:c>
      <x:c r="K109" s="256" t="str">
        <x:v>03_追加成长系统!第35行</x:v>
      </x:c>
    </x:row>
    <x:row r="110" ht="36" customHeight="1">
      <x:c r="A110" s="256" t="str">
        <x:v>C05-WASH</x:v>
      </x:c>
      <x:c r="B110" s="256" t="str">
        <x:v>C05</x:v>
      </x:c>
      <x:c r="C110" s="256" t="str">
        <x:v>C05</x:v>
      </x:c>
      <x:c r="D110" s="256" t="str">
        <x:v>深度养成</x:v>
      </x:c>
      <x:c r="E110" s="257" t="n">
        <x:v>0</x:v>
      </x:c>
      <x:c r="F110" s="257" t="n">
        <x:v>6200000</x:v>
      </x:c>
      <x:c r="G110" s="257" t="n">
        <x:v>240</x:v>
      </x:c>
      <x:c r="H110" s="257" t="n">
        <x:v>0</x:v>
      </x:c>
      <x:c r="I110" s="257" t="n">
        <x:v>14880000000000</x:v>
      </x:c>
      <x:c r="J110" s="256" t="str">
        <x:v>是</x:v>
      </x:c>
      <x:c r="K110" s="256" t="str">
        <x:v>03_追加成长系统!第36行</x:v>
      </x:c>
    </x:row>
    <x:row r="111" ht="36" customHeight="1">
      <x:c r="A111" s="256" t="str">
        <x:v>C05-OPEN</x:v>
      </x:c>
      <x:c r="B111" s="256" t="str">
        <x:v>C05</x:v>
      </x:c>
      <x:c r="C111" s="256" t="str">
        <x:v>C05</x:v>
      </x:c>
      <x:c r="D111" s="256" t="str">
        <x:v>深度养成</x:v>
      </x:c>
      <x:c r="E111" s="257" t="n">
        <x:v>0</x:v>
      </x:c>
      <x:c r="F111" s="257" t="n">
        <x:v>31000000</x:v>
      </x:c>
      <x:c r="G111" s="257" t="n">
        <x:v>12</x:v>
      </x:c>
      <x:c r="H111" s="257" t="n">
        <x:v>0</x:v>
      </x:c>
      <x:c r="I111" s="257" t="n">
        <x:v>3720000000000</x:v>
      </x:c>
      <x:c r="J111" s="256" t="str">
        <x:v>是</x:v>
      </x:c>
      <x:c r="K111" s="256" t="str">
        <x:v>03_追加成长系统!第37行</x:v>
      </x:c>
    </x:row>
    <x:row r="112" ht="36" customHeight="1">
      <x:c r="A112" s="256" t="str">
        <x:v>C06-WASH</x:v>
      </x:c>
      <x:c r="B112" s="256" t="str">
        <x:v>C06</x:v>
      </x:c>
      <x:c r="C112" s="256" t="str">
        <x:v>C06</x:v>
      </x:c>
      <x:c r="D112" s="256" t="str">
        <x:v>深度养成</x:v>
      </x:c>
      <x:c r="E112" s="257" t="n">
        <x:v>0</x:v>
      </x:c>
      <x:c r="F112" s="257" t="n">
        <x:v>6800000</x:v>
      </x:c>
      <x:c r="G112" s="257" t="n">
        <x:v>280</x:v>
      </x:c>
      <x:c r="H112" s="257" t="n">
        <x:v>0</x:v>
      </x:c>
      <x:c r="I112" s="257" t="n">
        <x:v>19040000000000</x:v>
      </x:c>
      <x:c r="J112" s="256" t="str">
        <x:v>是</x:v>
      </x:c>
      <x:c r="K112" s="256" t="str">
        <x:v>03_追加成长系统!第38行</x:v>
      </x:c>
    </x:row>
    <x:row r="113" ht="36" customHeight="1">
      <x:c r="A113" s="256" t="str">
        <x:v>C06-OPEN</x:v>
      </x:c>
      <x:c r="B113" s="256" t="str">
        <x:v>C06</x:v>
      </x:c>
      <x:c r="C113" s="256" t="str">
        <x:v>C06</x:v>
      </x:c>
      <x:c r="D113" s="256" t="str">
        <x:v>深度养成</x:v>
      </x:c>
      <x:c r="E113" s="257" t="n">
        <x:v>0</x:v>
      </x:c>
      <x:c r="F113" s="257" t="n">
        <x:v>34000000</x:v>
      </x:c>
      <x:c r="G113" s="257" t="n">
        <x:v>14</x:v>
      </x:c>
      <x:c r="H113" s="257" t="n">
        <x:v>0</x:v>
      </x:c>
      <x:c r="I113" s="257" t="n">
        <x:v>4760000000000</x:v>
      </x:c>
      <x:c r="J113" s="256" t="str">
        <x:v>是</x:v>
      </x:c>
      <x:c r="K113" s="256" t="str">
        <x:v>03_追加成长系统!第39行</x:v>
      </x:c>
    </x:row>
    <x:row r="114" ht="36" customHeight="1">
      <x:c r="A114" s="256" t="str">
        <x:v>C07-WASH</x:v>
      </x:c>
      <x:c r="B114" s="256" t="str">
        <x:v>C07</x:v>
      </x:c>
      <x:c r="C114" s="256" t="str">
        <x:v>C07</x:v>
      </x:c>
      <x:c r="D114" s="256" t="str">
        <x:v>深度养成</x:v>
      </x:c>
      <x:c r="E114" s="257" t="n">
        <x:v>0</x:v>
      </x:c>
      <x:c r="F114" s="257" t="n">
        <x:v>13500000</x:v>
      </x:c>
      <x:c r="G114" s="257" t="n">
        <x:v>320</x:v>
      </x:c>
      <x:c r="H114" s="257" t="n">
        <x:v>0</x:v>
      </x:c>
      <x:c r="I114" s="257" t="n">
        <x:v>43200000000000</x:v>
      </x:c>
      <x:c r="J114" s="256" t="str">
        <x:v>是</x:v>
      </x:c>
      <x:c r="K114" s="256" t="str">
        <x:v>03_追加成长系统!第40行</x:v>
      </x:c>
    </x:row>
    <x:row r="115" ht="36" customHeight="1">
      <x:c r="A115" s="256" t="str">
        <x:v>C07-OPEN</x:v>
      </x:c>
      <x:c r="B115" s="256" t="str">
        <x:v>C07</x:v>
      </x:c>
      <x:c r="C115" s="256" t="str">
        <x:v>C07</x:v>
      </x:c>
      <x:c r="D115" s="256" t="str">
        <x:v>深度养成</x:v>
      </x:c>
      <x:c r="E115" s="257" t="n">
        <x:v>0</x:v>
      </x:c>
      <x:c r="F115" s="257" t="n">
        <x:v>67000000</x:v>
      </x:c>
      <x:c r="G115" s="257" t="n">
        <x:v>16</x:v>
      </x:c>
      <x:c r="H115" s="257" t="n">
        <x:v>0</x:v>
      </x:c>
      <x:c r="I115" s="257" t="n">
        <x:v>10720000000000</x:v>
      </x:c>
      <x:c r="J115" s="256" t="str">
        <x:v>是</x:v>
      </x:c>
      <x:c r="K115" s="256" t="str">
        <x:v>03_追加成长系统!第41行</x:v>
      </x:c>
    </x:row>
    <x:row r="116" ht="36" customHeight="1">
      <x:c r="A116" s="256" t="str">
        <x:v>C08-WASH</x:v>
      </x:c>
      <x:c r="B116" s="256" t="str">
        <x:v>C08</x:v>
      </x:c>
      <x:c r="C116" s="256" t="str">
        <x:v>C08</x:v>
      </x:c>
      <x:c r="D116" s="256" t="str">
        <x:v>深度养成</x:v>
      </x:c>
      <x:c r="E116" s="257" t="n">
        <x:v>0</x:v>
      </x:c>
      <x:c r="F116" s="257" t="n">
        <x:v>14000000</x:v>
      </x:c>
      <x:c r="G116" s="257" t="n">
        <x:v>360</x:v>
      </x:c>
      <x:c r="H116" s="257" t="n">
        <x:v>0</x:v>
      </x:c>
      <x:c r="I116" s="257" t="n">
        <x:v>50400000000000</x:v>
      </x:c>
      <x:c r="J116" s="256" t="str">
        <x:v>是</x:v>
      </x:c>
      <x:c r="K116" s="256" t="str">
        <x:v>03_追加成长系统!第42行</x:v>
      </x:c>
    </x:row>
    <x:row r="117" ht="36" customHeight="1">
      <x:c r="A117" s="256" t="str">
        <x:v>C08-OPEN</x:v>
      </x:c>
      <x:c r="B117" s="256" t="str">
        <x:v>C08</x:v>
      </x:c>
      <x:c r="C117" s="256" t="str">
        <x:v>C08</x:v>
      </x:c>
      <x:c r="D117" s="256" t="str">
        <x:v>深度养成</x:v>
      </x:c>
      <x:c r="E117" s="257" t="n">
        <x:v>0</x:v>
      </x:c>
      <x:c r="F117" s="257" t="n">
        <x:v>71000000</x:v>
      </x:c>
      <x:c r="G117" s="257" t="n">
        <x:v>18</x:v>
      </x:c>
      <x:c r="H117" s="257" t="n">
        <x:v>0</x:v>
      </x:c>
      <x:c r="I117" s="257" t="n">
        <x:v>12780000000000</x:v>
      </x:c>
      <x:c r="J117" s="256" t="str">
        <x:v>是</x:v>
      </x:c>
      <x:c r="K117" s="256" t="str">
        <x:v>03_追加成长系统!第43行</x:v>
      </x:c>
    </x:row>
    <x:row r="118" ht="36" customHeight="1">
      <x:c r="A118" s="256" t="str">
        <x:v>C09-WASH</x:v>
      </x:c>
      <x:c r="B118" s="256" t="str">
        <x:v>C09</x:v>
      </x:c>
      <x:c r="C118" s="256" t="str">
        <x:v>C09</x:v>
      </x:c>
      <x:c r="D118" s="256" t="str">
        <x:v>深度养成</x:v>
      </x:c>
      <x:c r="E118" s="257" t="n">
        <x:v>0</x:v>
      </x:c>
      <x:c r="F118" s="257" t="n">
        <x:v>35500000</x:v>
      </x:c>
      <x:c r="G118" s="257" t="n">
        <x:v>400</x:v>
      </x:c>
      <x:c r="H118" s="257" t="n">
        <x:v>0</x:v>
      </x:c>
      <x:c r="I118" s="257" t="n">
        <x:v>142000000000000</x:v>
      </x:c>
      <x:c r="J118" s="256" t="str">
        <x:v>是</x:v>
      </x:c>
      <x:c r="K118" s="256" t="str">
        <x:v>03_追加成长系统!第44行</x:v>
      </x:c>
    </x:row>
    <x:row r="119" ht="36" customHeight="1">
      <x:c r="A119" s="256" t="str">
        <x:v>C09-OPEN</x:v>
      </x:c>
      <x:c r="B119" s="256" t="str">
        <x:v>C09</x:v>
      </x:c>
      <x:c r="C119" s="256" t="str">
        <x:v>C09</x:v>
      </x:c>
      <x:c r="D119" s="256" t="str">
        <x:v>深度养成</x:v>
      </x:c>
      <x:c r="E119" s="257" t="n">
        <x:v>0</x:v>
      </x:c>
      <x:c r="F119" s="257" t="n">
        <x:v>178000000</x:v>
      </x:c>
      <x:c r="G119" s="257" t="n">
        <x:v>20</x:v>
      </x:c>
      <x:c r="H119" s="257" t="n">
        <x:v>0</x:v>
      </x:c>
      <x:c r="I119" s="257" t="n">
        <x:v>35600000000000</x:v>
      </x:c>
      <x:c r="J119" s="256" t="str">
        <x:v>是</x:v>
      </x:c>
      <x:c r="K119" s="256" t="str">
        <x:v>03_追加成长系统!第45行</x:v>
      </x:c>
    </x:row>
    <x:row r="120" ht="36" customHeight="1">
      <x:c r="A120" s="256" t="str">
        <x:v>C10-WASH</x:v>
      </x:c>
      <x:c r="B120" s="256" t="str">
        <x:v>C10</x:v>
      </x:c>
      <x:c r="C120" s="256" t="str">
        <x:v>C10</x:v>
      </x:c>
      <x:c r="D120" s="256" t="str">
        <x:v>深度养成</x:v>
      </x:c>
      <x:c r="E120" s="257" t="n">
        <x:v>0</x:v>
      </x:c>
      <x:c r="F120" s="257" t="n">
        <x:v>37000000</x:v>
      </x:c>
      <x:c r="G120" s="257" t="n">
        <x:v>450</x:v>
      </x:c>
      <x:c r="H120" s="257" t="n">
        <x:v>0</x:v>
      </x:c>
      <x:c r="I120" s="257" t="n">
        <x:v>166500000000000</x:v>
      </x:c>
      <x:c r="J120" s="256" t="str">
        <x:v>是</x:v>
      </x:c>
      <x:c r="K120" s="256" t="str">
        <x:v>03_追加成长系统!第46行</x:v>
      </x:c>
    </x:row>
    <x:row r="121" ht="36" customHeight="1">
      <x:c r="A121" s="256" t="str">
        <x:v>C10-OPEN</x:v>
      </x:c>
      <x:c r="B121" s="256" t="str">
        <x:v>C10</x:v>
      </x:c>
      <x:c r="C121" s="256" t="str">
        <x:v>C10</x:v>
      </x:c>
      <x:c r="D121" s="256" t="str">
        <x:v>深度养成</x:v>
      </x:c>
      <x:c r="E121" s="257" t="n">
        <x:v>0</x:v>
      </x:c>
      <x:c r="F121" s="257" t="n">
        <x:v>184000000</x:v>
      </x:c>
      <x:c r="G121" s="257" t="n">
        <x:v>24</x:v>
      </x:c>
      <x:c r="H121" s="257" t="n">
        <x:v>0</x:v>
      </x:c>
      <x:c r="I121" s="257" t="n">
        <x:v>44160000000000</x:v>
      </x:c>
      <x:c r="J121" s="256" t="str">
        <x:v>是</x:v>
      </x:c>
      <x:c r="K121" s="256" t="str">
        <x:v>03_追加成长系统!第47行</x:v>
      </x:c>
    </x:row>
    <x:row r="122" ht="36" customHeight="1">
      <x:c r="A122" s="256" t="str">
        <x:v>C02-NECKLUCK</x:v>
      </x:c>
      <x:c r="B122" s="256" t="str">
        <x:v>C02</x:v>
      </x:c>
      <x:c r="C122" s="256" t="str">
        <x:v>C02</x:v>
      </x:c>
      <x:c r="D122" s="256" t="str">
        <x:v>深度养成</x:v>
      </x:c>
      <x:c r="E122" s="257" t="n">
        <x:v>0</x:v>
      </x:c>
      <x:c r="F122" s="257" t="n">
        <x:v>1000000</x:v>
      </x:c>
      <x:c r="G122" s="257" t="n">
        <x:v>250</x:v>
      </x:c>
      <x:c r="H122" s="257" t="n">
        <x:v>0</x:v>
      </x:c>
      <x:c r="I122" s="257" t="n">
        <x:v>2500000000000</x:v>
      </x:c>
      <x:c r="J122" s="256" t="str">
        <x:v>是</x:v>
      </x:c>
      <x:c r="K122" s="256" t="str">
        <x:v>03_追加成长系统!第48行</x:v>
      </x:c>
    </x:row>
    <x:row r="123" ht="36" customHeight="1">
      <x:c r="A123" s="256" t="str">
        <x:v>C02-BODY-1-50</x:v>
      </x:c>
      <x:c r="B123" s="256" t="str">
        <x:v>C02</x:v>
      </x:c>
      <x:c r="C123" s="256" t="str">
        <x:v>C02</x:v>
      </x:c>
      <x:c r="D123" s="256" t="str">
        <x:v>长期养成</x:v>
      </x:c>
      <x:c r="E123" s="257" t="n">
        <x:v>0</x:v>
      </x:c>
      <x:c r="F123" s="257" t="n">
        <x:v>0</x:v>
      </x:c>
      <x:c r="G123" s="257" t="n">
        <x:v>50</x:v>
      </x:c>
      <x:c r="H123" s="257" t="n">
        <x:v>897000000000</x:v>
      </x:c>
      <x:c r="I123" s="257" t="n">
        <x:v>0</x:v>
      </x:c>
      <x:c r="J123" s="256" t="str">
        <x:v>是</x:v>
      </x:c>
      <x:c r="K123" s="256" t="str">
        <x:v>03_追加成长系统!第49行；神印零单次格不代表免费</x:v>
      </x:c>
    </x:row>
    <x:row r="124" ht="36" customHeight="1">
      <x:c r="A124" s="256" t="str">
        <x:v>C03-BODY-51-80</x:v>
      </x:c>
      <x:c r="B124" s="256" t="str">
        <x:v>C03</x:v>
      </x:c>
      <x:c r="C124" s="256" t="str">
        <x:v>C03</x:v>
      </x:c>
      <x:c r="D124" s="256" t="str">
        <x:v>长期养成</x:v>
      </x:c>
      <x:c r="E124" s="257" t="n">
        <x:v>0</x:v>
      </x:c>
      <x:c r="F124" s="257" t="n">
        <x:v>0</x:v>
      </x:c>
      <x:c r="G124" s="257" t="n">
        <x:v>30</x:v>
      </x:c>
      <x:c r="H124" s="257" t="n">
        <x:v>1592000000000</x:v>
      </x:c>
      <x:c r="I124" s="257" t="n">
        <x:v>0</x:v>
      </x:c>
      <x:c r="J124" s="256" t="str">
        <x:v>是</x:v>
      </x:c>
      <x:c r="K124" s="256" t="str">
        <x:v>03_追加成长系统!第50行；神印零单次格不代表免费</x:v>
      </x:c>
    </x:row>
    <x:row r="125" ht="36" customHeight="1">
      <x:c r="A125" s="256" t="str">
        <x:v>C04-BODY-81-110</x:v>
      </x:c>
      <x:c r="B125" s="256" t="str">
        <x:v>C04</x:v>
      </x:c>
      <x:c r="C125" s="256" t="str">
        <x:v>C04</x:v>
      </x:c>
      <x:c r="D125" s="256" t="str">
        <x:v>长期养成</x:v>
      </x:c>
      <x:c r="E125" s="257" t="n">
        <x:v>0</x:v>
      </x:c>
      <x:c r="F125" s="257" t="n">
        <x:v>0</x:v>
      </x:c>
      <x:c r="G125" s="257" t="n">
        <x:v>30</x:v>
      </x:c>
      <x:c r="H125" s="257" t="n">
        <x:v>2007000000000</x:v>
      </x:c>
      <x:c r="I125" s="257" t="n">
        <x:v>0</x:v>
      </x:c>
      <x:c r="J125" s="256" t="str">
        <x:v>是</x:v>
      </x:c>
      <x:c r="K125" s="256" t="str">
        <x:v>03_追加成长系统!第51行；神印零单次格不代表免费</x:v>
      </x:c>
    </x:row>
    <x:row r="126" ht="36" customHeight="1">
      <x:c r="A126" s="256" t="str">
        <x:v>C05-BODY-111-140</x:v>
      </x:c>
      <x:c r="B126" s="256" t="str">
        <x:v>C05</x:v>
      </x:c>
      <x:c r="C126" s="256" t="str">
        <x:v>C05</x:v>
      </x:c>
      <x:c r="D126" s="256" t="str">
        <x:v>长期养成</x:v>
      </x:c>
      <x:c r="E126" s="257" t="n">
        <x:v>0</x:v>
      </x:c>
      <x:c r="F126" s="257" t="n">
        <x:v>0</x:v>
      </x:c>
      <x:c r="G126" s="257" t="n">
        <x:v>30</x:v>
      </x:c>
      <x:c r="H126" s="257" t="n">
        <x:v>3425000000000</x:v>
      </x:c>
      <x:c r="I126" s="257" t="n">
        <x:v>0</x:v>
      </x:c>
      <x:c r="J126" s="256" t="str">
        <x:v>是</x:v>
      </x:c>
      <x:c r="K126" s="256" t="str">
        <x:v>03_追加成长系统!第52行；神印零单次格不代表免费</x:v>
      </x:c>
    </x:row>
    <x:row r="127" ht="36" customHeight="1">
      <x:c r="A127" s="256" t="str">
        <x:v>C06-BODY-141-170</x:v>
      </x:c>
      <x:c r="B127" s="256" t="str">
        <x:v>C06</x:v>
      </x:c>
      <x:c r="C127" s="256" t="str">
        <x:v>C06</x:v>
      </x:c>
      <x:c r="D127" s="256" t="str">
        <x:v>长期养成</x:v>
      </x:c>
      <x:c r="E127" s="257" t="n">
        <x:v>0</x:v>
      </x:c>
      <x:c r="F127" s="257" t="n">
        <x:v>0</x:v>
      </x:c>
      <x:c r="G127" s="257" t="n">
        <x:v>30</x:v>
      </x:c>
      <x:c r="H127" s="257" t="n">
        <x:v>4848000000000</x:v>
      </x:c>
      <x:c r="I127" s="257" t="n">
        <x:v>0</x:v>
      </x:c>
      <x:c r="J127" s="256" t="str">
        <x:v>是</x:v>
      </x:c>
      <x:c r="K127" s="256" t="str">
        <x:v>03_追加成长系统!第53行；神印零单次格不代表免费</x:v>
      </x:c>
    </x:row>
    <x:row r="128" ht="36" customHeight="1">
      <x:c r="A128" s="256" t="str">
        <x:v>C07-BODY-171-195</x:v>
      </x:c>
      <x:c r="B128" s="256" t="str">
        <x:v>C07</x:v>
      </x:c>
      <x:c r="C128" s="256" t="str">
        <x:v>C07</x:v>
      </x:c>
      <x:c r="D128" s="256" t="str">
        <x:v>长期养成</x:v>
      </x:c>
      <x:c r="E128" s="257" t="n">
        <x:v>0</x:v>
      </x:c>
      <x:c r="F128" s="257" t="n">
        <x:v>0</x:v>
      </x:c>
      <x:c r="G128" s="257" t="n">
        <x:v>25</x:v>
      </x:c>
      <x:c r="H128" s="257" t="n">
        <x:v>8180000000000</x:v>
      </x:c>
      <x:c r="I128" s="257" t="n">
        <x:v>0</x:v>
      </x:c>
      <x:c r="J128" s="256" t="str">
        <x:v>是</x:v>
      </x:c>
      <x:c r="K128" s="256" t="str">
        <x:v>03_追加成长系统!第54行；神印零单次格不代表免费</x:v>
      </x:c>
    </x:row>
    <x:row r="129" ht="36" customHeight="1">
      <x:c r="A129" s="256" t="str">
        <x:v>C08-BODY-196-220</x:v>
      </x:c>
      <x:c r="B129" s="256" t="str">
        <x:v>C08</x:v>
      </x:c>
      <x:c r="C129" s="256" t="str">
        <x:v>C08</x:v>
      </x:c>
      <x:c r="D129" s="256" t="str">
        <x:v>长期养成</x:v>
      </x:c>
      <x:c r="E129" s="257" t="n">
        <x:v>0</x:v>
      </x:c>
      <x:c r="F129" s="257" t="n">
        <x:v>0</x:v>
      </x:c>
      <x:c r="G129" s="257" t="n">
        <x:v>25</x:v>
      </x:c>
      <x:c r="H129" s="257" t="n">
        <x:v>9900000000000</x:v>
      </x:c>
      <x:c r="I129" s="257" t="n">
        <x:v>0</x:v>
      </x:c>
      <x:c r="J129" s="256" t="str">
        <x:v>是</x:v>
      </x:c>
      <x:c r="K129" s="256" t="str">
        <x:v>03_追加成长系统!第55行；神印零单次格不代表免费</x:v>
      </x:c>
    </x:row>
    <x:row r="130" ht="36" customHeight="1">
      <x:c r="A130" s="256" t="str">
        <x:v>C09-BODY-221-240</x:v>
      </x:c>
      <x:c r="B130" s="256" t="str">
        <x:v>C09</x:v>
      </x:c>
      <x:c r="C130" s="256" t="str">
        <x:v>C09</x:v>
      </x:c>
      <x:c r="D130" s="256" t="str">
        <x:v>长期养成</x:v>
      </x:c>
      <x:c r="E130" s="257" t="n">
        <x:v>0</x:v>
      </x:c>
      <x:c r="F130" s="257" t="n">
        <x:v>0</x:v>
      </x:c>
      <x:c r="G130" s="257" t="n">
        <x:v>20</x:v>
      </x:c>
      <x:c r="H130" s="257" t="n">
        <x:v>15440000000000</x:v>
      </x:c>
      <x:c r="I130" s="257" t="n">
        <x:v>0</x:v>
      </x:c>
      <x:c r="J130" s="256" t="str">
        <x:v>是</x:v>
      </x:c>
      <x:c r="K130" s="256" t="str">
        <x:v>03_追加成长系统!第56行；神印零单次格不代表免费</x:v>
      </x:c>
    </x:row>
    <x:row r="131" ht="36" customHeight="1">
      <x:c r="A131" s="256" t="str">
        <x:v>C10-BODY-241-255</x:v>
      </x:c>
      <x:c r="B131" s="256" t="str">
        <x:v>C10</x:v>
      </x:c>
      <x:c r="C131" s="256" t="str">
        <x:v>C10</x:v>
      </x:c>
      <x:c r="D131" s="256" t="str">
        <x:v>长期养成</x:v>
      </x:c>
      <x:c r="E131" s="257" t="n">
        <x:v>0</x:v>
      </x:c>
      <x:c r="F131" s="257" t="n">
        <x:v>0</x:v>
      </x:c>
      <x:c r="G131" s="257" t="n">
        <x:v>15</x:v>
      </x:c>
      <x:c r="H131" s="257" t="n">
        <x:v>18580000000000</x:v>
      </x:c>
      <x:c r="I131" s="257" t="n">
        <x:v>0</x:v>
      </x:c>
      <x:c r="J131" s="256" t="str">
        <x:v>是</x:v>
      </x:c>
      <x:c r="K131" s="256" t="str">
        <x:v>03_追加成长系统!第57行；神印零单次格不代表免费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34" hidden="0" customWidth="1"/>
    <x:col min="5" max="5" width="34" hidden="0" customWidth="1"/>
    <x:col min="6" max="6" width="46" hidden="0" customWidth="1"/>
  </x:cols>
  <x:sheetData>
    <x:row r="1">
      <x:c r="A1" s="263" t="str">
        <x:v>2026-09-05 数值尺度修订｜只放大数值颗粒，不改原比例</x:v>
      </x:c>
      <x:c r="B1" s="263"/>
      <x:c r="C1" s="263"/>
      <x:c r="D1" s="263"/>
      <x:c r="E1" s="263"/>
      <x:c r="F1" s="263"/>
    </x:row>
    <x:row r="3">
      <x:c r="A3" s="262" t="str">
        <x:v>对象</x:v>
      </x:c>
      <x:c r="B3" s="262" t="str">
        <x:v>旧尺度</x:v>
      </x:c>
      <x:c r="C3" s="262" t="str">
        <x:v>新尺度</x:v>
      </x:c>
      <x:c r="D3" s="262" t="str">
        <x:v>产出</x:v>
      </x:c>
      <x:c r="E3" s="262" t="str">
        <x:v>消耗</x:v>
      </x:c>
      <x:c r="F3" s="262" t="str">
        <x:v>边界</x:v>
      </x:c>
    </x:row>
    <x:row r="4">
      <x:c r="A4" t="str">
        <x:v>金币</x:v>
      </x:c>
      <x:c r="B4" t="str">
        <x:v>×1</x:v>
      </x:c>
      <x:c r="C4" t="str">
        <x:v>×100</x:v>
      </x:c>
      <x:c r="D4" t="str">
        <x:v>所有金币回收/小时产出×100</x:v>
      </x:c>
      <x:c r="E4" t="str">
        <x:v>所有建模金币费用×100</x:v>
      </x:c>
      <x:c r="F4" t="str">
        <x:v>金币等价小时保持</x:v>
      </x:c>
    </x:row>
    <x:row r="5">
      <x:c r="A5" t="str">
        <x:v>元宝</x:v>
      </x:c>
      <x:c r="B5" t="str">
        <x:v>×1</x:v>
      </x:c>
      <x:c r="C5" t="str">
        <x:v>×100</x:v>
      </x:c>
      <x:c r="D5" t="str">
        <x:v>所有元宝回收/小时产出×100</x:v>
      </x:c>
      <x:c r="E5" t="str">
        <x:v>所有建模元宝费用×100</x:v>
      </x:c>
      <x:c r="F5" t="str">
        <x:v>元宝等价小时保持</x:v>
      </x:c>
    </x:row>
    <x:row r="6">
      <x:c r="A6" t="str">
        <x:v>失色锻造石</x:v>
      </x:c>
      <x:c r="B6" t="str">
        <x:v>×1</x:v>
      </x:c>
      <x:c r="C6" t="str">
        <x:v>×10</x:v>
      </x:c>
      <x:c r="D6" t="str">
        <x:v>563件专属分解数量×10</x:v>
      </x:c>
      <x:c r="E6" t="str">
        <x:v>洗练/开光/合成等已建模失色需求×10</x:v>
      </x:c>
      <x:c r="F6" t="str">
        <x:v>其他材料不变；仍待爆率闭环</x:v>
      </x:c>
    </x:row>
    <x:row r="7">
      <x:c r="A7" t="str">
        <x:v>货币回收增加</x:v>
      </x:c>
      <x:c r="B7" t="str">
        <x:v>50%</x:v>
      </x:c>
      <x:c r="C7" t="str">
        <x:v>50%</x:v>
      </x:c>
      <x:c r="D7" t="str">
        <x:v>基础货币放大后仍×1.5</x:v>
      </x:c>
      <x:c r="E7" t="str">
        <x:v>不变</x:v>
      </x:c>
      <x:c r="F7" t="str">
        <x:v>不额外重复乘100</x:v>
      </x:c>
    </x:row>
    <x:row r="8">
      <x:c r="A8" t="str">
        <x:v>材料回收增加</x:v>
      </x:c>
      <x:c r="B8" t="str">
        <x:v>固定数量</x:v>
      </x:c>
      <x:c r="C8" t="str">
        <x:v>固定数量</x:v>
      </x:c>
      <x:c r="D8" t="str">
        <x:v>失色新基础分解值固定发放</x:v>
      </x:c>
      <x:c r="E8" t="str">
        <x:v>不享受50%货币加成</x:v>
      </x:c>
      <x:c r="F8" t="str">
        <x:v>引擎规则不变</x:v>
      </x:c>
    </x:row>
  </x:sheetData>
  <x:mergeCells>
    <x:mergeCell ref="A1:F1"/>
  </x:mergeCells>
  <x:pageMargins left="0.7" right="0.7" top="0.75" bottom="0.75" header="0.3" footer="0.3"/>
</x:worksheet>
</file>