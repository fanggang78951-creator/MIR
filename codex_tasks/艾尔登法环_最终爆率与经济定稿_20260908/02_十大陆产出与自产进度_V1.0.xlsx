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6e7fc2ff9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摘要" sheetId="1" r:id="R6fa8656127744fc4"/>
    <x:sheet xmlns:r="http://schemas.openxmlformats.org/officeDocument/2006/relationships" name="01_阶段时间与击杀" sheetId="2" r:id="R1b0eb19aa1a6484f"/>
    <x:sheet xmlns:r="http://schemas.openxmlformats.org/officeDocument/2006/relationships" name="02_产出留用消耗分账" sheetId="3" r:id="Rc2e6ebceb17c423e"/>
    <x:sheet xmlns:r="http://schemas.openxmlformats.org/officeDocument/2006/relationships" name="03_不留用时毛产出" sheetId="4" r:id="R7da24f45a3b34d88"/>
    <x:sheet xmlns:r="http://schemas.openxmlformats.org/officeDocument/2006/relationships" name="04_普通专属推进" sheetId="5" r:id="R4d2bf4feba0646fa"/>
    <x:sheet xmlns:r="http://schemas.openxmlformats.org/officeDocument/2006/relationships" name="05_材料与货币余额" sheetId="6" r:id="Rbdc399df72a94811"/>
    <x:sheet xmlns:r="http://schemas.openxmlformats.org/officeDocument/2006/relationships" name="06_刷图安排" sheetId="7" r:id="R1626e34fed7544eb"/>
    <x:sheet xmlns:r="http://schemas.openxmlformats.org/officeDocument/2006/relationships" name="07_回刷与敏感性" sheetId="8" r:id="Rc354968ae98b48c3"/>
    <x:sheet xmlns:r="http://schemas.openxmlformats.org/officeDocument/2006/relationships" name="08_装备留用清单" sheetId="9" r:id="R324cff82671542a6"/>
    <x:sheet xmlns:r="http://schemas.openxmlformats.org/officeDocument/2006/relationships" name="09_127项费用范围" sheetId="10" r:id="Rfed1949e5e4b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#,##0"/>
    <x:numFmt numFmtId="202" formatCode="0.0"/>
    <x:numFmt numFmtId="203" formatCode="#,##0.00"/>
    <x:numFmt numFmtId="204" formatCode="0.000000"/>
    <x:numFmt numFmtId="205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sz val="10"/>
      <x:color rgb="FF546579"/>
      <x:name val="Carlito"/>
    </x:font>
    <x:font>
      <x:b/>
      <x:sz val="10"/>
      <x:color rgb="FFFFFFFF"/>
      <x:name val="Carlito"/>
    </x:font>
    <x:font>
      <x:sz val="10"/>
      <x:name val="Arial"/>
    </x:font>
    <x:font>
      <x:sz val="10"/>
      <x:color rgb="FF8D561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64A"/>
      </x:patternFill>
    </x:fill>
    <x:fill>
      <x:patternFill patternType="solid">
        <x:fgColor rgb="FF217C80"/>
      </x:patternFill>
    </x:fill>
    <x:fill>
      <x:patternFill patternType="solid">
        <x:fgColor rgb="FFFFF4DE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2b43b68a674a34" /><Relationship Type="http://schemas.openxmlformats.org/officeDocument/2006/relationships/theme" Target="/xl/theme/theme1.xml" Id="Ra6772c473d854a2e" /><Relationship Type="http://schemas.openxmlformats.org/officeDocument/2006/relationships/sharedStrings" Target="/xl/sharedStrings.xml" Id="R49c8af97f09147bd" /><Relationship Type="http://schemas.openxmlformats.org/officeDocument/2006/relationships/worksheet" Target="/xl/worksheets/sheet1.xml" Id="R6fa8656127744fc4" /><Relationship Type="http://schemas.openxmlformats.org/officeDocument/2006/relationships/worksheet" Target="/xl/worksheets/sheet2.xml" Id="R1b0eb19aa1a6484f" /><Relationship Type="http://schemas.openxmlformats.org/officeDocument/2006/relationships/worksheet" Target="/xl/worksheets/sheet3.xml" Id="Rc2e6ebceb17c423e" /><Relationship Type="http://schemas.openxmlformats.org/officeDocument/2006/relationships/worksheet" Target="/xl/worksheets/sheet4.xml" Id="R7da24f45a3b34d88" /><Relationship Type="http://schemas.openxmlformats.org/officeDocument/2006/relationships/worksheet" Target="/xl/worksheets/sheet5.xml" Id="R4d2bf4feba0646fa" /><Relationship Type="http://schemas.openxmlformats.org/officeDocument/2006/relationships/worksheet" Target="/xl/worksheets/sheet6.xml" Id="Rbdc399df72a94811" /><Relationship Type="http://schemas.openxmlformats.org/officeDocument/2006/relationships/worksheet" Target="/xl/worksheets/sheet7.xml" Id="R1626e34fed7544eb" /><Relationship Type="http://schemas.openxmlformats.org/officeDocument/2006/relationships/worksheet" Target="/xl/worksheets/sheet8.xml" Id="Rc354968ae98b48c3" /><Relationship Type="http://schemas.openxmlformats.org/officeDocument/2006/relationships/worksheet" Target="/xl/worksheets/sheet9.xml" Id="R324cff82671542a6" /><Relationship Type="http://schemas.openxmlformats.org/officeDocument/2006/relationships/worksheet" Target="/xl/worksheets/sheet10.xml" Id="Rfed1949e5e4b4b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e03eff08e5447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十大陆条件资源预算（有效刷图小时）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条件资源预算小时</c:v>
          </c:tx>
          <c:cat>
            <c:strRef>
              <c:f>'00_摘要'!$A$5:$A$14</c:f>
              <c:strCache>
                <c:ptCount val="0"/>
              </c:strCache>
            </c:strRef>
          </c:cat>
          <c:val>
            <c:numRef>
              <c:f>'00_摘要'!$B$5:$B$14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e03eff08e5447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_B2_S0" displayName="Tbl_B2_S0" ref="A4:H14" headerRowCount="1" totalsRowCount="0" totalsRowShown="0">
  <x:tableColumns count="8">
    <x:tableColumn id="1" name="大陆"/>
    <x:tableColumn id="2" name="条件资源预算小时"/>
    <x:tableColumn id="3" name="成长中净金币每小时"/>
    <x:tableColumn id="4" name="成长中净元宝每小时"/>
    <x:tableColumn id="5" name="成长中可拆失色每小时"/>
    <x:tableColumn id="6" name="普通50%-70%平均分钟"/>
    <x:tableColumn id="7" name="普通进度90%分位分钟"/>
    <x:tableColumn id="8" name="守关参考爆率倍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B2_S1" displayName="Tbl_B2_S1" ref="A4:J14" headerRowCount="1" totalsRowCount="0" totalsRowShown="0">
  <x:tableColumns count="10">
    <x:tableColumn id="1" name="大陆"/>
    <x:tableColumn id="2" name="分配用参考小时"/>
    <x:tableColumn id="3" name="本大陆安排小时"/>
    <x:tableColumn id="4" name="回前大陆补料小时"/>
    <x:tableColumn id="5" name="合计有效小时"/>
    <x:tableColumn id="6" name="全留用件模拟中位小时"/>
    <x:tableColumn id="7" name="全留用件模拟90%小时"/>
    <x:tableColumn id="8" name="普通击杀每小时"/>
    <x:tableColumn id="9" name="稀有击杀每小时"/>
    <x:tableColumn id="10" name="地图BOSS每小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B2_S2" displayName="Tbl_B2_S2" ref="A4:N14" headerRowCount="1" totalsRowCount="0" totalsRowShown="0">
  <x:tableColumns count="14">
    <x:tableColumn id="1" name="大陆"/>
    <x:tableColumn id="2" name="安排小时"/>
    <x:tableColumn id="3" name="金币毛额"/>
    <x:tableColumn id="4" name="留用物金币机会成本"/>
    <x:tableColumn id="5" name="净金币每小时"/>
    <x:tableColumn id="6" name="实际金币支出"/>
    <x:tableColumn id="7" name="元宝毛额"/>
    <x:tableColumn id="8" name="留用物元宝机会成本"/>
    <x:tableColumn id="9" name="净元宝每小时"/>
    <x:tableColumn id="10" name="实际元宝支出"/>
    <x:tableColumn id="11" name="失色毛额"/>
    <x:tableColumn id="12" name="留用装备失色等价"/>
    <x:tableColumn id="13" name="可拆失色每小时"/>
    <x:tableColumn id="14" name="实际失色消耗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B2_S3" displayName="Tbl_B2_S3" ref="A4:K14" headerRowCount="1" totalsRowCount="0" totalsRowShown="0">
  <x:tableColumns count="11">
    <x:tableColumn id="1" name="大陆"/>
    <x:tableColumn id="2" name="基准平均爆率"/>
    <x:tableColumn id="3" name="普通每小时"/>
    <x:tableColumn id="4" name="稀有每小时"/>
    <x:tableColumn id="5" name="地图BOSS每小时"/>
    <x:tableColumn id="6" name="高产主材每小时"/>
    <x:tableColumn id="7" name="金币毛收入每小时"/>
    <x:tableColumn id="8" name="元宝毛收入每小时"/>
    <x:tableColumn id="9" name="失色毛额每小时"/>
    <x:tableColumn id="10" name="任意神器每小时"/>
    <x:tableColumn id="11" name="任意神器平均小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B2_S4" displayName="Tbl_B2_S4" ref="A4:J50" headerRowCount="1" totalsRowCount="0" totalsRowShown="0">
  <x:tableColumns count="10">
    <x:tableColumn id="1" name="大陆"/>
    <x:tableColumn id="2" name="组序"/>
    <x:tableColumn id="3" name="地图组"/>
    <x:tableColumn id="4" name="普通池种数"/>
    <x:tableColumn id="5" name="目标取得种数"/>
    <x:tableColumn id="6" name="比例"/>
    <x:tableColumn id="7" name="平均分钟"/>
    <x:tableColumn id="8" name="中位分钟"/>
    <x:tableColumn id="9" name="90%分位分钟"/>
    <x:tableColumn id="10" name="普通候选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B2_S5" displayName="Tbl_B2_S5" ref="A4:H172" headerRowCount="1" totalsRowCount="0" totalsRowShown="0">
  <x:tableColumns count="8">
    <x:tableColumn id="1" name="大陆"/>
    <x:tableColumn id="2" name="资源"/>
    <x:tableColumn id="3" name="承接库存"/>
    <x:tableColumn id="4" name="本阶段产量或等价额"/>
    <x:tableColumn id="5" name="需求含留用等价"/>
    <x:tableColumn id="6" name="需求后余额"/>
    <x:tableColumn id="7" name="实际消耗"/>
    <x:tableColumn id="8" name="解释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B2_S6" displayName="Tbl_B2_S6" ref="A4:I73" headerRowCount="1" totalsRowCount="0" totalsRowShown="0">
  <x:tableColumns count="9">
    <x:tableColumn id="1" name="当前阶段"/>
    <x:tableColumn id="2" name="实际刷图大陆"/>
    <x:tableColumn id="3" name="组序"/>
    <x:tableColumn id="4" name="地图组"/>
    <x:tableColumn id="5" name="安排小时"/>
    <x:tableColumn id="6" name="用途"/>
    <x:tableColumn id="7" name="金币毛额每小时"/>
    <x:tableColumn id="8" name="元宝毛额每小时"/>
    <x:tableColumn id="9" name="失色毛额每小时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B2_S7" displayName="Tbl_B2_S7" ref="A4:H326" headerRowCount="1" totalsRowCount="0" totalsRowShown="0">
  <x:tableColumns count="8">
    <x:tableColumn id="1" name="大陆"/>
    <x:tableColumn id="2" name="组序"/>
    <x:tableColumn id="3" name="情景"/>
    <x:tableColumn id="4" name="击杀每小时"/>
    <x:tableColumn id="5" name="金币毛额每小时"/>
    <x:tableColumn id="6" name="元宝毛额每小时"/>
    <x:tableColumn id="7" name="失色毛额每小时"/>
    <x:tableColumn id="8" name="神器每小时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B2_S8" displayName="Tbl_B2_S8" ref="A4:G487" headerRowCount="1" totalsRowCount="0" totalsRowShown="0">
  <x:tableColumns count="7">
    <x:tableColumn id="1" name="阶段"/>
    <x:tableColumn id="2" name="物品"/>
    <x:tableColumn id="3" name="独立实物需求"/>
    <x:tableColumn id="4" name="单件失色等价"/>
    <x:tableColumn id="5" name="不能同时分解的失色"/>
    <x:tableColumn id="6" name="原来源怪物ID"/>
    <x:tableColumn id="7" name="用途边界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B2_S9" displayName="Tbl_B2_S9" ref="A4:H131" headerRowCount="1" totalsRowCount="0" totalsRowShown="0">
  <x:tableColumns count="8">
    <x:tableColumn id="1" name="记录ID"/>
    <x:tableColumn id="2" name="大陆"/>
    <x:tableColumn id="3" name="NPC"/>
    <x:tableColumn id="4" name="产物或操作"/>
    <x:tableColumn id="5" name="单次金币"/>
    <x:tableColumn id="6" name="单次元宝"/>
    <x:tableColumn id="7" name="原预算次数"/>
    <x:tableColumn id="8" name="本轮如何计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c8ee7170a24ee4" /><Relationship Type="http://schemas.openxmlformats.org/officeDocument/2006/relationships/table" Target="/xl/tables/table1.xml" Id="R4c4ee30aba284f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186134420b41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496e5cb7064b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f9754a7e9ff47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0a379f7a61c40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9a674a988204e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7438f669beb4a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8a62482e7bb4a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ec18cb556754d9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573e728469146a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26" hidden="0" customWidth="1"/>
    <x:col min="4" max="4" width="26" hidden="0" customWidth="1"/>
    <x:col min="5" max="5" width="26" hidden="0" customWidth="1"/>
    <x:col min="6" max="6" width="28" hidden="0" customWidth="1"/>
    <x:col min="7" max="7" width="28" hidden="0" customWidth="1"/>
    <x:col min="8" max="8" width="22" hidden="0" customWidth="1"/>
  </x:cols>
  <x:sheetData>
    <x:row r="1" ht="30" customHeight="1">
      <x:c r="A1" s="4" t="str">
        <x:v>00 · 摘要</x:v>
      </x:c>
      <x:c r="B1" s="4"/>
      <x:c r="C1" s="4"/>
      <x:c r="D1" s="4"/>
      <x:c r="E1" s="4"/>
      <x:c r="F1" s="4"/>
      <x:c r="G1" s="4"/>
      <x:c r="H1" s="4"/>
    </x:row>
    <x:row r="2" ht="34" customHeight="1">
      <x:c r="A2" s="9" t="str">
        <x:v>净产出已扣除本阶段留作制作/成长的主材及装备，不含稀有手动回收。时间是条件资源预算，不是硬通关时间或收费折算。</x:v>
      </x:c>
      <x:c r="B2" s="9"/>
      <x:c r="C2" s="9"/>
      <x:c r="D2" s="9"/>
      <x:c r="E2" s="9"/>
      <x:c r="F2" s="9"/>
      <x:c r="G2" s="9"/>
      <x:c r="H2" s="9"/>
    </x:row>
    <x:row r="4" ht="30" customHeight="1">
      <x:c r="A4" s="14" t="str">
        <x:v>大陆</x:v>
      </x:c>
      <x:c r="B4" s="14" t="str">
        <x:v>条件资源预算小时</x:v>
      </x:c>
      <x:c r="C4" s="14" t="str">
        <x:v>成长中净金币每小时</x:v>
      </x:c>
      <x:c r="D4" s="14" t="str">
        <x:v>成长中净元宝每小时</x:v>
      </x:c>
      <x:c r="E4" s="14" t="str">
        <x:v>成长中可拆失色每小时</x:v>
      </x:c>
      <x:c r="F4" s="14" t="str">
        <x:v>普通50%-70%平均分钟</x:v>
      </x:c>
      <x:c r="G4" s="14" t="str">
        <x:v>普通进度90%分位分钟</x:v>
      </x:c>
      <x:c r="H4" s="14" t="str">
        <x:v>守关参考爆率倍数</x:v>
      </x:c>
    </x:row>
    <x:row r="5" ht="19" customHeight="1">
      <x:c r="A5" s="19" t="n">
        <x:v>1</x:v>
      </x:c>
      <x:c r="B5" s="22" t="n">
        <x:v>9</x:v>
      </x:c>
      <x:c r="C5" s="24" t="n">
        <x:v>1222284753.7044892</x:v>
      </x:c>
      <x:c r="D5" s="24" t="n">
        <x:v>14559787.043335004</x:v>
      </x:c>
      <x:c r="E5" s="24" t="n">
        <x:v>198.111796839081</x:v>
      </x:c>
      <x:c r="F5" s="26" t="n">
        <x:v>21.610427323510365</x:v>
      </x:c>
      <x:c r="G5" s="26" t="n">
        <x:v>37.60148961569811</x:v>
      </x:c>
      <x:c r="H5" s="26" t="n">
        <x:v>11.5</x:v>
      </x:c>
    </x:row>
    <x:row r="6" ht="19" customHeight="1">
      <x:c r="A6" s="19" t="n">
        <x:v>2</x:v>
      </x:c>
      <x:c r="B6" s="22" t="n">
        <x:v>15.75</x:v>
      </x:c>
      <x:c r="C6" s="24" t="n">
        <x:v>2768552255.266062</x:v>
      </x:c>
      <x:c r="D6" s="24" t="n">
        <x:v>40805173.231590286</x:v>
      </x:c>
      <x:c r="E6" s="24" t="n">
        <x:v>398.43573437402193</x:v>
      </x:c>
      <x:c r="F6" s="26" t="n">
        <x:v>26.995843772656816</x:v>
      </x:c>
      <x:c r="G6" s="26" t="n">
        <x:v>46.176136729252875</x:v>
      </x:c>
      <x:c r="H6" s="26" t="n">
        <x:v>13.799999999999999</x:v>
      </x:c>
    </x:row>
    <x:row r="7" ht="19" customHeight="1">
      <x:c r="A7" s="19" t="n">
        <x:v>3</x:v>
      </x:c>
      <x:c r="B7" s="22" t="n">
        <x:v>25</x:v>
      </x:c>
      <x:c r="C7" s="24" t="n">
        <x:v>5267518534.168126</x:v>
      </x:c>
      <x:c r="D7" s="24" t="n">
        <x:v>49676406.66297388</x:v>
      </x:c>
      <x:c r="E7" s="24" t="n">
        <x:v>576.8502125189701</x:v>
      </x:c>
      <x:c r="F7" s="26" t="n">
        <x:v>34.333041801199265</x:v>
      </x:c>
      <x:c r="G7" s="26" t="n">
        <x:v>59.474098927234515</x:v>
      </x:c>
      <x:c r="H7" s="26" t="n">
        <x:v>17.25</x:v>
      </x:c>
    </x:row>
    <x:row r="8" ht="19" customHeight="1">
      <x:c r="A8" s="19" t="n">
        <x:v>4</x:v>
      </x:c>
      <x:c r="B8" s="22" t="n">
        <x:v>43.75</x:v>
      </x:c>
      <x:c r="C8" s="24" t="n">
        <x:v>14622929462.903774</x:v>
      </x:c>
      <x:c r="D8" s="24" t="n">
        <x:v>152817039.11447108</x:v>
      </x:c>
      <x:c r="E8" s="24" t="n">
        <x:v>739.736249189591</x:v>
      </x:c>
      <x:c r="F8" s="26" t="n">
        <x:v>38.896821550232346</x:v>
      </x:c>
      <x:c r="G8" s="26" t="n">
        <x:v>67.27513923990355</x:v>
      </x:c>
      <x:c r="H8" s="26" t="n">
        <x:v>22.04</x:v>
      </x:c>
    </x:row>
    <x:row r="9" ht="19" customHeight="1">
      <x:c r="A9" s="19" t="n">
        <x:v>5</x:v>
      </x:c>
      <x:c r="B9" s="22" t="n">
        <x:v>37.25</x:v>
      </x:c>
      <x:c r="C9" s="24" t="n">
        <x:v>19852316191.565887</x:v>
      </x:c>
      <x:c r="D9" s="24" t="n">
        <x:v>239443816.47609553</x:v>
      </x:c>
      <x:c r="E9" s="24" t="n">
        <x:v>868.4297385072334</x:v>
      </x:c>
      <x:c r="F9" s="26" t="n">
        <x:v>44.082744771973964</x:v>
      </x:c>
      <x:c r="G9" s="26" t="n">
        <x:v>81.79474881857715</x:v>
      </x:c>
      <x:c r="H9" s="26" t="n">
        <x:v>32.331999999999994</x:v>
      </x:c>
    </x:row>
    <x:row r="10" ht="19" customHeight="1">
      <x:c r="A10" s="19" t="n">
        <x:v>6</x:v>
      </x:c>
      <x:c r="B10" s="22" t="n">
        <x:v>35</x:v>
      </x:c>
      <x:c r="C10" s="24" t="n">
        <x:v>58960639250.10286</x:v>
      </x:c>
      <x:c r="D10" s="24" t="n">
        <x:v>519706131.5273143</x:v>
      </x:c>
      <x:c r="E10" s="24" t="n">
        <x:v>1053.0979959476188</x:v>
      </x:c>
      <x:c r="F10" s="26" t="n">
        <x:v>46.214441823464725</x:v>
      </x:c>
      <x:c r="G10" s="26" t="n">
        <x:v>85.22903690057956</x:v>
      </x:c>
      <x:c r="H10" s="26" t="n">
        <x:v>39.412</x:v>
      </x:c>
    </x:row>
    <x:row r="11" ht="19" customHeight="1">
      <x:c r="A11" s="19" t="n">
        <x:v>7</x:v>
      </x:c>
      <x:c r="B11" s="22" t="n">
        <x:v>31.5</x:v>
      </x:c>
      <x:c r="C11" s="24" t="n">
        <x:v>31768687231.119713</x:v>
      </x:c>
      <x:c r="D11" s="24" t="n">
        <x:v>319210292.0644657</x:v>
      </x:c>
      <x:c r="E11" s="24" t="n">
        <x:v>1324.2171007269458</x:v>
      </x:c>
      <x:c r="F11" s="26" t="n">
        <x:v>53.219734356837826</x:v>
      </x:c>
      <x:c r="G11" s="26" t="n">
        <x:v>100.01749266361676</x:v>
      </x:c>
      <x:c r="H11" s="26" t="n">
        <x:v>51.765</x:v>
      </x:c>
    </x:row>
    <x:row r="12" ht="19" customHeight="1">
      <x:c r="A12" s="19" t="n">
        <x:v>8</x:v>
      </x:c>
      <x:c r="B12" s="22" t="n">
        <x:v>26.25</x:v>
      </x:c>
      <x:c r="C12" s="24" t="n">
        <x:v>11625339841.142895</x:v>
      </x:c>
      <x:c r="D12" s="24" t="n">
        <x:v>105321917.21142869</x:v>
      </x:c>
      <x:c r="E12" s="24" t="n">
        <x:v>1468.9994853333335</x:v>
      </x:c>
      <x:c r="F12" s="26" t="n">
        <x:v>55.62851504422728</x:v>
      </x:c>
      <x:c r="G12" s="26" t="n">
        <x:v>105.04148047960607</x:v>
      </x:c>
      <x:c r="H12" s="26" t="n">
        <x:v>62.474999999999994</x:v>
      </x:c>
    </x:row>
    <x:row r="13" ht="19" customHeight="1">
      <x:c r="A13" s="19" t="n">
        <x:v>9</x:v>
      </x:c>
      <x:c r="B13" s="22" t="n">
        <x:v>33.5</x:v>
      </x:c>
      <x:c r="C13" s="24" t="n">
        <x:v>18139874940.421177</x:v>
      </x:c>
      <x:c r="D13" s="24" t="n">
        <x:v>243518620.84331182</x:v>
      </x:c>
      <x:c r="E13" s="24" t="n">
        <x:v>1666.4895108719309</x:v>
      </x:c>
      <x:c r="F13" s="26" t="n">
        <x:v>63.17375509497053</x:v>
      </x:c>
      <x:c r="G13" s="26" t="n">
        <x:v>120.17238635552326</x:v>
      </x:c>
      <x:c r="H13" s="26" t="n">
        <x:v>79.86</x:v>
      </x:c>
    </x:row>
    <x:row r="14" ht="19" customHeight="1">
      <x:c r="A14" s="19" t="n">
        <x:v>10</x:v>
      </x:c>
      <x:c r="B14" s="22" t="n">
        <x:v>42.5</x:v>
      </x:c>
      <x:c r="C14" s="24" t="n">
        <x:v>45865956624.17886</x:v>
      </x:c>
      <x:c r="D14" s="24" t="n">
        <x:v>513704940.8224947</x:v>
      </x:c>
      <x:c r="E14" s="24" t="n">
        <x:v>2094.977071058824</x:v>
      </x:c>
      <x:c r="F14" s="26" t="n">
        <x:v>61.786125973656404</x:v>
      </x:c>
      <x:c r="G14" s="26" t="n">
        <x:v>121.3087598842481</x:v>
      </x:c>
      <x:c r="H14" s="26" t="n">
        <x:v>105.042</x:v>
      </x:c>
    </x:row>
    <x:row r="17" ht="25" customHeight="1">
      <x:c r="A17" s="30" t="str">
        <x:v>约299.5小时只是这条具体保留用物清单的供给预算；随机脸黑、争怪和不同配装会改变它。单项85%留量不等于全部物品共同85%到齐，长尾见阶段表。</x:v>
      </x:c>
      <x:c r="B17" s="30"/>
      <x:c r="C17" s="30"/>
      <x:c r="D17" s="30"/>
      <x:c r="E17" s="30"/>
      <x:c r="F17" s="30"/>
      <x:c r="G17" s="30"/>
      <x:c r="H17" s="30"/>
    </x:row>
    <x:row r="18" ht="25" customHeight="1">
      <x:c r="A18" s="30"/>
      <x:c r="B18" s="30"/>
      <x:c r="C18" s="30"/>
      <x:c r="D18" s="30"/>
      <x:c r="E18" s="30"/>
      <x:c r="F18" s="30"/>
      <x:c r="G18" s="30"/>
      <x:c r="H18" s="30"/>
    </x:row>
  </x:sheetData>
  <x:mergeCells>
    <x:mergeCell ref="A1:H1"/>
    <x:mergeCell ref="A2:H2"/>
    <x:mergeCell ref="A17:H18"/>
  </x:mergeCells>
  <x:pageMargins left="0.7" right="0.7" top="0.75" bottom="0.75" header="0.3" footer="0.3"/>
  <x:drawing xmlns:r="http://schemas.openxmlformats.org/officeDocument/2006/relationships" r:id="R2cc8ee7170a24ee4"/>
  <x:tableParts count="1">
    <x:tablePart xmlns:r="http://schemas.openxmlformats.org/officeDocument/2006/relationships" r:id="R4c4ee30aba284f8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4" hidden="0" customWidth="1"/>
    <x:col min="5" max="5" width="20" hidden="0" customWidth="1"/>
    <x:col min="6" max="6" width="29" hidden="0" customWidth="1"/>
    <x:col min="7" max="7" width="28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4" t="str">
        <x:v>01 · 阶段时间与击杀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9" t="str">
        <x:v>模拟长尾仅对物品到齐，使用计划刷图组合的Poisson/Gamma近似；不包括额外走图、交易、断线，也不是玩家完成度锁。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0" customHeight="1">
      <x:c r="A4" s="14" t="str">
        <x:v>大陆</x:v>
      </x:c>
      <x:c r="B4" s="14" t="str">
        <x:v>分配用参考小时</x:v>
      </x:c>
      <x:c r="C4" s="14" t="str">
        <x:v>本大陆安排小时</x:v>
      </x:c>
      <x:c r="D4" s="14" t="str">
        <x:v>回前大陆补料小时</x:v>
      </x:c>
      <x:c r="E4" s="14" t="str">
        <x:v>合计有效小时</x:v>
      </x:c>
      <x:c r="F4" s="14" t="str">
        <x:v>全留用件模拟中位小时</x:v>
      </x:c>
      <x:c r="G4" s="14" t="str">
        <x:v>全留用件模拟90%小时</x:v>
      </x:c>
      <x:c r="H4" s="14" t="str">
        <x:v>普通击杀每小时</x:v>
      </x:c>
      <x:c r="I4" s="14" t="str">
        <x:v>稀有击杀每小时</x:v>
      </x:c>
      <x:c r="J4" s="14" t="str">
        <x:v>地图BOSS每小时</x:v>
      </x:c>
    </x:row>
    <x:row r="5" ht="19" customHeight="1">
      <x:c r="A5" s="19" t="n">
        <x:v>1</x:v>
      </x:c>
      <x:c r="B5" s="22" t="n">
        <x:v>6</x:v>
      </x:c>
      <x:c r="C5" s="22" t="n">
        <x:v>9</x:v>
      </x:c>
      <x:c r="D5" s="22" t="n">
        <x:v>0</x:v>
      </x:c>
      <x:c r="E5" s="22" t="n">
        <x:f>C5+D5</x:f>
        <x:v>9</x:v>
      </x:c>
      <x:c r="F5" s="22" t="n">
        <x:v>11.781033510779686</x:v>
      </x:c>
      <x:c r="G5" s="22" t="n">
        <x:v>18.782233071339924</x:v>
      </x:c>
      <x:c r="H5" s="22" t="n">
        <x:v>356.72643175833167</x:v>
      </x:c>
      <x:c r="I5" s="22" t="n">
        <x:v>28.950562442948176</x:v>
      </x:c>
      <x:c r="J5" s="22" t="n">
        <x:v>4</x:v>
      </x:c>
    </x:row>
    <x:row r="6" ht="19" customHeight="1">
      <x:c r="A6" s="19" t="n">
        <x:v>2</x:v>
      </x:c>
      <x:c r="B6" s="22" t="n">
        <x:v>12</x:v>
      </x:c>
      <x:c r="C6" s="22" t="n">
        <x:v>14</x:v>
      </x:c>
      <x:c r="D6" s="22" t="n">
        <x:v>1.75</x:v>
      </x:c>
      <x:c r="E6" s="22" t="n">
        <x:f>C6+D6</x:f>
        <x:v>15.75</x:v>
      </x:c>
      <x:c r="F6" s="22" t="n">
        <x:v>23.63048581996518</x:v>
      </x:c>
      <x:c r="G6" s="22" t="n">
        <x:v>35.26738473482989</x:v>
      </x:c>
      <x:c r="H6" s="22" t="n">
        <x:v>426.2857142857143</x:v>
      </x:c>
      <x:c r="I6" s="22" t="n">
        <x:v>45.16012284996749</x:v>
      </x:c>
      <x:c r="J6" s="22" t="n">
        <x:v>4</x:v>
      </x:c>
    </x:row>
    <x:row r="7" ht="19" customHeight="1">
      <x:c r="A7" s="19" t="n">
        <x:v>3</x:v>
      </x:c>
      <x:c r="B7" s="22" t="n">
        <x:v>20</x:v>
      </x:c>
      <x:c r="C7" s="22" t="n">
        <x:v>22</x:v>
      </x:c>
      <x:c r="D7" s="22" t="n">
        <x:v>3</x:v>
      </x:c>
      <x:c r="E7" s="22" t="n">
        <x:f>C7+D7</x:f>
        <x:v>25</x:v>
      </x:c>
      <x:c r="F7" s="22" t="n">
        <x:v>39.62300901083938</x:v>
      </x:c>
      <x:c r="G7" s="22" t="n">
        <x:v>60.280691782407374</x:v>
      </x:c>
      <x:c r="H7" s="22" t="n">
        <x:v>430.32126746476985</x:v>
      </x:c>
      <x:c r="I7" s="22" t="n">
        <x:v>44.7326823498144</x:v>
      </x:c>
      <x:c r="J7" s="22" t="n">
        <x:v>4</x:v>
      </x:c>
    </x:row>
    <x:row r="8" ht="19" customHeight="1">
      <x:c r="A8" s="19" t="n">
        <x:v>4</x:v>
      </x:c>
      <x:c r="B8" s="22" t="n">
        <x:v>22</x:v>
      </x:c>
      <x:c r="C8" s="22" t="n">
        <x:v>41.75</x:v>
      </x:c>
      <x:c r="D8" s="22" t="n">
        <x:v>2</x:v>
      </x:c>
      <x:c r="E8" s="22" t="n">
        <x:f>C8+D8</x:f>
        <x:v>43.75</x:v>
      </x:c>
      <x:c r="F8" s="22" t="n">
        <x:v>59.66933285153499</x:v>
      </x:c>
      <x:c r="G8" s="22" t="n">
        <x:v>92.82436018031103</x:v>
      </x:c>
      <x:c r="H8" s="22" t="n">
        <x:v>432</x:v>
      </x:c>
      <x:c r="I8" s="22" t="n">
        <x:v>44.82853552080271</x:v>
      </x:c>
      <x:c r="J8" s="22" t="n">
        <x:v>4</x:v>
      </x:c>
    </x:row>
    <x:row r="9" ht="19" customHeight="1">
      <x:c r="A9" s="19" t="n">
        <x:v>5</x:v>
      </x:c>
      <x:c r="B9" s="22" t="n">
        <x:v>24</x:v>
      </x:c>
      <x:c r="C9" s="22" t="n">
        <x:v>33.25</x:v>
      </x:c>
      <x:c r="D9" s="22" t="n">
        <x:v>4</x:v>
      </x:c>
      <x:c r="E9" s="22" t="n">
        <x:f>C9+D9</x:f>
        <x:v>37.25</x:v>
      </x:c>
      <x:c r="F9" s="22" t="n">
        <x:v>53.24544679849313</x:v>
      </x:c>
      <x:c r="G9" s="22" t="n">
        <x:v>82.64818710616089</x:v>
      </x:c>
      <x:c r="H9" s="22" t="n">
        <x:v>429.62995784038776</x:v>
      </x:c>
      <x:c r="I9" s="22" t="n">
        <x:v>45.28354261946634</x:v>
      </x:c>
      <x:c r="J9" s="22" t="n">
        <x:v>4</x:v>
      </x:c>
    </x:row>
    <x:row r="10" ht="19" customHeight="1">
      <x:c r="A10" s="19" t="n">
        <x:v>6</x:v>
      </x:c>
      <x:c r="B10" s="22" t="n">
        <x:v>22</x:v>
      </x:c>
      <x:c r="C10" s="22" t="n">
        <x:v>33</x:v>
      </x:c>
      <x:c r="D10" s="22" t="n">
        <x:v>2</x:v>
      </x:c>
      <x:c r="E10" s="22" t="n">
        <x:f>C10+D10</x:f>
        <x:v>35</x:v>
      </x:c>
      <x:c r="F10" s="22" t="n">
        <x:v>37.47981146829926</x:v>
      </x:c>
      <x:c r="G10" s="22" t="n">
        <x:v>60.19253145712739</x:v>
      </x:c>
      <x:c r="H10" s="22" t="n">
        <x:v>432</x:v>
      </x:c>
      <x:c r="I10" s="22" t="n">
        <x:v>48</x:v>
      </x:c>
      <x:c r="J10" s="22" t="n">
        <x:v>4</x:v>
      </x:c>
    </x:row>
    <x:row r="11" ht="19" customHeight="1">
      <x:c r="A11" s="19" t="n">
        <x:v>7</x:v>
      </x:c>
      <x:c r="B11" s="22" t="n">
        <x:v>26</x:v>
      </x:c>
      <x:c r="C11" s="22" t="n">
        <x:v>28.25</x:v>
      </x:c>
      <x:c r="D11" s="22" t="n">
        <x:v>3.25</x:v>
      </x:c>
      <x:c r="E11" s="22" t="n">
        <x:f>C11+D11</x:f>
        <x:v>31.5</x:v>
      </x:c>
      <x:c r="F11" s="22" t="n">
        <x:v>35.69430322767259</x:v>
      </x:c>
      <x:c r="G11" s="22" t="n">
        <x:v>55.26602372040221</x:v>
      </x:c>
      <x:c r="H11" s="22" t="n">
        <x:v>425.98726731135963</x:v>
      </x:c>
      <x:c r="I11" s="22" t="n">
        <x:v>46.214830545405</x:v>
      </x:c>
      <x:c r="J11" s="22" t="n">
        <x:v>4</x:v>
      </x:c>
    </x:row>
    <x:row r="12" ht="19" customHeight="1">
      <x:c r="A12" s="19" t="n">
        <x:v>8</x:v>
      </x:c>
      <x:c r="B12" s="22" t="n">
        <x:v>30</x:v>
      </x:c>
      <x:c r="C12" s="22" t="n">
        <x:v>25.25</x:v>
      </x:c>
      <x:c r="D12" s="22" t="n">
        <x:v>1</x:v>
      </x:c>
      <x:c r="E12" s="22" t="n">
        <x:f>C12+D12</x:f>
        <x:v>26.25</x:v>
      </x:c>
      <x:c r="F12" s="22" t="n">
        <x:v>35.67758817978546</x:v>
      </x:c>
      <x:c r="G12" s="22" t="n">
        <x:v>55.63537189482989</x:v>
      </x:c>
      <x:c r="H12" s="22" t="n">
        <x:v>432</x:v>
      </x:c>
      <x:c r="I12" s="22" t="n">
        <x:v>48</x:v>
      </x:c>
      <x:c r="J12" s="22" t="n">
        <x:v>4</x:v>
      </x:c>
    </x:row>
    <x:row r="13" ht="19" customHeight="1">
      <x:c r="A13" s="19" t="n">
        <x:v>9</x:v>
      </x:c>
      <x:c r="B13" s="22" t="n">
        <x:v>34</x:v>
      </x:c>
      <x:c r="C13" s="22" t="n">
        <x:v>30</x:v>
      </x:c>
      <x:c r="D13" s="22" t="n">
        <x:v>3.5</x:v>
      </x:c>
      <x:c r="E13" s="22" t="n">
        <x:f>C13+D13</x:f>
        <x:v>33.5</x:v>
      </x:c>
      <x:c r="F13" s="22" t="n">
        <x:v>53.43462311068686</x:v>
      </x:c>
      <x:c r="G13" s="22" t="n">
        <x:v>80.55731381758616</x:v>
      </x:c>
      <x:c r="H13" s="22" t="n">
        <x:v>427.51874550548956</x:v>
      </x:c>
      <x:c r="I13" s="22" t="n">
        <x:v>46.68032244334849</x:v>
      </x:c>
      <x:c r="J13" s="22" t="n">
        <x:v>4</x:v>
      </x:c>
    </x:row>
    <x:row r="14" ht="19" customHeight="1">
      <x:c r="A14" s="19" t="n">
        <x:v>10</x:v>
      </x:c>
      <x:c r="B14" s="22" t="n">
        <x:v>40</x:v>
      </x:c>
      <x:c r="C14" s="22" t="n">
        <x:v>37.75</x:v>
      </x:c>
      <x:c r="D14" s="22" t="n">
        <x:v>4.75</x:v>
      </x:c>
      <x:c r="E14" s="22" t="n">
        <x:f>C14+D14</x:f>
        <x:v>42.5</x:v>
      </x:c>
      <x:c r="F14" s="22" t="n">
        <x:v>65.04908905452882</x:v>
      </x:c>
      <x:c r="G14" s="22" t="n">
        <x:v>99.19892827753004</x:v>
      </x:c>
      <x:c r="H14" s="22" t="n">
        <x:v>432</x:v>
      </x:c>
      <x:c r="I14" s="22" t="n">
        <x:v>48</x:v>
      </x:c>
      <x:c r="J14" s="22" t="n">
        <x:v>4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2186134420b410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7" hidden="0" customWidth="1"/>
    <x:col min="3" max="3" width="23" hidden="0" customWidth="1"/>
    <x:col min="4" max="4" width="30" hidden="0" customWidth="1"/>
    <x:col min="5" max="5" width="23" hidden="0" customWidth="1"/>
    <x:col min="6" max="6" width="23" hidden="0" customWidth="1"/>
    <x:col min="7" max="7" width="23" hidden="0" customWidth="1"/>
    <x:col min="8" max="8" width="30" hidden="0" customWidth="1"/>
    <x:col min="9" max="9" width="23" hidden="0" customWidth="1"/>
    <x:col min="10" max="10" width="23" hidden="0" customWidth="1"/>
    <x:col min="11" max="11" width="20" hidden="0" customWidth="1"/>
    <x:col min="12" max="12" width="27" hidden="0" customWidth="1"/>
    <x:col min="13" max="13" width="23" hidden="0" customWidth="1"/>
    <x:col min="14" max="14" width="23" hidden="0" customWidth="1"/>
  </x:cols>
  <x:sheetData>
    <x:row r="1" ht="30" customHeight="1">
      <x:c r="A1" s="4" t="str">
        <x:v>02 · 产出留用消耗分账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9" t="str">
        <x:v>毛额是假设可回收物全部回收的价值；留用与消耗先扣，才得到净产出。失色毛额同理，619专属不能既登记图鉴又拆解。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30" customHeight="1">
      <x:c r="A4" s="14" t="str">
        <x:v>大陆</x:v>
      </x:c>
      <x:c r="B4" s="14" t="str">
        <x:v>安排小时</x:v>
      </x:c>
      <x:c r="C4" s="14" t="str">
        <x:v>金币毛额</x:v>
      </x:c>
      <x:c r="D4" s="14" t="str">
        <x:v>留用物金币机会成本</x:v>
      </x:c>
      <x:c r="E4" s="14" t="str">
        <x:v>净金币每小时</x:v>
      </x:c>
      <x:c r="F4" s="14" t="str">
        <x:v>实际金币支出</x:v>
      </x:c>
      <x:c r="G4" s="14" t="str">
        <x:v>元宝毛额</x:v>
      </x:c>
      <x:c r="H4" s="14" t="str">
        <x:v>留用物元宝机会成本</x:v>
      </x:c>
      <x:c r="I4" s="14" t="str">
        <x:v>净元宝每小时</x:v>
      </x:c>
      <x:c r="J4" s="14" t="str">
        <x:v>实际元宝支出</x:v>
      </x:c>
      <x:c r="K4" s="14" t="str">
        <x:v>失色毛额</x:v>
      </x:c>
      <x:c r="L4" s="14" t="str">
        <x:v>留用装备失色等价</x:v>
      </x:c>
      <x:c r="M4" s="14" t="str">
        <x:v>可拆失色每小时</x:v>
      </x:c>
      <x:c r="N4" s="14" t="str">
        <x:v>实际失色消耗</x:v>
      </x:c>
    </x:row>
    <x:row r="5" ht="19" customHeight="1">
      <x:c r="A5" s="19" t="n">
        <x:v>1</x:v>
      </x:c>
      <x:c r="B5" s="19" t="n">
        <x:v>9</x:v>
      </x:c>
      <x:c r="C5" s="34" t="n">
        <x:v>12800562783.340403</x:v>
      </x:c>
      <x:c r="D5" s="34" t="n">
        <x:v>1800000000</x:v>
      </x:c>
      <x:c r="E5" s="34" t="n">
        <x:f>(C5-D5)/B5</x:f>
        <x:v>1222284753.7044892</x:v>
      </x:c>
      <x:c r="F5" s="34" t="n">
        <x:v>4400000000</x:v>
      </x:c>
      <x:c r="G5" s="34" t="n">
        <x:v>155038083.39001504</x:v>
      </x:c>
      <x:c r="H5" s="34" t="n">
        <x:v>24000000</x:v>
      </x:c>
      <x:c r="I5" s="34" t="n">
        <x:f>(G5-H5)/B5</x:f>
        <x:v>14559787.043335004</x:v>
      </x:c>
      <x:c r="J5" s="34" t="n">
        <x:v>11500000</x:v>
      </x:c>
      <x:c r="K5" s="34" t="n">
        <x:v>2453.006171551729</x:v>
      </x:c>
      <x:c r="L5" s="34" t="n">
        <x:v>670</x:v>
      </x:c>
      <x:c r="M5" s="34" t="n">
        <x:f>(K5-L5)/B5</x:f>
        <x:v>198.111796839081</x:v>
      </x:c>
      <x:c r="N5" s="34" t="n">
        <x:v>200</x:v>
      </x:c>
    </x:row>
    <x:row r="6" ht="19" customHeight="1">
      <x:c r="A6" s="19" t="n">
        <x:v>2</x:v>
      </x:c>
      <x:c r="B6" s="19" t="n">
        <x:v>15.75</x:v>
      </x:c>
      <x:c r="C6" s="34" t="n">
        <x:v>54877198020.440475</x:v>
      </x:c>
      <x:c r="D6" s="34" t="n">
        <x:v>11272500000</x:v>
      </x:c>
      <x:c r="E6" s="34" t="n">
        <x:f>(C6-D6)/B6</x:f>
        <x:v>2768552255.266062</x:v>
      </x:c>
      <x:c r="F6" s="34" t="n">
        <x:v>12500000000</x:v>
      </x:c>
      <x:c r="G6" s="34" t="n">
        <x:v>833406478.397547</x:v>
      </x:c>
      <x:c r="H6" s="34" t="n">
        <x:v>190725000</x:v>
      </x:c>
      <x:c r="I6" s="34" t="n">
        <x:f>(G6-H6)/B6</x:f>
        <x:v>40805173.231590286</x:v>
      </x:c>
      <x:c r="J6" s="34" t="n">
        <x:v>440000000</x:v>
      </x:c>
      <x:c r="K6" s="34" t="n">
        <x:v>8725.362816390845</x:v>
      </x:c>
      <x:c r="L6" s="34" t="n">
        <x:v>2450</x:v>
      </x:c>
      <x:c r="M6" s="34" t="n">
        <x:f>(K6-L6)/B6</x:f>
        <x:v>398.43573437402193</x:v>
      </x:c>
      <x:c r="N6" s="34" t="n">
        <x:v>790</x:v>
      </x:c>
    </x:row>
    <x:row r="7" ht="19" customHeight="1">
      <x:c r="A7" s="19" t="n">
        <x:v>3</x:v>
      </x:c>
      <x:c r="B7" s="19" t="n">
        <x:v>25</x:v>
      </x:c>
      <x:c r="C7" s="34" t="n">
        <x:v>190915463354.20316</x:v>
      </x:c>
      <x:c r="D7" s="34" t="n">
        <x:v>59227500000</x:v>
      </x:c>
      <x:c r="E7" s="34" t="n">
        <x:f>(C7-D7)/B7</x:f>
        <x:v>5267518534.168126</x:v>
      </x:c>
      <x:c r="F7" s="34" t="n">
        <x:v>86800000000</x:v>
      </x:c>
      <x:c r="G7" s="34" t="n">
        <x:v>1777035166.574347</x:v>
      </x:c>
      <x:c r="H7" s="34" t="n">
        <x:v>535125000</x:v>
      </x:c>
      <x:c r="I7" s="34" t="n">
        <x:f>(G7-H7)/B7</x:f>
        <x:v>49676406.66297388</x:v>
      </x:c>
      <x:c r="J7" s="34" t="n">
        <x:v>126600000</x:v>
      </x:c>
      <x:c r="K7" s="34" t="n">
        <x:v>18231.255312974252</x:v>
      </x:c>
      <x:c r="L7" s="34" t="n">
        <x:v>3809.999999999998</x:v>
      </x:c>
      <x:c r="M7" s="34" t="n">
        <x:f>(K7-L7)/B7</x:f>
        <x:v>576.8502125189701</x:v>
      </x:c>
      <x:c r="N7" s="34" t="n">
        <x:v>570</x:v>
      </x:c>
    </x:row>
    <x:row r="8" ht="19" customHeight="1">
      <x:c r="A8" s="19" t="n">
        <x:v>4</x:v>
      </x:c>
      <x:c r="B8" s="19" t="n">
        <x:v>43.75</x:v>
      </x:c>
      <x:c r="C8" s="34" t="n">
        <x:v>927312164002.0402</x:v>
      </x:c>
      <x:c r="D8" s="34" t="n">
        <x:v>287559000000</x:v>
      </x:c>
      <x:c r="E8" s="34" t="n">
        <x:f>(C8-D8)/B8</x:f>
        <x:v>14622929462.903774</x:v>
      </x:c>
      <x:c r="F8" s="34" t="n">
        <x:v>128700000000</x:v>
      </x:c>
      <x:c r="G8" s="34" t="n">
        <x:v>9689000461.25811</x:v>
      </x:c>
      <x:c r="H8" s="34" t="n">
        <x:v>3003255000</x:v>
      </x:c>
      <x:c r="I8" s="34" t="n">
        <x:f>(G8-H8)/B8</x:f>
        <x:v>152817039.11447108</x:v>
      </x:c>
      <x:c r="J8" s="34" t="n">
        <x:v>1602800000</x:v>
      </x:c>
      <x:c r="K8" s="34" t="n">
        <x:v>38483.46090204461</x:v>
      </x:c>
      <x:c r="L8" s="34" t="n">
        <x:v>6120</x:v>
      </x:c>
      <x:c r="M8" s="34" t="n">
        <x:f>(K8-L8)/B8</x:f>
        <x:v>739.736249189591</x:v>
      </x:c>
      <x:c r="N8" s="34" t="n">
        <x:v>3270</x:v>
      </x:c>
    </x:row>
    <x:row r="9" ht="19" customHeight="1">
      <x:c r="A9" s="19" t="n">
        <x:v>5</x:v>
      </x:c>
      <x:c r="B9" s="19" t="n">
        <x:v>37.25</x:v>
      </x:c>
      <x:c r="C9" s="34" t="n">
        <x:v>1231071278135.8293</x:v>
      </x:c>
      <x:c r="D9" s="34" t="n">
        <x:v>491572500000</x:v>
      </x:c>
      <x:c r="E9" s="34" t="n">
        <x:f>(C9-D9)/B9</x:f>
        <x:v>19852316191.565887</x:v>
      </x:c>
      <x:c r="F9" s="34" t="n">
        <x:v>31500000000</x:v>
      </x:c>
      <x:c r="G9" s="34" t="n">
        <x:v>14772432163.734558</x:v>
      </x:c>
      <x:c r="H9" s="34" t="n">
        <x:v>5853150000</x:v>
      </x:c>
      <x:c r="I9" s="34" t="n">
        <x:f>(G9-H9)/B9</x:f>
        <x:v>239443816.47609553</x:v>
      </x:c>
      <x:c r="J9" s="34" t="n">
        <x:v>3700500000</x:v>
      </x:c>
      <x:c r="K9" s="34" t="n">
        <x:v>38989.007759394444</x:v>
      </x:c>
      <x:c r="L9" s="34" t="n">
        <x:v>6640</x:v>
      </x:c>
      <x:c r="M9" s="34" t="n">
        <x:f>(K9-L9)/B9</x:f>
        <x:v>868.4297385072334</x:v>
      </x:c>
      <x:c r="N9" s="34" t="n">
        <x:v>2900</x:v>
      </x:c>
    </x:row>
    <x:row r="10" ht="19" customHeight="1">
      <x:c r="A10" s="19" t="n">
        <x:v>6</x:v>
      </x:c>
      <x:c r="B10" s="19" t="n">
        <x:v>35</x:v>
      </x:c>
      <x:c r="C10" s="34" t="n">
        <x:v>3722037373753.6</x:v>
      </x:c>
      <x:c r="D10" s="34" t="n">
        <x:v>1658415000000</x:v>
      </x:c>
      <x:c r="E10" s="34" t="n">
        <x:f>(C10-D10)/B10</x:f>
        <x:v>58960639250.10286</x:v>
      </x:c>
      <x:c r="F10" s="34" t="n">
        <x:v>637500000000</x:v>
      </x:c>
      <x:c r="G10" s="34" t="n">
        <x:v>32610714603.456</x:v>
      </x:c>
      <x:c r="H10" s="34" t="n">
        <x:v>14421000000</x:v>
      </x:c>
      <x:c r="I10" s="34" t="n">
        <x:f>(G10-H10)/B10</x:f>
        <x:v>519706131.5273143</x:v>
      </x:c>
      <x:c r="J10" s="34" t="n">
        <x:v>1199000000</x:v>
      </x:c>
      <x:c r="K10" s="34" t="n">
        <x:v>43558.42985816666</x:v>
      </x:c>
      <x:c r="L10" s="34" t="n">
        <x:v>6700</x:v>
      </x:c>
      <x:c r="M10" s="34" t="n">
        <x:f>(K10-L10)/B10</x:f>
        <x:v>1053.0979959476188</x:v>
      </x:c>
      <x:c r="N10" s="34" t="n">
        <x:v>6800</x:v>
      </x:c>
    </x:row>
    <x:row r="11" ht="19" customHeight="1">
      <x:c r="A11" s="19" t="n">
        <x:v>7</x:v>
      </x:c>
      <x:c r="B11" s="19" t="n">
        <x:v>31.5</x:v>
      </x:c>
      <x:c r="C11" s="34" t="n">
        <x:v>3302531147780.271</x:v>
      </x:c>
      <x:c r="D11" s="34" t="n">
        <x:v>2301817500000</x:v>
      </x:c>
      <x:c r="E11" s="34" t="n">
        <x:f>(C11-D11)/B11</x:f>
        <x:v>31768687231.119713</x:v>
      </x:c>
      <x:c r="F11" s="34" t="n">
        <x:v>488500000000</x:v>
      </x:c>
      <x:c r="G11" s="34" t="n">
        <x:v>33211974200.03067</x:v>
      </x:c>
      <x:c r="H11" s="34" t="n">
        <x:v>23156850000</x:v>
      </x:c>
      <x:c r="I11" s="34" t="n">
        <x:f>(G11-H11)/B11</x:f>
        <x:v>319210292.0644657</x:v>
      </x:c>
      <x:c r="J11" s="34" t="n">
        <x:v>5404100000</x:v>
      </x:c>
      <x:c r="K11" s="34" t="n">
        <x:v>49352.83867289879</x:v>
      </x:c>
      <x:c r="L11" s="34" t="n">
        <x:v>7640</x:v>
      </x:c>
      <x:c r="M11" s="34" t="n">
        <x:f>(K11-L11)/B11</x:f>
        <x:v>1324.2171007269458</x:v>
      </x:c>
      <x:c r="N11" s="34" t="n">
        <x:v>5840</x:v>
      </x:c>
    </x:row>
    <x:row r="12" ht="19" customHeight="1">
      <x:c r="A12" s="19" t="n">
        <x:v>8</x:v>
      </x:c>
      <x:c r="B12" s="19" t="n">
        <x:v>26.25</x:v>
      </x:c>
      <x:c r="C12" s="34" t="n">
        <x:v>4803177670830.001</x:v>
      </x:c>
      <x:c r="D12" s="34" t="n">
        <x:v>4498012500000</x:v>
      </x:c>
      <x:c r="E12" s="34" t="n">
        <x:f>(C12-D12)/B12</x:f>
        <x:v>11625339841.142895</x:v>
      </x:c>
      <x:c r="F12" s="34" t="n">
        <x:v>825500000000</x:v>
      </x:c>
      <x:c r="G12" s="34" t="n">
        <x:v>41859575326.8</x:v>
      </x:c>
      <x:c r="H12" s="34" t="n">
        <x:v>39094875000</x:v>
      </x:c>
      <x:c r="I12" s="34" t="n">
        <x:f>(G12-H12)/B12</x:f>
        <x:v>105321917.21142869</x:v>
      </x:c>
      <x:c r="J12" s="34" t="n">
        <x:v>3450000000</x:v>
      </x:c>
      <x:c r="K12" s="34" t="n">
        <x:v>47541.23649</x:v>
      </x:c>
      <x:c r="L12" s="34" t="n">
        <x:v>8980</x:v>
      </x:c>
      <x:c r="M12" s="34" t="n">
        <x:f>(K12-L12)/B12</x:f>
        <x:v>1468.9994853333335</x:v>
      </x:c>
      <x:c r="N12" s="34" t="n">
        <x:v>7620</x:v>
      </x:c>
    </x:row>
    <x:row r="13" ht="19" customHeight="1">
      <x:c r="A13" s="19" t="n">
        <x:v>9</x:v>
      </x:c>
      <x:c r="B13" s="19" t="n">
        <x:v>33.5</x:v>
      </x:c>
      <x:c r="C13" s="34" t="n">
        <x:v>7135363310504.109</x:v>
      </x:c>
      <x:c r="D13" s="34" t="n">
        <x:v>6527677500000</x:v>
      </x:c>
      <x:c r="E13" s="34" t="n">
        <x:f>(C13-D13)/B13</x:f>
        <x:v>18139874940.421177</x:v>
      </x:c>
      <x:c r="F13" s="34" t="n">
        <x:v>131500000000</x:v>
      </x:c>
      <x:c r="G13" s="34" t="n">
        <x:v>98544123798.25095</x:v>
      </x:c>
      <x:c r="H13" s="34" t="n">
        <x:v>90386250000</x:v>
      </x:c>
      <x:c r="I13" s="34" t="n">
        <x:f>(G13-H13)/B13</x:f>
        <x:v>243518620.84331182</x:v>
      </x:c>
      <x:c r="J13" s="34" t="n">
        <x:v>22154500000</x:v>
      </x:c>
      <x:c r="K13" s="34" t="n">
        <x:v>71467.39861420968</x:v>
      </x:c>
      <x:c r="L13" s="34" t="n">
        <x:v>15640</x:v>
      </x:c>
      <x:c r="M13" s="34" t="n">
        <x:f>(K13-L13)/B13</x:f>
        <x:v>1666.4895108719309</x:v>
      </x:c>
      <x:c r="N13" s="34" t="n">
        <x:v>10280</x:v>
      </x:c>
    </x:row>
    <x:row r="14" ht="19" customHeight="1">
      <x:c r="A14" s="19" t="n">
        <x:v>10</x:v>
      </x:c>
      <x:c r="B14" s="19" t="n">
        <x:v>42.5</x:v>
      </x:c>
      <x:c r="C14" s="34" t="n">
        <x:v>16712078156527.602</x:v>
      </x:c>
      <x:c r="D14" s="34" t="n">
        <x:v>14762775000000</x:v>
      </x:c>
      <x:c r="E14" s="34" t="n">
        <x:f>(C14-D14)/B14</x:f>
        <x:v>45865956624.17886</x:v>
      </x:c>
      <x:c r="F14" s="34" t="n">
        <x:v>1757000000000</x:v>
      </x:c>
      <x:c r="G14" s="34" t="n">
        <x:v>196569709984.95602</x:v>
      </x:c>
      <x:c r="H14" s="34" t="n">
        <x:v>174737250000</x:v>
      </x:c>
      <x:c r="I14" s="34" t="n">
        <x:f>(G14-H14)/B14</x:f>
        <x:v>513704940.8224947</x:v>
      </x:c>
      <x:c r="J14" s="34" t="n">
        <x:v>21948000000</x:v>
      </x:c>
      <x:c r="K14" s="34" t="n">
        <x:v>110016.52552000002</x:v>
      </x:c>
      <x:c r="L14" s="34" t="n">
        <x:v>20980</x:v>
      </x:c>
      <x:c r="M14" s="34" t="n">
        <x:f>(K14-L14)/B14</x:f>
        <x:v>2094.977071058824</x:v>
      </x:c>
      <x:c r="N14" s="34" t="n">
        <x:v>22340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dd496e5cb7064b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18" hidden="0" customWidth="1"/>
    <x:col min="5" max="5" width="23" hidden="0" customWidth="1"/>
    <x:col min="6" max="6" width="24" hidden="0" customWidth="1"/>
    <x:col min="7" max="7" width="25" hidden="0" customWidth="1"/>
    <x:col min="8" max="8" width="25" hidden="0" customWidth="1"/>
    <x:col min="9" max="9" width="23" hidden="0" customWidth="1"/>
    <x:col min="10" max="10" width="22" hidden="0" customWidth="1"/>
    <x:col min="11" max="11" width="23" hidden="0" customWidth="1"/>
  </x:cols>
  <x:sheetData>
    <x:row r="1" ht="30" customHeight="1">
      <x:c r="A1" s="4" t="str">
        <x:v>03 · 不留用时毛产出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9" t="str">
        <x:v>仅适用于本阶段所有留用需求已满足、掉落全回收/分解的情形；不能拿它代替开荒净收入。神器为全服同一基础池，6选1。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30" customHeight="1">
      <x:c r="A4" s="14" t="str">
        <x:v>大陆</x:v>
      </x:c>
      <x:c r="B4" s="14" t="str">
        <x:v>基准平均爆率</x:v>
      </x:c>
      <x:c r="C4" s="14" t="str">
        <x:v>普通每小时</x:v>
      </x:c>
      <x:c r="D4" s="14" t="str">
        <x:v>稀有每小时</x:v>
      </x:c>
      <x:c r="E4" s="14" t="str">
        <x:v>地图BOSS每小时</x:v>
      </x:c>
      <x:c r="F4" s="14" t="str">
        <x:v>高产主材每小时</x:v>
      </x:c>
      <x:c r="G4" s="14" t="str">
        <x:v>金币毛收入每小时</x:v>
      </x:c>
      <x:c r="H4" s="14" t="str">
        <x:v>元宝毛收入每小时</x:v>
      </x:c>
      <x:c r="I4" s="14" t="str">
        <x:v>失色毛额每小时</x:v>
      </x:c>
      <x:c r="J4" s="14" t="str">
        <x:v>任意神器每小时</x:v>
      </x:c>
      <x:c r="K4" s="14" t="str">
        <x:v>任意神器平均小时</x:v>
      </x:c>
    </x:row>
    <x:row r="5" ht="19" customHeight="1">
      <x:c r="A5" s="19" t="n">
        <x:v>1</x:v>
      </x:c>
      <x:c r="B5" s="22" t="n">
        <x:v>11.5</x:v>
      </x:c>
      <x:c r="C5" s="22" t="n">
        <x:v>357.0564291113369</x:v>
      </x:c>
      <x:c r="D5" s="22" t="n">
        <x:v>28.987403397865034</x:v>
      </x:c>
      <x:c r="E5" s="22" t="n">
        <x:v>4</x:v>
      </x:c>
      <x:c r="F5" s="22" t="n">
        <x:v>107.99073564937987</x:v>
      </x:c>
      <x:c r="G5" s="24" t="n">
        <x:v>1425492123.505375</x:v>
      </x:c>
      <x:c r="H5" s="24" t="n">
        <x:v>17251592.08465626</x:v>
      </x:c>
      <x:c r="I5" s="24" t="n">
        <x:v>273.6516189380362</x:v>
      </x:c>
      <x:c r="J5" s="36" t="n">
        <x:v>0</x:v>
      </x:c>
      <x:c r="K5" s="26" t="str">
        <x:f>IF(J5&gt;0,1/J5,"")</x:f>
      </x:c>
    </x:row>
    <x:row r="6" ht="19" customHeight="1">
      <x:c r="A6" s="19" t="n">
        <x:v>2</x:v>
      </x:c>
      <x:c r="B6" s="22" t="n">
        <x:v>13.815999999999999</x:v>
      </x:c>
      <x:c r="C6" s="22" t="n">
        <x:v>432</x:v>
      </x:c>
      <x:c r="D6" s="22" t="n">
        <x:v>44.43052402539746</x:v>
      </x:c>
      <x:c r="E6" s="22" t="n">
        <x:v>4</x:v>
      </x:c>
      <x:c r="F6" s="22" t="n">
        <x:v>150.96603307440495</x:v>
      </x:c>
      <x:c r="G6" s="24" t="n">
        <x:v>3654546017.2466116</x:v>
      </x:c>
      <x:c r="H6" s="24" t="n">
        <x:v>56202945.89617731</x:v>
      </x:c>
      <x:c r="I6" s="24" t="n">
        <x:v>571.5340705529111</x:v>
      </x:c>
      <x:c r="J6" s="36" t="n">
        <x:v>0.0007672687274976199</x:v>
      </x:c>
      <x:c r="K6" s="26" t="n">
        <x:f>IF(J6&gt;0,1/J6,"")</x:f>
        <x:v>1303.3243297448248</x:v>
      </x:c>
    </x:row>
    <x:row r="7" ht="19" customHeight="1">
      <x:c r="A7" s="19" t="n">
        <x:v>3</x:v>
      </x:c>
      <x:c r="B7" s="22" t="n">
        <x:v>15.729999999999999</x:v>
      </x:c>
      <x:c r="C7" s="22" t="n">
        <x:v>430.2513202758019</x:v>
      </x:c>
      <x:c r="D7" s="22" t="n">
        <x:v>44.345225776627665</x:v>
      </x:c>
      <x:c r="E7" s="22" t="n">
        <x:v>3.9999999999999996</x:v>
      </x:c>
      <x:c r="F7" s="22" t="n">
        <x:v>114.56291177001859</x:v>
      </x:c>
      <x:c r="G7" s="24" t="n">
        <x:v>8076685279.786309</x:v>
      </x:c>
      <x:c r="H7" s="24" t="n">
        <x:v>71315412.57683656</x:v>
      </x:c>
      <x:c r="I7" s="24" t="n">
        <x:v>731.0096007151483</x:v>
      </x:c>
      <x:c r="J7" s="36" t="n">
        <x:v>0.0008711433683671429</x:v>
      </x:c>
      <x:c r="K7" s="26" t="n">
        <x:f>IF(J7&gt;0,1/J7,"")</x:f>
        <x:v>1147.9166763036765</x:v>
      </x:c>
    </x:row>
    <x:row r="8" ht="19" customHeight="1">
      <x:c r="A8" s="19" t="n">
        <x:v>4</x:v>
      </x:c>
      <x:c r="B8" s="22" t="n">
        <x:v>19.805555555555554</x:v>
      </x:c>
      <x:c r="C8" s="22" t="n">
        <x:v>432</x:v>
      </x:c>
      <x:c r="D8" s="22" t="n">
        <x:v>45.32842385528148</x:v>
      </x:c>
      <x:c r="E8" s="22" t="n">
        <x:v>3.9999999999999996</x:v>
      </x:c>
      <x:c r="F8" s="22" t="n">
        <x:v>187.09465164901917</x:v>
      </x:c>
      <x:c r="G8" s="24" t="n">
        <x:v>21890074242.93525</x:v>
      </x:c>
      <x:c r="H8" s="24" t="n">
        <x:v>227320001.75355834</x:v>
      </x:c>
      <x:c r="I8" s="24" t="n">
        <x:v>880.0653568318578</x:v>
      </x:c>
      <x:c r="J8" s="36" t="n">
        <x:v>0.0011038359027997712</x:v>
      </x:c>
      <x:c r="K8" s="26" t="n">
        <x:f>IF(J8&gt;0,1/J8,"")</x:f>
        <x:v>905.9317580299738</x:v>
      </x:c>
    </x:row>
    <x:row r="9" ht="19" customHeight="1">
      <x:c r="A9" s="19" t="n">
        <x:v>5</x:v>
      </x:c>
      <x:c r="B9" s="22" t="n">
        <x:v>25.511777777777777</x:v>
      </x:c>
      <x:c r="C9" s="22" t="n">
        <x:v>430.1607485323843</x:v>
      </x:c>
      <x:c r="D9" s="22" t="n">
        <x:v>44.92489647892106</x:v>
      </x:c>
      <x:c r="E9" s="22" t="n">
        <x:v>3.9999999999999996</x:v>
      </x:c>
      <x:c r="F9" s="22" t="n">
        <x:v>179.2372687324062</x:v>
      </x:c>
      <x:c r="G9" s="24" t="n">
        <x:v>36026691015.213646</x:v>
      </x:c>
      <x:c r="H9" s="24" t="n">
        <x:v>430169444.9577749</x:v>
      </x:c>
      <x:c r="I9" s="24" t="n">
        <x:v>1003.3720887588748</x:v>
      </x:c>
      <x:c r="J9" s="36" t="n">
        <x:v>0.001416754338471478</x:v>
      </x:c>
      <x:c r="K9" s="26" t="n">
        <x:f>IF(J9&gt;0,1/J9,"")</x:f>
        <x:v>705.8386714233676</x:v>
      </x:c>
    </x:row>
    <x:row r="10" ht="19" customHeight="1">
      <x:c r="A10" s="19" t="n">
        <x:v>6</x:v>
      </x:c>
      <x:c r="B10" s="22" t="n">
        <x:v>35.74222222222222</x:v>
      </x:c>
      <x:c r="C10" s="22" t="n">
        <x:v>432</x:v>
      </x:c>
      <x:c r="D10" s="22" t="n">
        <x:v>48</x:v>
      </x:c>
      <x:c r="E10" s="22" t="n">
        <x:v>4</x:v>
      </x:c>
      <x:c r="F10" s="22" t="n">
        <x:v>319.8752968888889</x:v>
      </x:c>
      <x:c r="G10" s="24" t="n">
        <x:v>110356977426.66667</x:v>
      </x:c>
      <x:c r="H10" s="24" t="n">
        <x:v>959625890.6666667</x:v>
      </x:c>
      <x:c r="I10" s="24" t="n">
        <x:v>1232.551406044444</x:v>
      </x:c>
      <x:c r="J10" s="36" t="n">
        <x:v>0.002013001955555555</x:v>
      </x:c>
      <x:c r="K10" s="26" t="n">
        <x:f>IF(J10&gt;0,1/J10,"")</x:f>
        <x:v>496.7705059799689</x:v>
      </x:c>
    </x:row>
    <x:row r="11" ht="19" customHeight="1">
      <x:c r="A11" s="19" t="n">
        <x:v>7</x:v>
      </x:c>
      <x:c r="B11" s="22" t="n">
        <x:v>43.75611111111111</x:v>
      </x:c>
      <x:c r="C11" s="22" t="n">
        <x:v>426.94930454154206</x:v>
      </x:c>
      <x:c r="D11" s="22" t="n">
        <x:v>46.5004576581402</x:v>
      </x:c>
      <x:c r="E11" s="22" t="n">
        <x:v>4</x:v>
      </x:c>
      <x:c r="F11" s="22" t="n">
        <x:v>211.76815851371163</x:v>
      </x:c>
      <x:c r="G11" s="24" t="n">
        <x:v>113401848884.09256</x:v>
      </x:c>
      <x:c r="H11" s="24" t="n">
        <x:v>1137195011.2186313</x:v>
      </x:c>
      <x:c r="I11" s="24" t="n">
        <x:v>1481.6959844239677</x:v>
      </x:c>
      <x:c r="J11" s="36" t="n">
        <x:v>0.0024342350819736977</x:v>
      </x:c>
      <x:c r="K11" s="26" t="n">
        <x:f>IF(J11&gt;0,1/J11,"")</x:f>
        <x:v>410.80666670418367</x:v>
      </x:c>
    </x:row>
    <x:row r="12" ht="19" customHeight="1">
      <x:c r="A12" s="19" t="n">
        <x:v>8</x:v>
      </x:c>
      <x:c r="B12" s="22" t="n">
        <x:v>55.335</x:v>
      </x:c>
      <x:c r="C12" s="22" t="n">
        <x:v>432</x:v>
      </x:c>
      <x:c r="D12" s="22" t="n">
        <x:v>48</x:v>
      </x:c>
      <x:c r="E12" s="22" t="n">
        <x:v>4</x:v>
      </x:c>
      <x:c r="F12" s="22" t="n">
        <x:v>234.32409</x:v>
      </x:c>
      <x:c r="G12" s="24" t="n">
        <x:v>188045082225.00003</x:v>
      </x:c>
      <x:c r="H12" s="24" t="n">
        <x:v>1634410527.7500002</x:v>
      </x:c>
      <x:c r="I12" s="24" t="n">
        <x:v>1813.25298</x:v>
      </x:c>
      <x:c r="J12" s="36" t="n">
        <x:v>0.0031164672000000004</x:v>
      </x:c>
      <x:c r="K12" s="26" t="n">
        <x:f>IF(J12&gt;0,1/J12,"")</x:f>
        <x:v>320.876151046929</x:v>
      </x:c>
    </x:row>
    <x:row r="13" ht="19" customHeight="1">
      <x:c r="A13" s="19" t="n">
        <x:v>9</x:v>
      </x:c>
      <x:c r="B13" s="22" t="n">
        <x:v>65.854</x:v>
      </x:c>
      <x:c r="C13" s="22" t="n">
        <x:v>428.4677170455036</x:v>
      </x:c>
      <x:c r="D13" s="22" t="n">
        <x:v>46.959783572992336</x:v>
      </x:c>
      <x:c r="E13" s="22" t="n">
        <x:v>4</x:v>
      </x:c>
      <x:c r="F13" s="22" t="n">
        <x:v>222.6570319792874</x:v>
      </x:c>
      <x:c r="G13" s="24" t="n">
        <x:v>227110172618.87317</x:v>
      </x:c>
      <x:c r="H13" s="24" t="n">
        <x:v>3172862705.7048454</x:v>
      </x:c>
      <x:c r="I13" s="24" t="n">
        <x:v>2017.465956428463</x:v>
      </x:c>
      <x:c r="J13" s="36" t="n">
        <x:v>0.0036775616237992815</x:v>
      </x:c>
      <x:c r="K13" s="26" t="n">
        <x:f>IF(J13&gt;0,1/J13,"")</x:f>
        <x:v>271.91930477208484</x:v>
      </x:c>
    </x:row>
    <x:row r="14" ht="19" customHeight="1">
      <x:c r="A14" s="19" t="n">
        <x:v>10</x:v>
      </x:c>
      <x:c r="B14" s="22" t="n">
        <x:v>95.65453333333333</x:v>
      </x:c>
      <x:c r="C14" s="22" t="n">
        <x:v>432</x:v>
      </x:c>
      <x:c r="D14" s="22" t="n">
        <x:v>48</x:v>
      </x:c>
      <x:c r="E14" s="22" t="n">
        <x:v>4</x:v>
      </x:c>
      <x:c r="F14" s="22" t="n">
        <x:v>272.1420589066667</x:v>
      </x:c>
      <x:c r="G14" s="24" t="n">
        <x:v>408213088360</x:v>
      </x:c>
      <x:c r="H14" s="24" t="n">
        <x:v>4898557060.320001</x:v>
      </x:c>
      <x:c r="I14" s="24" t="n">
        <x:v>2528.371384000001</x:v>
      </x:c>
      <x:c r="J14" s="36" t="n">
        <x:v>0.005387263317333333</x:v>
      </x:c>
      <x:c r="K14" s="26" t="n">
        <x:f>IF(J14&gt;0,1/J14,"")</x:f>
        <x:v>185.62300394386415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f9754a7e9ff471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17" hidden="0" customWidth="1"/>
    <x:col min="5" max="5" width="20" hidden="0" customWidth="1"/>
    <x:col min="6" max="6" width="12" hidden="0" customWidth="1"/>
    <x:col min="7" max="7" width="18" hidden="0" customWidth="1"/>
    <x:col min="8" max="8" width="18" hidden="0" customWidth="1"/>
    <x:col min="9" max="9" width="21" hidden="0" customWidth="1"/>
    <x:col min="10" max="10" width="48" hidden="0" customWidth="1"/>
  </x:cols>
  <x:sheetData>
    <x:row r="1" ht="30" customHeight="1">
      <x:c r="A1" s="4" t="str">
        <x:v>04 · 普通专属推进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9" t="str">
        <x:v>取得的是不同普通专属种类，不是图鉴登记。含独立兼掉池的帮助；BOSS本体强装仍是额外加速。不是取得指定最佳4件的保证。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0" customHeight="1">
      <x:c r="A4" s="14" t="str">
        <x:v>大陆</x:v>
      </x:c>
      <x:c r="B4" s="14" t="str">
        <x:v>组序</x:v>
      </x:c>
      <x:c r="C4" s="14" t="str">
        <x:v>地图组</x:v>
      </x:c>
      <x:c r="D4" s="14" t="str">
        <x:v>普通池种数</x:v>
      </x:c>
      <x:c r="E4" s="14" t="str">
        <x:v>目标取得种数</x:v>
      </x:c>
      <x:c r="F4" s="14" t="str">
        <x:v>比例</x:v>
      </x:c>
      <x:c r="G4" s="14" t="str">
        <x:v>平均分钟</x:v>
      </x:c>
      <x:c r="H4" s="14" t="str">
        <x:v>中位分钟</x:v>
      </x:c>
      <x:c r="I4" s="14" t="str">
        <x:v>90%分位分钟</x:v>
      </x:c>
      <x:c r="J4" s="14" t="str">
        <x:v>普通候选</x:v>
      </x:c>
    </x:row>
    <x:row r="5" ht="19" customHeight="1">
      <x:c r="A5" s="19" t="n">
        <x:v>1</x:v>
      </x:c>
      <x:c r="B5" s="19" t="n">
        <x:v>1</x:v>
      </x:c>
      <x:c r="C5" s="19" t="str">
        <x:v>失乡者海岸</x:v>
      </x:c>
      <x:c r="D5" s="19" t="n">
        <x:v>5</x:v>
      </x:c>
      <x:c r="E5" s="19" t="n">
        <x:v>3</x:v>
      </x:c>
      <x:c r="F5" s="38" t="n">
        <x:f>E5/D5</x:f>
        <x:v>0.6</x:v>
      </x:c>
      <x:c r="G5" s="26" t="n">
        <x:v>20.973261277790645</x:v>
      </x:c>
      <x:c r="H5" s="26" t="n">
        <x:v>18.688237622140505</x:v>
      </x:c>
      <x:c r="I5" s="26" t="n">
        <x:v>37.254237661854646</x:v>
      </x:c>
      <x:c r="J5" s="19" t="str">
        <x:v>盐蚀弯刃、断桨骨链、漂流尸甲、猎犬骨戒、腐潮钳镯</x:v>
      </x:c>
    </x:row>
    <x:row r="6" ht="19" customHeight="1">
      <x:c r="A6" s="19" t="n">
        <x:v>1</x:v>
      </x:c>
      <x:c r="B6" s="19" t="n">
        <x:v>2</x:v>
      </x:c>
      <x:c r="C6" s="19" t="str">
        <x:v>风暴断崖</x:v>
      </x:c>
      <x:c r="D6" s="19" t="n">
        <x:v>6</x:v>
      </x:c>
      <x:c r="E6" s="19" t="n">
        <x:v>4</x:v>
      </x:c>
      <x:c r="F6" s="38" t="n">
        <x:f>E6/D6</x:f>
        <x:v>0.6666666666666666</x:v>
      </x:c>
      <x:c r="G6" s="26" t="n">
        <x:v>21.645256758860395</x:v>
      </x:c>
      <x:c r="H6" s="26" t="n">
        <x:v>19.78479684686788</x:v>
      </x:c>
      <x:c r="I6" s="26" t="n">
        <x:v>36.64237096924172</x:v>
      </x:c>
      <x:c r="J6" s="19" t="str">
        <x:v>风蚀盔、鹰眼链、雷羽护腕、狂风骨戒、断崖束带、石蜥面巾</x:v>
      </x:c>
    </x:row>
    <x:row r="7" ht="19" customHeight="1">
      <x:c r="A7" s="19" t="n">
        <x:v>1</x:v>
      </x:c>
      <x:c r="B7" s="19" t="n">
        <x:v>3</x:v>
      </x:c>
      <x:c r="C7" s="19" t="str">
        <x:v>沉没王庭</x:v>
      </x:c>
      <x:c r="D7" s="19" t="n">
        <x:v>6</x:v>
      </x:c>
      <x:c r="E7" s="19" t="n">
        <x:v>4</x:v>
      </x:c>
      <x:c r="F7" s="38" t="n">
        <x:f>E7/D7</x:f>
        <x:v>0.6666666666666666</x:v>
      </x:c>
      <x:c r="G7" s="26" t="n">
        <x:v>22.21276393388006</x:v>
      </x:c>
      <x:c r="H7" s="26" t="n">
        <x:v>20.21865030631719</x:v>
      </x:c>
      <x:c r="I7" s="26" t="n">
        <x:v>37.60148961569811</x:v>
      </x:c>
      <x:c r="J7" s="19" t="str">
        <x:v>溺亡王盔、沉宫项链、苔痕护腕、王庭秘戒、深水束带、幽灯面巾</x:v>
      </x:c>
    </x:row>
    <x:row r="8" ht="19" customHeight="1">
      <x:c r="A8" s="19" t="n">
        <x:v>2</x:v>
      </x:c>
      <x:c r="B8" s="19" t="n">
        <x:v>1</x:v>
      </x:c>
      <x:c r="C8" s="19" t="str">
        <x:v>漂流墓地</x:v>
      </x:c>
      <x:c r="D8" s="19" t="n">
        <x:v>6</x:v>
      </x:c>
      <x:c r="E8" s="19" t="n">
        <x:v>4</x:v>
      </x:c>
      <x:c r="F8" s="38" t="n">
        <x:f>E8/D8</x:f>
        <x:v>0.6666666666666666</x:v>
      </x:c>
      <x:c r="G8" s="26" t="n">
        <x:v>26.981144621093307</x:v>
      </x:c>
      <x:c r="H8" s="26" t="n">
        <x:v>24.316165012852217</x:v>
      </x:c>
      <x:c r="I8" s="26" t="n">
        <x:v>45.7093686559322</x:v>
      </x:c>
      <x:c r="J8" s="19" t="str">
        <x:v>褪色墓刃、漂腐寿衣、尖牙骨链、守墓石盔、归乡弩戒、幽火鳞镯</x:v>
      </x:c>
    </x:row>
    <x:row r="9" ht="19" customHeight="1">
      <x:c r="A9" s="19" t="n">
        <x:v>2</x:v>
      </x:c>
      <x:c r="B9" s="19" t="n">
        <x:v>2</x:v>
      </x:c>
      <x:c r="C9" s="19" t="str">
        <x:v>关卡前废墟</x:v>
      </x:c>
      <x:c r="D9" s="19" t="n">
        <x:v>6</x:v>
      </x:c>
      <x:c r="E9" s="19" t="n">
        <x:v>4</x:v>
      </x:c>
      <x:c r="F9" s="38" t="n">
        <x:f>E9/D9</x:f>
        <x:v>0.6666666666666666</x:v>
      </x:c>
      <x:c r="G9" s="26" t="n">
        <x:v>26.865784596676544</x:v>
      </x:c>
      <x:c r="H9" s="26" t="n">
        <x:v>24.43287066326294</x:v>
      </x:c>
      <x:c r="I9" s="26" t="n">
        <x:v>45.40773423679979</x:v>
      </x:c>
      <x:c r="J9" s="19" t="str">
        <x:v>断旗军刀、关隘铁甲、破垒鹰链、战狼铁盔、流放腕铠、断旗马戒</x:v>
      </x:c>
    </x:row>
    <x:row r="10" ht="19" customHeight="1">
      <x:c r="A10" s="19" t="n">
        <x:v>2</x:v>
      </x:c>
      <x:c r="B10" s="19" t="n">
        <x:v>3</x:v>
      </x:c>
      <x:c r="C10" s="19" t="str">
        <x:v>迷雾丛林</x:v>
      </x:c>
      <x:c r="D10" s="19" t="n">
        <x:v>6</x:v>
      </x:c>
      <x:c r="E10" s="19" t="n">
        <x:v>4</x:v>
      </x:c>
      <x:c r="F10" s="38" t="n">
        <x:f>E10/D10</x:f>
        <x:v>0.6666666666666666</x:v>
      </x:c>
      <x:c r="G10" s="26" t="n">
        <x:v>27.006544648757963</x:v>
      </x:c>
      <x:c r="H10" s="26" t="n">
        <x:v>24.55869296989514</x:v>
      </x:c>
      <x:c r="I10" s="26" t="n">
        <x:v>45.6531139294307</x:v>
      </x:c>
      <x:c r="J10" s="19" t="str">
        <x:v>雾牙短刃、熊王战靴、祖灵皮衣、古树祷链、半兽战勋、毒花巨盾</x:v>
      </x:c>
    </x:row>
    <x:row r="11" ht="19" customHeight="1">
      <x:c r="A11" s="19" t="n">
        <x:v>2</x:v>
      </x:c>
      <x:c r="B11" s="19" t="n">
        <x:v>4</x:v>
      </x:c>
      <x:c r="C11" s="19" t="str">
        <x:v>风暴山谷</x:v>
      </x:c>
      <x:c r="D11" s="19" t="n">
        <x:v>6</x:v>
      </x:c>
      <x:c r="E11" s="19" t="n">
        <x:v>4</x:v>
      </x:c>
      <x:c r="F11" s="38" t="n">
        <x:f>E11/D11</x:f>
        <x:v>0.6666666666666666</x:v>
      </x:c>
      <x:c r="G11" s="26" t="n">
        <x:v>26.87952802239896</x:v>
      </x:c>
      <x:c r="H11" s="26" t="n">
        <x:v>24.30250548872306</x:v>
      </x:c>
      <x:c r="I11" s="26" t="n">
        <x:v>45.551480892524786</x:v>
      </x:c>
      <x:c r="J11" s="19" t="str">
        <x:v>风羽战刃、雷羽战衣、巨人铁盔、风角骨戒、流寇束带、雷痕石盾</x:v>
      </x:c>
    </x:row>
    <x:row r="12" ht="19" customHeight="1">
      <x:c r="A12" s="19" t="n">
        <x:v>2</x:v>
      </x:c>
      <x:c r="B12" s="19" t="n">
        <x:v>5</x:v>
      </x:c>
      <x:c r="C12" s="19" t="str">
        <x:v>史东薇尔王城</x:v>
      </x:c>
      <x:c r="D12" s="19" t="n">
        <x:v>6</x:v>
      </x:c>
      <x:c r="E12" s="19" t="n">
        <x:v>4</x:v>
      </x:c>
      <x:c r="F12" s="38" t="n">
        <x:f>E12/D12</x:f>
        <x:v>0.6666666666666666</x:v>
      </x:c>
      <x:c r="G12" s="26" t="n">
        <x:v>27.246216974357306</x:v>
      </x:c>
      <x:c r="H12" s="26" t="n">
        <x:v>24.704779292406624</x:v>
      </x:c>
      <x:c r="I12" s="26" t="n">
        <x:v>46.176136729252875</x:v>
      </x:c>
      <x:c r="J12" s="19" t="str">
        <x:v>流刑王刃、失乡斧铠、火药锁链、刀翼王盔、百指腕甲、禁卫誓戒</x:v>
      </x:c>
    </x:row>
    <x:row r="13" ht="19" customHeight="1">
      <x:c r="A13" s="19" t="n">
        <x:v>3</x:v>
      </x:c>
      <x:c r="B13" s="19" t="n">
        <x:v>1</x:v>
      </x:c>
      <x:c r="C13" s="19" t="str">
        <x:v>西境荒原</x:v>
      </x:c>
      <x:c r="D13" s="19" t="n">
        <x:v>6</x:v>
      </x:c>
      <x:c r="E13" s="19" t="n">
        <x:v>4</x:v>
      </x:c>
      <x:c r="F13" s="38" t="n">
        <x:f>E13/D13</x:f>
        <x:v>0.6666666666666666</x:v>
      </x:c>
      <x:c r="G13" s="26" t="n">
        <x:v>34.883417430993</x:v>
      </x:c>
      <x:c r="H13" s="26" t="n">
        <x:v>31.554476408276084</x:v>
      </x:c>
      <x:c r="I13" s="26" t="n">
        <x:v>59.11763801601556</x:v>
      </x:c>
      <x:c r="J13" s="19" t="str">
        <x:v>拾骨弯刀、断旗战链、掠风护腕、铁蹄战靴、枯草牙戒、锈甲腰封</x:v>
      </x:c>
    </x:row>
    <x:row r="14" ht="19" customHeight="1">
      <x:c r="A14" s="19" t="n">
        <x:v>3</x:v>
      </x:c>
      <x:c r="B14" s="19" t="n">
        <x:v>2</x:v>
      </x:c>
      <x:c r="C14" s="19" t="str">
        <x:v>海风断崖</x:v>
      </x:c>
      <x:c r="D14" s="19" t="n">
        <x:v>6</x:v>
      </x:c>
      <x:c r="E14" s="19" t="n">
        <x:v>4</x:v>
      </x:c>
      <x:c r="F14" s="38" t="n">
        <x:f>E14/D14</x:f>
        <x:v>0.6666666666666666</x:v>
      </x:c>
      <x:c r="G14" s="26" t="n">
        <x:v>34.792637060108525</x:v>
      </x:c>
      <x:c r="H14" s="26" t="n">
        <x:v>31.38140558424455</x:v>
      </x:c>
      <x:c r="I14" s="26" t="n">
        <x:v>59.17389879077339</x:v>
      </x:c>
      <x:c r="J14" s="19" t="str">
        <x:v>盐晶短刃、逐风长矛、裂羽护腕、潮穴石盾、断索束带、海崖祷链</x:v>
      </x:c>
    </x:row>
    <x:row r="15" ht="19" customHeight="1">
      <x:c r="A15" s="19" t="n">
        <x:v>3</x:v>
      </x:c>
      <x:c r="B15" s="19" t="n">
        <x:v>3</x:v>
      </x:c>
      <x:c r="C15" s="19" t="str">
        <x:v>失落驿道</x:v>
      </x:c>
      <x:c r="D15" s="19" t="n">
        <x:v>6</x:v>
      </x:c>
      <x:c r="E15" s="19" t="n">
        <x:v>4</x:v>
      </x:c>
      <x:c r="F15" s="38" t="n">
        <x:f>E15/D15</x:f>
        <x:v>0.6666666666666666</x:v>
      </x:c>
      <x:c r="G15" s="26" t="n">
        <x:v>32.65779966850111</x:v>
      </x:c>
      <x:c r="H15" s="26" t="n">
        <x:v>29.608141553904595</x:v>
      </x:c>
      <x:c r="I15" s="26" t="n">
        <x:v>54.8175130880335</x:v>
      </x:c>
      <x:c r="J15" s="19" t="str">
        <x:v>驿骨短剑、荒商护符、灰篷面巾、驮货重甲、营火牙戒、断轮弩机</x:v>
      </x:c>
    </x:row>
    <x:row r="16" ht="19" customHeight="1">
      <x:c r="A16" s="19" t="n">
        <x:v>3</x:v>
      </x:c>
      <x:c r="B16" s="19" t="n">
        <x:v>4</x:v>
      </x:c>
      <x:c r="C16" s="19" t="str">
        <x:v>古战场遗迹</x:v>
      </x:c>
      <x:c r="D16" s="19" t="n">
        <x:v>6</x:v>
      </x:c>
      <x:c r="E16" s="19" t="n">
        <x:v>4</x:v>
      </x:c>
      <x:c r="F16" s="38" t="n">
        <x:f>E16/D16</x:f>
        <x:v>0.6666666666666666</x:v>
      </x:c>
      <x:c r="G16" s="26" t="n">
        <x:v>34.14673543763762</x:v>
      </x:c>
      <x:c r="H16" s="26" t="n">
        <x:v>30.862154506465934</x:v>
      </x:c>
      <x:c r="I16" s="26" t="n">
        <x:v>57.855892822072036</x:v>
      </x:c>
      <x:c r="J16" s="19" t="str">
        <x:v>残阵战刀、折戟铁链、战壕骨甲、无首号角、墓旗头冠、英灵马靴</x:v>
      </x:c>
    </x:row>
    <x:row r="17" ht="19" customHeight="1">
      <x:c r="A17" s="19" t="n">
        <x:v>3</x:v>
      </x:c>
      <x:c r="B17" s="19" t="n">
        <x:v>5</x:v>
      </x:c>
      <x:c r="C17" s="19" t="str">
        <x:v>风蚀古垒</x:v>
      </x:c>
      <x:c r="D17" s="19" t="n">
        <x:v>6</x:v>
      </x:c>
      <x:c r="E17" s="19" t="n">
        <x:v>4</x:v>
      </x:c>
      <x:c r="F17" s="38" t="n">
        <x:f>E17/D17</x:f>
        <x:v>0.6666666666666666</x:v>
      </x:c>
      <x:c r="G17" s="26" t="n">
        <x:v>34.57427778312021</x:v>
      </x:c>
      <x:c r="H17" s="26" t="n">
        <x:v>31.284383821702786</x:v>
      </x:c>
      <x:c r="I17" s="26" t="n">
        <x:v>58.932719074278424</x:v>
      </x:c>
      <x:c r="J17" s="19" t="str">
        <x:v>古垒军刀、风沙鹰链、回廊石盔、掘墓铁镯、边墙牙戒、铜门束带</x:v>
      </x:c>
    </x:row>
    <x:row r="18" ht="19" customHeight="1">
      <x:c r="A18" s="19" t="n">
        <x:v>3</x:v>
      </x:c>
      <x:c r="B18" s="19" t="n">
        <x:v>6</x:v>
      </x:c>
      <x:c r="C18" s="19" t="str">
        <x:v>黄金树哨垒</x:v>
      </x:c>
      <x:c r="D18" s="19" t="n">
        <x:v>6</x:v>
      </x:c>
      <x:c r="E18" s="19" t="n">
        <x:v>4</x:v>
      </x:c>
      <x:c r="F18" s="38" t="n">
        <x:f>E18/D18</x:f>
        <x:v>0.6666666666666666</x:v>
      </x:c>
      <x:c r="G18" s="26" t="n">
        <x:v>34.943383426835105</x:v>
      </x:c>
      <x:c r="H18" s="26" t="n">
        <x:v>31.62566911972187</x:v>
      </x:c>
      <x:c r="I18" s="26" t="n">
        <x:v>59.474098927234515</x:v>
      </x:c>
      <x:c r="J18" s="19" t="str">
        <x:v>金叶军刃、王树弩戒、圣露护腕、镀金羽冠、赐福战靴、执炬勋章</x:v>
      </x:c>
    </x:row>
    <x:row r="19" ht="19" customHeight="1">
      <x:c r="A19" s="19" t="n">
        <x:v>4</x:v>
      </x:c>
      <x:c r="B19" s="19" t="n">
        <x:v>1</x:v>
      </x:c>
      <x:c r="C19" s="19" t="str">
        <x:v>雾潮湿地</x:v>
      </x:c>
      <x:c r="D19" s="19" t="n">
        <x:v>6</x:v>
      </x:c>
      <x:c r="E19" s="19" t="n">
        <x:v>4</x:v>
      </x:c>
      <x:c r="F19" s="38" t="n">
        <x:f>E19/D19</x:f>
        <x:v>0.6666666666666666</x:v>
      </x:c>
      <x:c r="G19" s="26" t="n">
        <x:v>38.74279683226934</x:v>
      </x:c>
      <x:c r="H19" s="26" t="n">
        <x:v>35.33524435019014</x:v>
      </x:c>
      <x:c r="I19" s="26" t="n">
        <x:v>65.20355716038848</x:v>
      </x:c>
      <x:c r="J19" s="19" t="str">
        <x:v>雾脚蹼靴、沼鹿苔冠、芦针腕环、青壳沼盾、吸潮血戒、盲采藕刀</x:v>
      </x:c>
    </x:row>
    <x:row r="20" ht="19" customHeight="1">
      <x:c r="A20" s="19" t="n">
        <x:v>4</x:v>
      </x:c>
      <x:c r="B20" s="19" t="n">
        <x:v>2</x:v>
      </x:c>
      <x:c r="C20" s="19" t="str">
        <x:v>沉湖遗迹</x:v>
      </x:c>
      <x:c r="D20" s="19" t="n">
        <x:v>6</x:v>
      </x:c>
      <x:c r="E20" s="19" t="n">
        <x:v>4</x:v>
      </x:c>
      <x:c r="F20" s="38" t="n">
        <x:f>E20/D20</x:f>
        <x:v>0.6666666666666666</x:v>
      </x:c>
      <x:c r="G20" s="26" t="n">
        <x:v>39.86827953854961</x:v>
      </x:c>
      <x:c r="H20" s="26" t="n">
        <x:v>36.21385226638932</x:v>
      </x:c>
      <x:c r="I20" s="26" t="n">
        <x:v>67.27513923990355</x:v>
      </x:c>
      <x:c r="J20" s="19" t="str">
        <x:v>拾碑短刃、藻纹石盔、浸廊手弩、沉钟祭袍、盲鱼鳍靴、供盏腕轮</x:v>
      </x:c>
    </x:row>
    <x:row r="21" ht="19" customHeight="1">
      <x:c r="A21" s="19" t="n">
        <x:v>4</x:v>
      </x:c>
      <x:c r="B21" s="19" t="n">
        <x:v>3</x:v>
      </x:c>
      <x:c r="C21" s="19" t="str">
        <x:v>湖心沉船</x:v>
      </x:c>
      <x:c r="D21" s="19" t="n">
        <x:v>6</x:v>
      </x:c>
      <x:c r="E21" s="19" t="n">
        <x:v>4</x:v>
      </x:c>
      <x:c r="F21" s="38" t="n">
        <x:f>E21/D21</x:f>
        <x:v>0.6666666666666666</x:v>
      </x:c>
      <x:c r="G21" s="26" t="n">
        <x:v>37.969555103291995</x:v>
      </x:c>
      <x:c r="H21" s="26" t="n">
        <x:v>34.41784742944738</x:v>
      </x:c>
      <x:c r="I21" s="26" t="n">
        <x:v>64.54789273748975</x:v>
      </x:c>
      <x:c r="J21" s="19" t="str">
        <x:v>破帆腰带、桅猴跳靴、凿舱铁锤、怨灯项链、墓舱壳盾、盐裹尸衣</x:v>
      </x:c>
    </x:row>
    <x:row r="22" ht="19" customHeight="1">
      <x:c r="A22" s="19" t="n">
        <x:v>4</x:v>
      </x:c>
      <x:c r="B22" s="19" t="n">
        <x:v>4</x:v>
      </x:c>
      <x:c r="C22" s="19" t="str">
        <x:v>幽灵船骸</x:v>
      </x:c>
      <x:c r="D22" s="19" t="n">
        <x:v>6</x:v>
      </x:c>
      <x:c r="E22" s="19" t="n">
        <x:v>4</x:v>
      </x:c>
      <x:c r="F22" s="38" t="n">
        <x:f>E22/D22</x:f>
        <x:v>0.6666666666666666</x:v>
      </x:c>
      <x:c r="G22" s="26" t="n">
        <x:v>38.790381576533996</x:v>
      </x:c>
      <x:c r="H22" s="26" t="n">
        <x:v>35.254453417590184</x:v>
      </x:c>
      <x:c r="I22" s="26" t="n">
        <x:v>65.95665821373287</x:v>
      </x:c>
      <x:c r="J22" s="19" t="str">
        <x:v>磷火腕铠、骨鸥喙盔、舀魂铜瓢、引魂铜铃链、蜡封尸衣、梦蛾踏水靴</x:v>
      </x:c>
    </x:row>
    <x:row r="23" ht="19" customHeight="1">
      <x:c r="A23" s="19" t="n">
        <x:v>4</x:v>
      </x:c>
      <x:c r="B23" s="19" t="n">
        <x:v>5</x:v>
      </x:c>
      <x:c r="C23" s="19" t="str">
        <x:v>深湖水道</x:v>
      </x:c>
      <x:c r="D23" s="19" t="n">
        <x:v>6</x:v>
      </x:c>
      <x:c r="E23" s="19" t="n">
        <x:v>4</x:v>
      </x:c>
      <x:c r="F23" s="38" t="n">
        <x:f>E23/D23</x:f>
        <x:v>0.6666666666666666</x:v>
      </x:c>
      <x:c r="G23" s="26" t="n">
        <x:v>38.98000189226452</x:v>
      </x:c>
      <x:c r="H23" s="26" t="n">
        <x:v>35.56353360295972</x:v>
      </x:c>
      <x:c r="I23" s="26" t="n">
        <x:v>65.81277832676352</x:v>
      </x:c>
      <x:c r="J23" s="19" t="str">
        <x:v>巡闸圆盾、鳗皮束腰、月蛙刺弩、拾珠客斗笠、盔虾壳帽、伏流鳞靴</x:v>
      </x:c>
    </x:row>
    <x:row r="24" ht="19" customHeight="1">
      <x:c r="A24" s="19" t="n">
        <x:v>4</x:v>
      </x:c>
      <x:c r="B24" s="19" t="n">
        <x:v>6</x:v>
      </x:c>
      <x:c r="C24" s="19" t="str">
        <x:v>湖底密道</x:v>
      </x:c>
      <x:c r="D24" s="19" t="n">
        <x:v>6</x:v>
      </x:c>
      <x:c r="E24" s="19" t="n">
        <x:v>4</x:v>
      </x:c>
      <x:c r="F24" s="38" t="n">
        <x:f>E24/D24</x:f>
        <x:v>0.6666666666666666</x:v>
      </x:c>
      <x:c r="G24" s="26" t="n">
        <x:v>39.02991435848458</x:v>
      </x:c>
      <x:c r="H24" s="26" t="n">
        <x:v>35.37646047562947</x:v>
      </x:c>
      <x:c r="I24" s="26" t="n">
        <x:v>65.86215955714326</x:v>
      </x:c>
      <x:c r="J24" s="19" t="str">
        <x:v>潜壁短钩、穴龟石盾、滤水蚌盔、守渠锈衣、幽灯鱼坠、封门泥履</x:v>
      </x:c>
    </x:row>
    <x:row r="25" ht="19" customHeight="1">
      <x:c r="A25" s="19" t="n">
        <x:v>5</x:v>
      </x:c>
      <x:c r="B25" s="19" t="n">
        <x:v>1</x:v>
      </x:c>
      <x:c r="C25" s="19" t="str">
        <x:v>雾月水庭</x:v>
      </x:c>
      <x:c r="D25" s="19" t="n">
        <x:v>6</x:v>
      </x:c>
      <x:c r="E25" s="19" t="n">
        <x:v>4</x:v>
      </x:c>
      <x:c r="F25" s="38" t="n">
        <x:f>E25/D25</x:f>
        <x:v>0.6666666666666666</x:v>
      </x:c>
      <x:c r="G25" s="26" t="n">
        <x:v>46.20805816431653</x:v>
      </x:c>
      <x:c r="H25" s="26" t="n">
        <x:v>41.999090499150775</x:v>
      </x:c>
      <x:c r="I25" s="26" t="n">
        <x:v>77.96223788065265</x:v>
      </x:c>
      <x:c r="J25" s="19" t="str">
        <x:v>雾汐踏波履、苔纹潮壳盾、月翳提灯笠、凝露蛾月坠、静盏银纹镯、涟影回波戒</x:v>
      </x:c>
    </x:row>
    <x:row r="26" ht="19" customHeight="1">
      <x:c r="A26" s="19" t="n">
        <x:v>5</x:v>
      </x:c>
      <x:c r="B26" s="19" t="n">
        <x:v>2</x:v>
      </x:c>
      <x:c r="C26" s="19" t="str">
        <x:v>辉石遗迹</x:v>
      </x:c>
      <x:c r="D26" s="19" t="n">
        <x:v>6</x:v>
      </x:c>
      <x:c r="E26" s="19" t="n">
        <x:v>4</x:v>
      </x:c>
      <x:c r="F26" s="38" t="n">
        <x:f>E26/D26</x:f>
        <x:v>0.6666666666666666</x:v>
      </x:c>
      <x:c r="G26" s="26" t="n">
        <x:v>48.089397063561755</x:v>
      </x:c>
      <x:c r="H26" s="26" t="n">
        <x:v>43.65823353893818</x:v>
      </x:c>
      <x:c r="I26" s="26" t="n">
        <x:v>81.79474881857715</x:v>
      </x:c>
      <x:c r="J26" s="19" t="str">
        <x:v>碎辉鳞踏靴、遗刻晶纹镯、折光翅晶链、砾晶护庭盾、辉壳束腰、悬晶祭辉笠</x:v>
      </x:c>
    </x:row>
    <x:row r="27" ht="19" customHeight="1">
      <x:c r="A27" s="19" t="n">
        <x:v>5</x:v>
      </x:c>
      <x:c r="B27" s="19" t="n">
        <x:v>3</x:v>
      </x:c>
      <x:c r="C27" s="19" t="str">
        <x:v>学院回廊</x:v>
      </x:c>
      <x:c r="D27" s="19" t="n">
        <x:v>6</x:v>
      </x:c>
      <x:c r="E27" s="19" t="n">
        <x:v>4</x:v>
      </x:c>
      <x:c r="F27" s="38" t="n">
        <x:f>E27/D27</x:f>
        <x:v>0.6666666666666666</x:v>
      </x:c>
      <x:c r="G27" s="26" t="n">
        <x:v>42.74985815763651</x:v>
      </x:c>
      <x:c r="H27" s="26" t="n">
        <x:v>38.667918573733246</x:v>
      </x:c>
      <x:c r="I27" s="26" t="n">
        <x:v>72.33486798278503</x:v>
      </x:c>
      <x:c r="J27" s="19" t="str">
        <x:v>墨羽校录笠、试术银规镯、缄印粉屑戒、缄咒讲台盾、卷蠹轻步履、锁页秘文链</x:v>
      </x:c>
    </x:row>
    <x:row r="28" ht="19" customHeight="1">
      <x:c r="A28" s="19" t="n">
        <x:v>5</x:v>
      </x:c>
      <x:c r="B28" s="19" t="n">
        <x:v>4</x:v>
      </x:c>
      <x:c r="C28" s="19" t="str">
        <x:v>满月书库</x:v>
      </x:c>
      <x:c r="D28" s="19" t="n">
        <x:v>6</x:v>
      </x:c>
      <x:c r="E28" s="19" t="n">
        <x:v>4</x:v>
      </x:c>
      <x:c r="F28" s="38" t="n">
        <x:f>E28/D28</x:f>
        <x:v>0.6666666666666666</x:v>
      </x:c>
      <x:c r="G28" s="26" t="n">
        <x:v>42.64978695822371</x:v>
      </x:c>
      <x:c r="H28" s="26" t="n">
        <x:v>38.67463524255242</x:v>
      </x:c>
      <x:c r="I28" s="26" t="n">
        <x:v>72.28736489849963</x:v>
      </x:c>
      <x:c r="J28" s="19" t="str">
        <x:v>月尘理卷履、银页书鸦笠、噤语灯芯坠、巡卷傀书盾、墨潮藏页镯、夹页月痕戒</x:v>
      </x:c>
    </x:row>
    <x:row r="29" ht="19" customHeight="1">
      <x:c r="A29" s="19" t="n">
        <x:v>5</x:v>
      </x:c>
      <x:c r="B29" s="19" t="n">
        <x:v>5</x:v>
      </x:c>
      <x:c r="C29" s="19" t="str">
        <x:v>月影水宫</x:v>
      </x:c>
      <x:c r="D29" s="19" t="n">
        <x:v>6</x:v>
      </x:c>
      <x:c r="E29" s="19" t="n">
        <x:v>4</x:v>
      </x:c>
      <x:c r="F29" s="38" t="n">
        <x:f>E29/D29</x:f>
        <x:v>0.6666666666666666</x:v>
      </x:c>
      <x:c r="G29" s="26" t="n">
        <x:v>42.489517770157384</x:v>
      </x:c>
      <x:c r="H29" s="26" t="n">
        <x:v>38.40837672048948</x:v>
      </x:c>
      <x:c r="I29" s="26" t="n">
        <x:v>71.6862714087491</x:v>
      </x:c>
      <x:c r="J29" s="19" t="str">
        <x:v>月影鳞侍叉、涡纹螺壳盾、月华流扇笠、浮光鲛纹镯、澄潮祭步履、月镜游鱼戒</x:v>
      </x:c>
    </x:row>
    <x:row r="30" ht="19" customHeight="1">
      <x:c r="A30" s="19" t="n">
        <x:v>5</x:v>
      </x:c>
      <x:c r="B30" s="19" t="n">
        <x:v>6</x:v>
      </x:c>
      <x:c r="C30" s="19" t="str">
        <x:v>卡利亚禁域</x:v>
      </x:c>
      <x:c r="D30" s="19" t="n">
        <x:v>6</x:v>
      </x:c>
      <x:c r="E30" s="19" t="n">
        <x:v>4</x:v>
      </x:c>
      <x:c r="F30" s="38" t="n">
        <x:f>E30/D30</x:f>
        <x:v>0.6666666666666666</x:v>
      </x:c>
      <x:c r="G30" s="26" t="n">
        <x:v>42.30985051794791</x:v>
      </x:c>
      <x:c r="H30" s="26" t="n">
        <x:v>38.4142787039754</x:v>
      </x:c>
      <x:c r="I30" s="26" t="n">
        <x:v>71.08656174059182</x:v>
      </x:c>
      <x:c r="J30" s="19" t="str">
        <x:v>蓝焰逐影履、断誓侍银剑、折月傀镜盾、银纹封庭镯、噬辉蛾蚀月笠、守星残灵戒</x:v>
      </x:c>
    </x:row>
    <x:row r="31" ht="19" customHeight="1">
      <x:c r="A31" s="19" t="n">
        <x:v>6</x:v>
      </x:c>
      <x:c r="B31" s="19" t="n">
        <x:v>1</x:v>
      </x:c>
      <x:c r="C31" s="19" t="str">
        <x:v>猩红熔原</x:v>
      </x:c>
      <x:c r="D31" s="19" t="n">
        <x:v>6</x:v>
      </x:c>
      <x:c r="E31" s="19" t="n">
        <x:v>4</x:v>
      </x:c>
      <x:c r="F31" s="38" t="n">
        <x:f>E31/D31</x:f>
        <x:v>0.6666666666666666</x:v>
      </x:c>
      <x:c r="G31" s="26" t="n">
        <x:v>44.86444393382442</x:v>
      </x:c>
      <x:c r="H31" s="26" t="n">
        <x:v>40.64032465314283</x:v>
      </x:c>
      <x:c r="I31" s="26" t="n">
        <x:v>76.46653917322996</x:v>
      </x:c>
      <x:c r="J31" s="19" t="str">
        <x:v>灰背灼牙、拾骸骨盔、岩河鳞衣、执炭腰封、赤螯腕甲、血尘猎靴</x:v>
      </x:c>
    </x:row>
    <x:row r="32" ht="19" customHeight="1">
      <x:c r="A32" s="19" t="n">
        <x:v>6</x:v>
      </x:c>
      <x:c r="B32" s="19" t="n">
        <x:v>2</x:v>
      </x:c>
      <x:c r="C32" s="19" t="str">
        <x:v>腐败火狱</x:v>
      </x:c>
      <x:c r="D32" s="19" t="n">
        <x:v>6</x:v>
      </x:c>
      <x:c r="E32" s="19" t="n">
        <x:v>4</x:v>
      </x:c>
      <x:c r="F32" s="38" t="n">
        <x:f>E32/D32</x:f>
        <x:v>0.6666666666666666</x:v>
      </x:c>
      <x:c r="G32" s="26" t="n">
        <x:v>49.47338634826853</x:v>
      </x:c>
      <x:c r="H32" s="26" t="n">
        <x:v>44.3406598484619</x:v>
      </x:c>
      <x:c r="I32" s="26" t="n">
        <x:v>85.22903690057956</x:v>
      </x:c>
      <x:c r="J32" s="19" t="str">
        <x:v>腐狱铁链、灼刑断刃、熔壳甲衣、血菌腕轮、烙印斗笠、锁门重盾</x:v>
      </x:c>
    </x:row>
    <x:row r="33" ht="19" customHeight="1">
      <x:c r="A33" s="19" t="n">
        <x:v>6</x:v>
      </x:c>
      <x:c r="B33" s="19" t="n">
        <x:v>3</x:v>
      </x:c>
      <x:c r="C33" s="19" t="str">
        <x:v>红狮龙窟</x:v>
      </x:c>
      <x:c r="D33" s="19" t="n">
        <x:v>6</x:v>
      </x:c>
      <x:c r="E33" s="19" t="n">
        <x:v>4</x:v>
      </x:c>
      <x:c r="F33" s="38" t="n">
        <x:f>E33/D33</x:f>
        <x:v>0.6666666666666666</x:v>
      </x:c>
      <x:c r="G33" s="26" t="n">
        <x:v>44.305495188301244</x:v>
      </x:c>
      <x:c r="H33" s="26" t="n">
        <x:v>39.98254693009498</x:v>
      </x:c>
      <x:c r="I33" s="26" t="n">
        <x:v>75.95698606838648</x:v>
      </x:c>
      <x:c r="J33" s="19" t="str">
        <x:v>烬鳞护腕、崎路狮盔、火弩指环、护卵鳞衣、神殿焰矛、赤鬃战靴</x:v>
      </x:c>
    </x:row>
    <x:row r="34" ht="19" customHeight="1">
      <x:c r="A34" s="19" t="n">
        <x:v>7</x:v>
      </x:c>
      <x:c r="B34" s="19" t="n">
        <x:v>1</x:v>
      </x:c>
      <x:c r="C34" s="19" t="str">
        <x:v>苍白雪原</x:v>
      </x:c>
      <x:c r="D34" s="19" t="n">
        <x:v>6</x:v>
      </x:c>
      <x:c r="E34" s="19" t="n">
        <x:v>4</x:v>
      </x:c>
      <x:c r="F34" s="38" t="n">
        <x:f>E34/D34</x:f>
        <x:v>0.6666666666666666</x:v>
      </x:c>
      <x:c r="G34" s="26" t="n">
        <x:v>58.41112712843934</x:v>
      </x:c>
      <x:c r="H34" s="26" t="n">
        <x:v>52.19677924376174</x:v>
      </x:c>
      <x:c r="I34" s="26" t="n">
        <x:v>100.01749266361676</x:v>
      </x:c>
      <x:c r="J34" s="19" t="str">
        <x:v>冻角护腕、放逐雪刃、掘冰腰带、白烛礼冠、苍鬃牙戒、寒羽猎链</x:v>
      </x:c>
    </x:row>
    <x:row r="35" ht="19" customHeight="1">
      <x:c r="A35" s="19" t="n">
        <x:v>7</x:v>
      </x:c>
      <x:c r="B35" s="19" t="n">
        <x:v>2</x:v>
      </x:c>
      <x:c r="C35" s="19" t="str">
        <x:v>永冻荒境</x:v>
      </x:c>
      <x:c r="D35" s="19" t="n">
        <x:v>6</x:v>
      </x:c>
      <x:c r="E35" s="19" t="n">
        <x:v>4</x:v>
      </x:c>
      <x:c r="F35" s="38" t="n">
        <x:f>E35/D35</x:f>
        <x:v>0.6666666666666666</x:v>
      </x:c>
      <x:c r="G35" s="26" t="n">
        <x:v>53.63838579831862</x:v>
      </x:c>
      <x:c r="H35" s="26" t="n">
        <x:v>47.833264875436825</x:v>
      </x:c>
      <x:c r="I35" s="26" t="n">
        <x:v>93.21372918233945</x:v>
      </x:c>
      <x:c r="J35" s="19" t="str">
        <x:v>雪壳腕甲、流亡冰刀、逐光雪衣、守碑斗笠、霜牙指环、寒弓束带</x:v>
      </x:c>
    </x:row>
    <x:row r="36" ht="19" customHeight="1">
      <x:c r="A36" s="19" t="n">
        <x:v>7</x:v>
      </x:c>
      <x:c r="B36" s="19" t="n">
        <x:v>3</x:v>
      </x:c>
      <x:c r="C36" s="19" t="str">
        <x:v>极寒禁域</x:v>
      </x:c>
      <x:c r="D36" s="19" t="n">
        <x:v>6</x:v>
      </x:c>
      <x:c r="E36" s="19" t="n">
        <x:v>4</x:v>
      </x:c>
      <x:c r="F36" s="38" t="n">
        <x:f>E36/D36</x:f>
        <x:v>0.6666666666666666</x:v>
      </x:c>
      <x:c r="G36" s="26" t="n">
        <x:v>47.609690143755515</x:v>
      </x:c>
      <x:c r="H36" s="26" t="n">
        <x:v>43.41835710673473</x:v>
      </x:c>
      <x:c r="I36" s="26" t="n">
        <x:v>81.4590334404955</x:v>
      </x:c>
      <x:c r="J36" s="19" t="str">
        <x:v>冻喉牙刃、雾界斗笠、寒狱铁镯、守烛项链、白甲战衣、巡界牙戒</x:v>
      </x:c>
    </x:row>
    <x:row r="37" ht="19" customHeight="1">
      <x:c r="A37" s="19" t="n">
        <x:v>8</x:v>
      </x:c>
      <x:c r="B37" s="19" t="n">
        <x:v>1</x:v>
      </x:c>
      <x:c r="C37" s="19" t="str">
        <x:v>寒霜山径</x:v>
      </x:c>
      <x:c r="D37" s="19" t="n">
        <x:v>6</x:v>
      </x:c>
      <x:c r="E37" s="19" t="n">
        <x:v>4</x:v>
      </x:c>
      <x:c r="F37" s="38" t="n">
        <x:f>E37/D37</x:f>
        <x:v>0.6666666666666666</x:v>
      </x:c>
      <x:c r="G37" s="26" t="n">
        <x:v>54.698294817836164</x:v>
      </x:c>
      <x:c r="H37" s="26" t="n">
        <x:v>48.791297626623226</x:v>
      </x:c>
      <x:c r="I37" s="26" t="n">
        <x:v>94.71136658420444</x:v>
      </x:c>
      <x:c r="J37" s="19" t="str">
        <x:v>霜蹄踏雪靴、拾荒冰镐、雪猿鬃甲、冻骨圆盾、青隼翎盔、霜烛垂链</x:v>
      </x:c>
    </x:row>
    <x:row r="38" ht="19" customHeight="1">
      <x:c r="A38" s="19" t="n">
        <x:v>8</x:v>
      </x:c>
      <x:c r="B38" s="19" t="n">
        <x:v>2</x:v>
      </x:c>
      <x:c r="C38" s="19" t="str">
        <x:v>断冰峰群</x:v>
      </x:c>
      <x:c r="D38" s="19" t="n">
        <x:v>6</x:v>
      </x:c>
      <x:c r="E38" s="19" t="n">
        <x:v>4</x:v>
      </x:c>
      <x:c r="F38" s="38" t="n">
        <x:f>E38/D38</x:f>
        <x:v>0.6666666666666666</x:v>
      </x:c>
      <x:c r="G38" s="26" t="n">
        <x:v>54.43248432897435</x:v>
      </x:c>
      <x:c r="H38" s="26" t="n">
        <x:v>48.55054540372646</x:v>
      </x:c>
      <x:c r="I38" s="26" t="n">
        <x:v>93.24891985251566</x:v>
      </x:c>
      <x:c r="J38" s="19" t="str">
        <x:v>岩獾碎石履、负霜钉腰带、桥卒破冰弩、冰甲棱盾、寒翼听风坠、残斧魂腕环</x:v>
      </x:c>
    </x:row>
    <x:row r="39" ht="19" customHeight="1">
      <x:c r="A39" s="19" t="n">
        <x:v>8</x:v>
      </x:c>
      <x:c r="B39" s="19" t="n">
        <x:v>3</x:v>
      </x:c>
      <x:c r="C39" s="19" t="str">
        <x:v>冰宫王庭</x:v>
      </x:c>
      <x:c r="D39" s="19" t="n">
        <x:v>6</x:v>
      </x:c>
      <x:c r="E39" s="19" t="n">
        <x:v>4</x:v>
      </x:c>
      <x:c r="F39" s="38" t="n">
        <x:f>E39/D39</x:f>
        <x:v>0.6666666666666666</x:v>
      </x:c>
      <x:c r="G39" s="26" t="n">
        <x:v>61.44676831839575</x:v>
      </x:c>
      <x:c r="H39" s="26" t="n">
        <x:v>55.52972394843146</x:v>
      </x:c>
      <x:c r="I39" s="26" t="n">
        <x:v>105.04148047960607</x:v>
      </x:c>
      <x:c r="J39" s="19" t="str">
        <x:v>雪鸦冰喙坠、御阶雪铲、外廊纹冰盾、霜纱侍衣、石髯记事镯、寒灯侍履</x:v>
      </x:c>
    </x:row>
    <x:row r="40" ht="19" customHeight="1">
      <x:c r="A40" s="19" t="n">
        <x:v>8</x:v>
      </x:c>
      <x:c r="B40" s="19" t="n">
        <x:v>4</x:v>
      </x:c>
      <x:c r="C40" s="19" t="str">
        <x:v>巨人王庭</x:v>
      </x:c>
      <x:c r="D40" s="19" t="n">
        <x:v>6</x:v>
      </x:c>
      <x:c r="E40" s="19" t="n">
        <x:v>4</x:v>
      </x:c>
      <x:c r="F40" s="38" t="n">
        <x:f>E40/D40</x:f>
        <x:v>0.6666666666666666</x:v>
      </x:c>
      <x:c r="G40" s="26" t="n">
        <x:v>51.93651271170285</x:v>
      </x:c>
      <x:c r="H40" s="26" t="n">
        <x:v>47.308635856503074</x:v>
      </x:c>
      <x:c r="I40" s="26" t="n">
        <x:v>88.05427393557463</x:v>
      </x:c>
      <x:c r="J40" s="19" t="str">
        <x:v>铸霜庭卫戟、雪鬃獒踏靴、白毡宫衣、巡烛官灯坠、负碑王座盾、冰铃童腕镯</x:v>
      </x:c>
    </x:row>
    <x:row r="41" ht="19" customHeight="1">
      <x:c r="A41" s="19" t="n">
        <x:v>9</x:v>
      </x:c>
      <x:c r="B41" s="19" t="n">
        <x:v>1</x:v>
      </x:c>
      <x:c r="C41" s="19" t="str">
        <x:v>金叶古道</x:v>
      </x:c>
      <x:c r="D41" s="19" t="n">
        <x:v>6</x:v>
      </x:c>
      <x:c r="E41" s="19" t="n">
        <x:v>4</x:v>
      </x:c>
      <x:c r="F41" s="38" t="n">
        <x:f>E41/D41</x:f>
        <x:v>0.6666666666666666</x:v>
      </x:c>
      <x:c r="G41" s="26" t="n">
        <x:v>69.7862607102718</x:v>
      </x:c>
      <x:c r="H41" s="26" t="n">
        <x:v>62.333609129897816</x:v>
      </x:c>
      <x:c r="I41" s="26" t="n">
        <x:v>120.17238635552326</x:v>
      </x:c>
      <x:c r="J41" s="19" t="str">
        <x:v>角鹿逐叶履、拾穗弯刃、驿卒挡风盔、驮甲叶纹盾、鎏苔守陵衣、衔烛鸦羽坠</x:v>
      </x:c>
    </x:row>
    <x:row r="42" ht="19" customHeight="1">
      <x:c r="A42" s="19" t="n">
        <x:v>9</x:v>
      </x:c>
      <x:c r="B42" s="19" t="n">
        <x:v>2</x:v>
      </x:c>
      <x:c r="C42" s="19" t="str">
        <x:v>高原矿脉</x:v>
      </x:c>
      <x:c r="D42" s="19" t="n">
        <x:v>6</x:v>
      </x:c>
      <x:c r="E42" s="19" t="n">
        <x:v>4</x:v>
      </x:c>
      <x:c r="F42" s="38" t="n">
        <x:f>E42/D42</x:f>
        <x:v>0.6666666666666666</x:v>
      </x:c>
      <x:c r="G42" s="26" t="n">
        <x:v>58.164794321447786</x:v>
      </x:c>
      <x:c r="H42" s="26" t="n">
        <x:v>52.3734980804289</x:v>
      </x:c>
      <x:c r="I42" s="26" t="n">
        <x:v>99.33462630028723</x:v>
      </x:c>
      <x:c r="J42" s="19" t="str">
        <x:v>啮岩鼠爪靴、探脉听石坠、凿工尖喙镐、提灯旧毡笠、负筐矿奴衣、晶背层岩盾</x:v>
      </x:c>
    </x:row>
    <x:row r="43" ht="19" customHeight="1">
      <x:c r="A43" s="19" t="n">
        <x:v>9</x:v>
      </x:c>
      <x:c r="B43" s="19" t="n">
        <x:v>3</x:v>
      </x:c>
      <x:c r="C43" s="19" t="str">
        <x:v>古王陵园</x:v>
      </x:c>
      <x:c r="D43" s="19" t="n">
        <x:v>6</x:v>
      </x:c>
      <x:c r="E43" s="19" t="n">
        <x:v>4</x:v>
      </x:c>
      <x:c r="F43" s="38" t="n">
        <x:f>E43/D43</x:f>
        <x:v>0.6666666666666666</x:v>
      </x:c>
      <x:c r="G43" s="26" t="n">
        <x:v>63.98372572275156</x:v>
      </x:c>
      <x:c r="H43" s="26" t="n">
        <x:v>57.55125151470288</x:v>
      </x:c>
      <x:c r="I43" s="26" t="n">
        <x:v>108.16600732237805</x:v>
      </x:c>
      <x:c r="J43" s="19" t="str">
        <x:v>剪枝傀镰、金翅碑尘履、扶棺铜纹盾、壁龛守烛坠、敛袍侍素衣、葬犬衔骨镯</x:v>
      </x:c>
    </x:row>
    <x:row r="44" ht="19" customHeight="1">
      <x:c r="A44" s="19" t="n">
        <x:v>9</x:v>
      </x:c>
      <x:c r="B44" s="19" t="n">
        <x:v>4</x:v>
      </x:c>
      <x:c r="C44" s="19" t="str">
        <x:v>黄金圣堂</x:v>
      </x:c>
      <x:c r="D44" s="19" t="n">
        <x:v>6</x:v>
      </x:c>
      <x:c r="E44" s="19" t="n">
        <x:v>4</x:v>
      </x:c>
      <x:c r="F44" s="38" t="n">
        <x:f>E44/D44</x:f>
        <x:v>0.6666666666666666</x:v>
      </x:c>
      <x:c r="G44" s="26" t="n">
        <x:v>62.69046503990176</x:v>
      </x:c>
      <x:c r="H44" s="26" t="n">
        <x:v>56.00725481689701</x:v>
      </x:c>
      <x:c r="I44" s="26" t="n">
        <x:v>107.15856646374544</x:v>
      </x:c>
      <x:c r="J44" s="19" t="str">
        <x:v>扫金仆软履、鎏檐拱门盾、白袍唱诗衣、焚香奴腕镯、金面僧宝盔、祷弓手日轮弓</x:v>
      </x:c>
    </x:row>
    <x:row r="45" ht="19" customHeight="1">
      <x:c r="A45" s="19" t="n">
        <x:v>9</x:v>
      </x:c>
      <x:c r="B45" s="19" t="n">
        <x:v>5</x:v>
      </x:c>
      <x:c r="C45" s="19" t="str">
        <x:v>王城前垒</x:v>
      </x:c>
      <x:c r="D45" s="19" t="n">
        <x:v>6</x:v>
      </x:c>
      <x:c r="E45" s="19" t="n">
        <x:v>4</x:v>
      </x:c>
      <x:c r="F45" s="38" t="n">
        <x:f>E45/D45</x:f>
        <x:v>0.6666666666666666</x:v>
      </x:c>
      <x:c r="G45" s="26" t="n">
        <x:v>61.24352968047972</x:v>
      </x:c>
      <x:c r="H45" s="26" t="n">
        <x:v>55.29539273085904</x:v>
      </x:c>
      <x:c r="I45" s="26" t="n">
        <x:v>105.21497478510481</x:v>
      </x:c>
      <x:c r="J45" s="19" t="str">
        <x:v>铆甲兵垒盾、拾箭童疾履、持炬枪卒矛、炊兵铁勺镯、壁垒号手盔、锁链关门甲</x:v>
      </x:c>
    </x:row>
    <x:row r="46" ht="19" customHeight="1">
      <x:c r="A46" s="19" t="n">
        <x:v>10</x:v>
      </x:c>
      <x:c r="B46" s="19" t="n">
        <x:v>1</x:v>
      </x:c>
      <x:c r="C46" s="19" t="str">
        <x:v>王城下城区</x:v>
      </x:c>
      <x:c r="D46" s="19" t="n">
        <x:v>6</x:v>
      </x:c>
      <x:c r="E46" s="19" t="n">
        <x:v>4</x:v>
      </x:c>
      <x:c r="F46" s="38" t="n">
        <x:f>E46/D46</x:f>
        <x:v>0.6666666666666666</x:v>
      </x:c>
      <x:c r="G46" s="26" t="n">
        <x:v>58.2786349047228</x:v>
      </x:c>
      <x:c r="H46" s="26" t="n">
        <x:v>52.738713351342824</x:v>
      </x:c>
      <x:c r="I46" s="26" t="n">
        <x:v>98.38946560637493</x:v>
      </x:c>
      <x:c r="J46" s="19" t="str">
        <x:v>拾烬钩刃、斑墙巡灯盔、伏砖旧革靴、缚铃窄项圈、淤甲闸工衣、链轮束腰</x:v>
      </x:c>
    </x:row>
    <x:row r="47" ht="19" customHeight="1">
      <x:c r="A47" s="19" t="n">
        <x:v>10</x:v>
      </x:c>
      <x:c r="B47" s="19" t="n">
        <x:v>2</x:v>
      </x:c>
      <x:c r="C47" s="19" t="str">
        <x:v>黄金排水道</x:v>
      </x:c>
      <x:c r="D47" s="19" t="n">
        <x:v>6</x:v>
      </x:c>
      <x:c r="E47" s="19" t="n">
        <x:v>4</x:v>
      </x:c>
      <x:c r="F47" s="38" t="n">
        <x:f>E47/D47</x:f>
        <x:v>0.6666666666666666</x:v>
      </x:c>
      <x:c r="G47" s="26" t="n">
        <x:v>58.47504040118058</x:v>
      </x:c>
      <x:c r="H47" s="26" t="n">
        <x:v>53.23091093091864</x:v>
      </x:c>
      <x:c r="I47" s="26" t="n">
        <x:v>98.77421074971019</x:v>
      </x:c>
      <x:c r="J47" s="19" t="str">
        <x:v>金垢噬骨爪、捞骨防污衣、鸣管鳞盔、锈槽踏污靴、盘阀锁流带、窥灯浊辉坠</x:v>
      </x:c>
    </x:row>
    <x:row r="48" ht="19" customHeight="1">
      <x:c r="A48" s="19" t="n">
        <x:v>10</x:v>
      </x:c>
      <x:c r="B48" s="19" t="n">
        <x:v>3</x:v>
      </x:c>
      <x:c r="C48" s="19" t="str">
        <x:v>王城矿井</x:v>
      </x:c>
      <x:c r="D48" s="19" t="n">
        <x:v>6</x:v>
      </x:c>
      <x:c r="E48" s="19" t="n">
        <x:v>4</x:v>
      </x:c>
      <x:c r="F48" s="38" t="n">
        <x:f>E48/D48</x:f>
        <x:v>0.6666666666666666</x:v>
      </x:c>
      <x:c r="G48" s="26" t="n">
        <x:v>70.2816538409029</x:v>
      </x:c>
      <x:c r="H48" s="26" t="n">
        <x:v>62.55613154572582</x:v>
      </x:c>
      <x:c r="I48" s="26" t="n">
        <x:v>121.3087598842481</x:v>
      </x:c>
      <x:c r="J48" s="19" t="str">
        <x:v>铲痕护矿盔、负灯探脉靴、崩轨拖链盾、冷砧铆甲衣、裂晶钻颚刃、听金矿纹坠</x:v>
      </x:c>
    </x:row>
    <x:row r="49" ht="19" customHeight="1">
      <x:c r="A49" s="19" t="n">
        <x:v>10</x:v>
      </x:c>
      <x:c r="B49" s="19" t="n">
        <x:v>4</x:v>
      </x:c>
      <x:c r="C49" s="19" t="str">
        <x:v>王城地穴</x:v>
      </x:c>
      <x:c r="D49" s="19" t="n">
        <x:v>6</x:v>
      </x:c>
      <x:c r="E49" s="19" t="n">
        <x:v>4</x:v>
      </x:c>
      <x:c r="F49" s="38" t="n">
        <x:f>E49/D49</x:f>
        <x:v>0.6666666666666666</x:v>
      </x:c>
      <x:c r="G49" s="26" t="n">
        <x:v>58.4187477531361</x:v>
      </x:c>
      <x:c r="H49" s="26" t="n">
        <x:v>52.97347362679343</x:v>
      </x:c>
      <x:c r="I49" s="26" t="n">
        <x:v>99.08556410858829</x:v>
      </x:c>
      <x:c r="J49" s="19" t="str">
        <x:v>刮蜡墓烛匕、眠碑缝尸衣、执幡骨纹盔、噤歌幽绡坠、抱瓮缚灵镯、枕陵掘痕靴</x:v>
      </x:c>
    </x:row>
    <x:row r="50" ht="19" customHeight="1">
      <x:c r="A50" s="19" t="n">
        <x:v>10</x:v>
      </x:c>
      <x:c r="B50" s="19" t="n">
        <x:v>5</x:v>
      </x:c>
      <x:c r="C50" s="19" t="str">
        <x:v>黄金王宫</x:v>
      </x:c>
      <x:c r="D50" s="19" t="n">
        <x:v>6</x:v>
      </x:c>
      <x:c r="E50" s="19" t="n">
        <x:v>4</x:v>
      </x:c>
      <x:c r="F50" s="38" t="n">
        <x:f>E50/D50</x:f>
        <x:v>0.6666666666666666</x:v>
      </x:c>
      <x:c r="G50" s="26" t="n">
        <x:v>63.476552968339654</x:v>
      </x:c>
      <x:c r="H50" s="26" t="n">
        <x:v>56.29073941201316</x:v>
      </x:c>
      <x:c r="I50" s="26" t="n">
        <x:v>109.65829135498223</x:v>
      </x:c>
      <x:c r="J50" s="19" t="str">
        <x:v>扫阶日轮刃、金桂驯狮腕、垂纱持香衣、律烛诵壁冠、捧剑护座盾、拾辉登阶靴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0a379f7a61c40a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9" hidden="0" customWidth="1"/>
    <x:col min="3" max="3" width="25" hidden="0" customWidth="1"/>
    <x:col min="4" max="4" width="28" hidden="0" customWidth="1"/>
    <x:col min="5" max="5" width="27" hidden="0" customWidth="1"/>
    <x:col min="6" max="6" width="25" hidden="0" customWidth="1"/>
    <x:col min="7" max="7" width="24" hidden="0" customWidth="1"/>
    <x:col min="8" max="8" width="50" hidden="0" customWidth="1"/>
  </x:cols>
  <x:sheetData>
    <x:row r="1" ht="30" customHeight="1">
      <x:c r="A1" s="4" t="str">
        <x:v>05 · 材料与货币余额</x:v>
      </x:c>
      <x:c r="B1" s="4"/>
      <x:c r="C1" s="4"/>
      <x:c r="D1" s="4"/>
      <x:c r="E1" s="4"/>
      <x:c r="F1" s="4"/>
      <x:c r="G1" s="4"/>
      <x:c r="H1" s="4"/>
    </x:row>
    <x:row r="2" ht="34" customHeight="1">
      <x:c r="A2" s="9" t="str">
        <x:v>高产主材需求后余额已折入货币，不再带入下一阶段材料库存；其余材料余额存仓，不计入金币元宝。金币元宝列含留用机会成本扣除。</x:v>
      </x:c>
      <x:c r="B2" s="9"/>
      <x:c r="C2" s="9"/>
      <x:c r="D2" s="9"/>
      <x:c r="E2" s="9"/>
      <x:c r="F2" s="9"/>
      <x:c r="G2" s="9"/>
      <x:c r="H2" s="9"/>
    </x:row>
    <x:row r="4" ht="30" customHeight="1">
      <x:c r="A4" s="14" t="str">
        <x:v>大陆</x:v>
      </x:c>
      <x:c r="B4" s="14" t="str">
        <x:v>资源</x:v>
      </x:c>
      <x:c r="C4" s="14" t="str">
        <x:v>承接库存</x:v>
      </x:c>
      <x:c r="D4" s="14" t="str">
        <x:v>本阶段产量或等价额</x:v>
      </x:c>
      <x:c r="E4" s="14" t="str">
        <x:v>需求含留用等价</x:v>
      </x:c>
      <x:c r="F4" s="14" t="str">
        <x:v>需求后余额</x:v>
      </x:c>
      <x:c r="G4" s="14" t="str">
        <x:v>实际消耗</x:v>
      </x:c>
      <x:c r="H4" s="14" t="str">
        <x:v>解释</x:v>
      </x:c>
    </x:row>
    <x:row r="5" ht="19" customHeight="1">
      <x:c r="A5" s="19" t="n">
        <x:v>1</x:v>
      </x:c>
      <x:c r="B5" s="19" t="str">
        <x:v>元宝</x:v>
      </x:c>
      <x:c r="C5" s="34" t="n">
        <x:v>0</x:v>
      </x:c>
      <x:c r="D5" s="34" t="n">
        <x:v>155038083.39001504</x:v>
      </x:c>
      <x:c r="E5" s="34" t="n">
        <x:v>35500000</x:v>
      </x:c>
      <x:c r="F5" s="34" t="n">
        <x:f>MAX(0,C5+D5-E5)</x:f>
        <x:v>119538083.39001504</x:v>
      </x:c>
      <x:c r="G5" s="34" t="n">
        <x:v>11500000</x:v>
      </x:c>
      <x:c r="H5" s="19" t="str">
        <x:v>金币元宝扣除留用主材机会成本；失色扣除不拆的专属等价量</x:v>
      </x:c>
    </x:row>
    <x:row r="6" ht="19" customHeight="1">
      <x:c r="A6" s="19" t="n">
        <x:v>1</x:v>
      </x:c>
      <x:c r="B6" s="19" t="str">
        <x:v>古龙逆鳞</x:v>
      </x:c>
      <x:c r="C6" s="34" t="n">
        <x:v>0</x:v>
      </x:c>
      <x:c r="D6" s="34" t="n">
        <x:v>1.86875</x:v>
      </x:c>
      <x:c r="E6" s="34" t="n">
        <x:v>1</x:v>
      </x:c>
      <x:c r="F6" s="34" t="n">
        <x:f>MAX(0,C6+D6-E6)</x:f>
        <x:v>0.8687499999999999</x:v>
      </x:c>
      <x:c r="G6" s="34" t="n">
        <x:v>1</x:v>
      </x:c>
      <x:c r="H6" s="19" t="str">
        <x:v>非主材剩余存仓，不计货币收入</x:v>
      </x:c>
    </x:row>
    <x:row r="7" ht="19" customHeight="1">
      <x:c r="A7" s="19" t="n">
        <x:v>1</x:v>
      </x:c>
      <x:c r="B7" s="19" t="str">
        <x:v>吞岸王魂</x:v>
      </x:c>
      <x:c r="C7" s="34" t="n">
        <x:v>0</x:v>
      </x:c>
      <x:c r="D7" s="34" t="n">
        <x:v>1.86875</x:v>
      </x:c>
      <x:c r="E7" s="34" t="n">
        <x:v>1</x:v>
      </x:c>
      <x:c r="F7" s="34" t="n">
        <x:f>MAX(0,C7+D7-E7)</x:f>
        <x:v>0.8687499999999999</x:v>
      </x:c>
      <x:c r="G7" s="34" t="n">
        <x:v>1</x:v>
      </x:c>
      <x:c r="H7" s="19" t="str">
        <x:v>非主材剩余存仓，不计货币收入</x:v>
      </x:c>
    </x:row>
    <x:row r="8" ht="19" customHeight="1">
      <x:c r="A8" s="19" t="n">
        <x:v>1</x:v>
      </x:c>
      <x:c r="B8" s="19" t="str">
        <x:v>失色锻造石</x:v>
      </x:c>
      <x:c r="C8" s="34" t="n">
        <x:v>0</x:v>
      </x:c>
      <x:c r="D8" s="34" t="n">
        <x:v>2453.006171551729</x:v>
      </x:c>
      <x:c r="E8" s="34" t="n">
        <x:v>870</x:v>
      </x:c>
      <x:c r="F8" s="34" t="n">
        <x:f>MAX(0,C8+D8-E8)</x:f>
        <x:v>1583.006171551729</x:v>
      </x:c>
      <x:c r="G8" s="34" t="n">
        <x:v>200</x:v>
      </x:c>
      <x:c r="H8" s="19" t="str">
        <x:v>金币元宝扣除留用主材机会成本；失色扣除不拆的专属等价量</x:v>
      </x:c>
    </x:row>
    <x:row r="9" ht="19" customHeight="1">
      <x:c r="A9" s="19" t="n">
        <x:v>1</x:v>
      </x:c>
      <x:c r="B9" s="19" t="str">
        <x:v>执刑官残魂</x:v>
      </x:c>
      <x:c r="C9" s="34" t="n">
        <x:v>0</x:v>
      </x:c>
      <x:c r="D9" s="34" t="n">
        <x:v>1.86875</x:v>
      </x:c>
      <x:c r="E9" s="34" t="n">
        <x:v>1</x:v>
      </x:c>
      <x:c r="F9" s="34" t="n">
        <x:f>MAX(0,C9+D9-E9)</x:f>
        <x:v>0.8687499999999999</x:v>
      </x:c>
      <x:c r="G9" s="34" t="n">
        <x:v>1</x:v>
      </x:c>
      <x:c r="H9" s="19" t="str">
        <x:v>非主材剩余存仓，不计货币收入</x:v>
      </x:c>
    </x:row>
    <x:row r="10" ht="19" customHeight="1">
      <x:c r="A10" s="19" t="n">
        <x:v>1</x:v>
      </x:c>
      <x:c r="B10" s="19" t="str">
        <x:v>技能残页</x:v>
      </x:c>
      <x:c r="C10" s="34" t="n">
        <x:v>0</x:v>
      </x:c>
      <x:c r="D10" s="34" t="n">
        <x:v>710.9626751042506</x:v>
      </x:c>
      <x:c r="E10" s="34" t="n">
        <x:v>360</x:v>
      </x:c>
      <x:c r="F10" s="34" t="n">
        <x:f>MAX(0,C10+D10-E10)</x:f>
        <x:v>350.9626751042506</x:v>
      </x:c>
      <x:c r="G10" s="34" t="n">
        <x:v>360</x:v>
      </x:c>
      <x:c r="H10" s="19" t="str">
        <x:v>非主材剩余存仓，不计货币收入</x:v>
      </x:c>
    </x:row>
    <x:row r="11" ht="19" customHeight="1">
      <x:c r="A11" s="19" t="n">
        <x:v>1</x:v>
      </x:c>
      <x:c r="B11" s="19" t="str">
        <x:v>沉金魂魄</x:v>
      </x:c>
      <x:c r="C11" s="34" t="n">
        <x:v>0</x:v>
      </x:c>
      <x:c r="D11" s="34" t="n">
        <x:v>1.8031286362637646</x:v>
      </x:c>
      <x:c r="E11" s="34" t="n">
        <x:v>1</x:v>
      </x:c>
      <x:c r="F11" s="34" t="n">
        <x:f>MAX(0,C11+D11-E11)</x:f>
        <x:v>0.8031286362637646</x:v>
      </x:c>
      <x:c r="G11" s="34" t="n">
        <x:v>1</x:v>
      </x:c>
      <x:c r="H11" s="19" t="str">
        <x:v>非主材剩余存仓，不计货币收入</x:v>
      </x:c>
    </x:row>
    <x:row r="12" ht="19" customHeight="1">
      <x:c r="A12" s="19" t="n">
        <x:v>1</x:v>
      </x:c>
      <x:c r="B12" s="19" t="str">
        <x:v>海蚀铁片</x:v>
      </x:c>
      <x:c r="C12" s="34" t="n">
        <x:v>0</x:v>
      </x:c>
      <x:c r="D12" s="34" t="n">
        <x:v>971.0428743820032</x:v>
      </x:c>
      <x:c r="E12" s="34" t="n">
        <x:v>160</x:v>
      </x:c>
      <x:c r="F12" s="34" t="n">
        <x:f>0</x:f>
        <x:v>0</x:v>
      </x:c>
      <x:c r="G12" s="34" t="n">
        <x:v>160</x:v>
      </x:c>
      <x:c r="H12" s="19" t="str">
        <x:v>COM余量已计货币，不再留作实体库存</x:v>
      </x:c>
    </x:row>
    <x:row r="13" ht="19" customHeight="1">
      <x:c r="A13" s="19" t="n">
        <x:v>1</x:v>
      </x:c>
      <x:c r="B13" s="19" t="str">
        <x:v>漂流大陆印记</x:v>
      </x:c>
      <x:c r="C13" s="34" t="n">
        <x:v>0</x:v>
      </x:c>
      <x:c r="D13" s="34" t="n">
        <x:v>20.700000000000003</x:v>
      </x:c>
      <x:c r="E13" s="34" t="n">
        <x:v>11</x:v>
      </x:c>
      <x:c r="F13" s="34" t="n">
        <x:f>MAX(0,C13+D13-E13)</x:f>
        <x:v>9.700000000000003</x:v>
      </x:c>
      <x:c r="G13" s="34" t="n">
        <x:v>11</x:v>
      </x:c>
      <x:c r="H13" s="19" t="str">
        <x:v>非主材剩余存仓，不计货币收入</x:v>
      </x:c>
    </x:row>
    <x:row r="14" ht="19" customHeight="1">
      <x:c r="A14" s="19" t="n">
        <x:v>1</x:v>
      </x:c>
      <x:c r="B14" s="19" t="str">
        <x:v>漂流见证·潮</x:v>
      </x:c>
      <x:c r="C14" s="34" t="n">
        <x:v>0</x:v>
      </x:c>
      <x:c r="D14" s="34" t="n">
        <x:v>14.950000000000001</x:v>
      </x:c>
      <x:c r="E14" s="34" t="n">
        <x:v>8</x:v>
      </x:c>
      <x:c r="F14" s="34" t="n">
        <x:f>MAX(0,C14+D14-E14)</x:f>
        <x:v>6.950000000000001</x:v>
      </x:c>
      <x:c r="G14" s="34" t="n">
        <x:v>8</x:v>
      </x:c>
      <x:c r="H14" s="19" t="str">
        <x:v>非主材剩余存仓，不计货币收入</x:v>
      </x:c>
    </x:row>
    <x:row r="15" ht="19" customHeight="1">
      <x:c r="A15" s="19" t="n">
        <x:v>1</x:v>
      </x:c>
      <x:c r="B15" s="19" t="str">
        <x:v>漂流见证·雷</x:v>
      </x:c>
      <x:c r="C15" s="34" t="n">
        <x:v>0</x:v>
      </x:c>
      <x:c r="D15" s="34" t="n">
        <x:v>14.950000000000001</x:v>
      </x:c>
      <x:c r="E15" s="34" t="n">
        <x:v>8</x:v>
      </x:c>
      <x:c r="F15" s="34" t="n">
        <x:f>MAX(0,C15+D15-E15)</x:f>
        <x:v>6.950000000000001</x:v>
      </x:c>
      <x:c r="G15" s="34" t="n">
        <x:v>8</x:v>
      </x:c>
      <x:c r="H15" s="19" t="str">
        <x:v>非主材剩余存仓，不计货币收入</x:v>
      </x:c>
    </x:row>
    <x:row r="16" ht="19" customHeight="1">
      <x:c r="A16" s="19" t="n">
        <x:v>1</x:v>
      </x:c>
      <x:c r="B16" s="19" t="str">
        <x:v>潮痕结晶</x:v>
      </x:c>
      <x:c r="C16" s="34" t="n">
        <x:v>0</x:v>
      </x:c>
      <x:c r="D16" s="34" t="n">
        <x:v>30.14486010704281</x:v>
      </x:c>
      <x:c r="E16" s="34" t="n">
        <x:v>16</x:v>
      </x:c>
      <x:c r="F16" s="34" t="n">
        <x:f>MAX(0,C16+D16-E16)</x:f>
        <x:v>14.14486010704281</x:v>
      </x:c>
      <x:c r="G16" s="34" t="n">
        <x:v>16</x:v>
      </x:c>
      <x:c r="H16" s="19" t="str">
        <x:v>非主材剩余存仓，不计货币收入</x:v>
      </x:c>
    </x:row>
    <x:row r="17" ht="19" customHeight="1">
      <x:c r="A17" s="19" t="n">
        <x:v>1</x:v>
      </x:c>
      <x:c r="B17" s="19" t="str">
        <x:v>船长残魂</x:v>
      </x:c>
      <x:c r="C17" s="34" t="n">
        <x:v>0</x:v>
      </x:c>
      <x:c r="D17" s="34" t="n">
        <x:v>1.86875</x:v>
      </x:c>
      <x:c r="E17" s="34" t="n">
        <x:v>1</x:v>
      </x:c>
      <x:c r="F17" s="34" t="n">
        <x:f>MAX(0,C17+D17-E17)</x:f>
        <x:v>0.8687499999999999</x:v>
      </x:c>
      <x:c r="G17" s="34" t="n">
        <x:v>1</x:v>
      </x:c>
      <x:c r="H17" s="19" t="str">
        <x:v>非主材剩余存仓，不计货币收入</x:v>
      </x:c>
    </x:row>
    <x:row r="18" ht="19" customHeight="1">
      <x:c r="A18" s="19" t="n">
        <x:v>1</x:v>
      </x:c>
      <x:c r="B18" s="19" t="str">
        <x:v>裂岩之心</x:v>
      </x:c>
      <x:c r="C18" s="34" t="n">
        <x:v>0</x:v>
      </x:c>
      <x:c r="D18" s="34" t="n">
        <x:v>1.8448148026958604</x:v>
      </x:c>
      <x:c r="E18" s="34" t="n">
        <x:v>1</x:v>
      </x:c>
      <x:c r="F18" s="34" t="n">
        <x:f>MAX(0,C18+D18-E18)</x:f>
        <x:v>0.8448148026958604</x:v>
      </x:c>
      <x:c r="G18" s="34" t="n">
        <x:v>1</x:v>
      </x:c>
      <x:c r="H18" s="19" t="str">
        <x:v>非主材剩余存仓，不计货币收入</x:v>
      </x:c>
    </x:row>
    <x:row r="19" ht="19" customHeight="1">
      <x:c r="A19" s="19" t="n">
        <x:v>1</x:v>
      </x:c>
      <x:c r="B19" s="19" t="str">
        <x:v>逐雷魂印</x:v>
      </x:c>
      <x:c r="C19" s="34" t="n">
        <x:v>0</x:v>
      </x:c>
      <x:c r="D19" s="34" t="n">
        <x:v>1.8448148026958604</x:v>
      </x:c>
      <x:c r="E19" s="34" t="n">
        <x:v>1</x:v>
      </x:c>
      <x:c r="F19" s="34" t="n">
        <x:f>MAX(0,C19+D19-E19)</x:f>
        <x:v>0.8448148026958604</x:v>
      </x:c>
      <x:c r="G19" s="34" t="n">
        <x:v>1</x:v>
      </x:c>
      <x:c r="H19" s="19" t="str">
        <x:v>非主材剩余存仓，不计货币收入</x:v>
      </x:c>
    </x:row>
    <x:row r="20" ht="19" customHeight="1">
      <x:c r="A20" s="19" t="n">
        <x:v>1</x:v>
      </x:c>
      <x:c r="B20" s="19" t="str">
        <x:v>金币</x:v>
      </x:c>
      <x:c r="C20" s="34" t="n">
        <x:v>0</x:v>
      </x:c>
      <x:c r="D20" s="34" t="n">
        <x:v>12800562783.340403</x:v>
      </x:c>
      <x:c r="E20" s="34" t="n">
        <x:v>6200000000</x:v>
      </x:c>
      <x:c r="F20" s="34" t="n">
        <x:f>MAX(0,C20+D20-E20)</x:f>
        <x:v>6600562783.340403</x:v>
      </x:c>
      <x:c r="G20" s="34" t="n">
        <x:v>4400000000</x:v>
      </x:c>
      <x:c r="H20" s="19" t="str">
        <x:v>金币元宝扣除留用主材机会成本；失色扣除不拆的专属等价量</x:v>
      </x:c>
    </x:row>
    <x:row r="21" ht="19" customHeight="1">
      <x:c r="A21" s="19" t="n">
        <x:v>1</x:v>
      </x:c>
      <x:c r="B21" s="19" t="str">
        <x:v>锈锚魂魄</x:v>
      </x:c>
      <x:c r="C21" s="34" t="n">
        <x:v>0</x:v>
      </x:c>
      <x:c r="D21" s="34" t="n">
        <x:v>2.056199322055171</x:v>
      </x:c>
      <x:c r="E21" s="34" t="n">
        <x:v>1</x:v>
      </x:c>
      <x:c r="F21" s="34" t="n">
        <x:f>MAX(0,C21+D21-E21)</x:f>
        <x:v>1.0561993220551709</x:v>
      </x:c>
      <x:c r="G21" s="34" t="n">
        <x:v>1</x:v>
      </x:c>
      <x:c r="H21" s="19" t="str">
        <x:v>非主材剩余存仓，不计货币收入</x:v>
      </x:c>
    </x:row>
    <x:row r="22" ht="19" customHeight="1">
      <x:c r="A22" s="19" t="n">
        <x:v>2</x:v>
      </x:c>
      <x:c r="B22" s="19" t="str">
        <x:v>元宝</x:v>
      </x:c>
      <x:c r="C22" s="34" t="n">
        <x:v>119538083.39001504</x:v>
      </x:c>
      <x:c r="D22" s="34" t="n">
        <x:v>833406478.397547</x:v>
      </x:c>
      <x:c r="E22" s="34" t="n">
        <x:v>630725000</x:v>
      </x:c>
      <x:c r="F22" s="34" t="n">
        <x:f>MAX(0,C22+D22-E22)</x:f>
        <x:v>322219561.787562</x:v>
      </x:c>
      <x:c r="G22" s="34" t="n">
        <x:v>440000000</x:v>
      </x:c>
      <x:c r="H22" s="19" t="str">
        <x:v>金币元宝扣除留用主材机会成本；失色扣除不拆的专属等价量</x:v>
      </x:c>
    </x:row>
    <x:row r="23" ht="19" customHeight="1">
      <x:c r="A23" s="19" t="n">
        <x:v>2</x:v>
      </x:c>
      <x:c r="B23" s="19" t="str">
        <x:v>唤船骨铃</x:v>
      </x:c>
      <x:c r="C23" s="34" t="n">
        <x:v>0</x:v>
      </x:c>
      <x:c r="D23" s="34" t="n">
        <x:v>1.3955333333333333</x:v>
      </x:c>
      <x:c r="E23" s="34" t="n">
        <x:v>1</x:v>
      </x:c>
      <x:c r="F23" s="34" t="n">
        <x:f>MAX(0,C23+D23-E23)</x:f>
        <x:v>0.3955333333333333</x:v>
      </x:c>
      <x:c r="G23" s="34" t="n">
        <x:v>1</x:v>
      </x:c>
      <x:c r="H23" s="19" t="str">
        <x:v>非主材剩余存仓，不计货币收入</x:v>
      </x:c>
    </x:row>
    <x:row r="24" ht="19" customHeight="1">
      <x:c r="A24" s="19" t="n">
        <x:v>2</x:v>
      </x:c>
      <x:c r="B24" s="19" t="str">
        <x:v>夜骑黑印</x:v>
      </x:c>
      <x:c r="C24" s="34" t="n">
        <x:v>0</x:v>
      </x:c>
      <x:c r="D24" s="34" t="n">
        <x:v>1.7761333333333331</x:v>
      </x:c>
      <x:c r="E24" s="34" t="n">
        <x:v>1</x:v>
      </x:c>
      <x:c r="F24" s="34" t="n">
        <x:f>MAX(0,C24+D24-E24)</x:f>
        <x:v>0.7761333333333331</x:v>
      </x:c>
      <x:c r="G24" s="34" t="n">
        <x:v>1</x:v>
      </x:c>
      <x:c r="H24" s="19" t="str">
        <x:v>非主材剩余存仓，不计货币收入</x:v>
      </x:c>
    </x:row>
    <x:row r="25" ht="19" customHeight="1">
      <x:c r="A25" s="19" t="n">
        <x:v>2</x:v>
      </x:c>
      <x:c r="B25" s="19" t="str">
        <x:v>失乡军令</x:v>
      </x:c>
      <x:c r="C25" s="34" t="n">
        <x:v>0</x:v>
      </x:c>
      <x:c r="D25" s="34" t="n">
        <x:v>3.552266666666667</x:v>
      </x:c>
      <x:c r="E25" s="34" t="n">
        <x:v>2</x:v>
      </x:c>
      <x:c r="F25" s="34" t="n">
        <x:f>MAX(0,C25+D25-E25)</x:f>
        <x:v>1.5522666666666671</x:v>
      </x:c>
      <x:c r="G25" s="34" t="n">
        <x:v>2</x:v>
      </x:c>
      <x:c r="H25" s="19" t="str">
        <x:v>非主材剩余存仓，不计货币收入</x:v>
      </x:c>
    </x:row>
    <x:row r="26" ht="19" customHeight="1">
      <x:c r="A26" s="19" t="n">
        <x:v>2</x:v>
      </x:c>
      <x:c r="B26" s="19" t="str">
        <x:v>失色锻造石</x:v>
      </x:c>
      <x:c r="C26" s="34" t="n">
        <x:v>1583.006171551729</x:v>
      </x:c>
      <x:c r="D26" s="34" t="n">
        <x:v>8725.362816390845</x:v>
      </x:c>
      <x:c r="E26" s="34" t="n">
        <x:v>3240</x:v>
      </x:c>
      <x:c r="F26" s="34" t="n">
        <x:f>MAX(0,C26+D26-E26)</x:f>
        <x:v>7068.368987942575</x:v>
      </x:c>
      <x:c r="G26" s="34" t="n">
        <x:v>790</x:v>
      </x:c>
      <x:c r="H26" s="19" t="str">
        <x:v>金币元宝扣除留用主材机会成本；失色扣除不拆的专属等价量</x:v>
      </x:c>
    </x:row>
    <x:row r="27" ht="19" customHeight="1">
      <x:c r="A27" s="19" t="n">
        <x:v>2</x:v>
      </x:c>
      <x:c r="B27" s="19" t="str">
        <x:v>山妖王角</x:v>
      </x:c>
      <x:c r="C27" s="34" t="n">
        <x:v>0</x:v>
      </x:c>
      <x:c r="D27" s="34" t="n">
        <x:v>2.328225079905019</x:v>
      </x:c>
      <x:c r="E27" s="34" t="n">
        <x:v>2</x:v>
      </x:c>
      <x:c r="F27" s="34" t="n">
        <x:f>MAX(0,C27+D27-E27)</x:f>
        <x:v>0.3282250799050188</x:v>
      </x:c>
      <x:c r="G27" s="34" t="n">
        <x:v>2</x:v>
      </x:c>
      <x:c r="H27" s="19" t="str">
        <x:v>非主材剩余存仓，不计货币收入</x:v>
      </x:c>
    </x:row>
    <x:row r="28" ht="19" customHeight="1">
      <x:c r="A28" s="19" t="n">
        <x:v>2</x:v>
      </x:c>
      <x:c r="B28" s="19" t="str">
        <x:v>恶兆残角</x:v>
      </x:c>
      <x:c r="C28" s="34" t="n">
        <x:v>0</x:v>
      </x:c>
      <x:c r="D28" s="34" t="n">
        <x:v>1.1385</x:v>
      </x:c>
      <x:c r="E28" s="34" t="n">
        <x:v>1</x:v>
      </x:c>
      <x:c r="F28" s="34" t="n">
        <x:f>MAX(0,C28+D28-E28)</x:f>
        <x:v>0.13850000000000007</x:v>
      </x:c>
      <x:c r="G28" s="34" t="n">
        <x:v>1</x:v>
      </x:c>
      <x:c r="H28" s="19" t="str">
        <x:v>非主材剩余存仓，不计货币收入</x:v>
      </x:c>
    </x:row>
    <x:row r="29" ht="19" customHeight="1">
      <x:c r="A29" s="19" t="n">
        <x:v>2</x:v>
      </x:c>
      <x:c r="B29" s="19" t="str">
        <x:v>技能残页</x:v>
      </x:c>
      <x:c r="C29" s="34" t="n">
        <x:v>350.9626751042506</x:v>
      </x:c>
      <x:c r="D29" s="34" t="n">
        <x:v>1312.24135289598</x:v>
      </x:c>
      <x:c r="E29" s="34" t="n">
        <x:v>810</x:v>
      </x:c>
      <x:c r="F29" s="34" t="n">
        <x:f>MAX(0,C29+D29-E29)</x:f>
        <x:v>853.2040280002307</x:v>
      </x:c>
      <x:c r="G29" s="34" t="n">
        <x:v>810</x:v>
      </x:c>
      <x:c r="H29" s="19" t="str">
        <x:v>非主材剩余存仓，不计货币收入</x:v>
      </x:c>
    </x:row>
    <x:row r="30" ht="19" customHeight="1">
      <x:c r="A30" s="19" t="n">
        <x:v>2</x:v>
      </x:c>
      <x:c r="B30" s="19" t="str">
        <x:v>接肢王印</x:v>
      </x:c>
      <x:c r="C30" s="34" t="n">
        <x:v>0</x:v>
      </x:c>
      <x:c r="D30" s="34" t="n">
        <x:v>21.279500000000002</x:v>
      </x:c>
      <x:c r="E30" s="34" t="n">
        <x:v>17</x:v>
      </x:c>
      <x:c r="F30" s="34" t="n">
        <x:f>MAX(0,C30+D30-E30)</x:f>
        <x:v>4.279500000000002</x:v>
      </x:c>
      <x:c r="G30" s="34" t="n">
        <x:v>17</x:v>
      </x:c>
      <x:c r="H30" s="19" t="str">
        <x:v>非主材剩余存仓，不计货币收入</x:v>
      </x:c>
    </x:row>
    <x:row r="31" ht="19" customHeight="1">
      <x:c r="A31" s="19" t="n">
        <x:v>2</x:v>
      </x:c>
      <x:c r="B31" s="19" t="str">
        <x:v>树卫枪穗</x:v>
      </x:c>
      <x:c r="C31" s="34" t="n">
        <x:v>0</x:v>
      </x:c>
      <x:c r="D31" s="34" t="n">
        <x:v>1.7761333333333331</x:v>
      </x:c>
      <x:c r="E31" s="34" t="n">
        <x:v>1</x:v>
      </x:c>
      <x:c r="F31" s="34" t="n">
        <x:f>MAX(0,C31+D31-E31)</x:f>
        <x:v>0.7761333333333331</x:v>
      </x:c>
      <x:c r="G31" s="34" t="n">
        <x:v>1</x:v>
      </x:c>
      <x:c r="H31" s="19" t="str">
        <x:v>非主材剩余存仓，不计货币收入</x:v>
      </x:c>
    </x:row>
    <x:row r="32" ht="19" customHeight="1">
      <x:c r="A32" s="19" t="n">
        <x:v>2</x:v>
      </x:c>
      <x:c r="B32" s="19" t="str">
        <x:v>死亡仪羽</x:v>
      </x:c>
      <x:c r="C32" s="34" t="n">
        <x:v>0</x:v>
      </x:c>
      <x:c r="D32" s="34" t="n">
        <x:v>2.277</x:v>
      </x:c>
      <x:c r="E32" s="34" t="n">
        <x:v>2</x:v>
      </x:c>
      <x:c r="F32" s="34" t="n">
        <x:f>MAX(0,C32+D32-E32)</x:f>
        <x:v>0.27700000000000014</x:v>
      </x:c>
      <x:c r="G32" s="34" t="n">
        <x:v>2</x:v>
      </x:c>
      <x:c r="H32" s="19" t="str">
        <x:v>非主材剩余存仓，不计货币收入</x:v>
      </x:c>
    </x:row>
    <x:row r="33" ht="19" customHeight="1">
      <x:c r="A33" s="19" t="n">
        <x:v>2</x:v>
      </x:c>
      <x:c r="B33" s="19" t="str">
        <x:v>海蚀铁片</x:v>
      </x:c>
      <x:c r="C33" s="34" t="n">
        <x:v>0</x:v>
      </x:c>
      <x:c r="D33" s="34" t="n">
        <x:v>287.2056</x:v>
      </x:c>
      <x:c r="E33" s="34" t="n">
        <x:v>120</x:v>
      </x:c>
      <x:c r="F33" s="34" t="n">
        <x:f>0</x:f>
        <x:v>0</x:v>
      </x:c>
      <x:c r="G33" s="34" t="n">
        <x:v>120</x:v>
      </x:c>
      <x:c r="H33" s="19" t="str">
        <x:v>COM余量已计货币，不再留作实体库存</x:v>
      </x:c>
    </x:row>
    <x:row r="34" ht="19" customHeight="1">
      <x:c r="A34" s="19" t="n">
        <x:v>2</x:v>
      </x:c>
      <x:c r="B34" s="19" t="str">
        <x:v>溃烂树核</x:v>
      </x:c>
      <x:c r="C34" s="34" t="n">
        <x:v>0</x:v>
      </x:c>
      <x:c r="D34" s="34" t="n">
        <x:v>1.771</x:v>
      </x:c>
      <x:c r="E34" s="34" t="n">
        <x:v>1</x:v>
      </x:c>
      <x:c r="F34" s="34" t="n">
        <x:f>MAX(0,C34+D34-E34)</x:f>
        <x:v>0.7709999999999999</x:v>
      </x:c>
      <x:c r="G34" s="34" t="n">
        <x:v>1</x:v>
      </x:c>
      <x:c r="H34" s="19" t="str">
        <x:v>非主材剩余存仓，不计货币收入</x:v>
      </x:c>
    </x:row>
    <x:row r="35" ht="19" customHeight="1">
      <x:c r="A35" s="19" t="n">
        <x:v>2</x:v>
      </x:c>
      <x:c r="B35" s="19" t="str">
        <x:v>漂流大陆印记</x:v>
      </x:c>
      <x:c r="C35" s="34" t="n">
        <x:v>9.700000000000003</x:v>
      </x:c>
      <x:c r="D35" s="34" t="n">
        <x:v>5.313</x:v>
      </x:c>
      <x:c r="E35" s="34" t="n">
        <x:v>3</x:v>
      </x:c>
      <x:c r="F35" s="34" t="n">
        <x:f>MAX(0,C35+D35-E35)</x:f>
        <x:v>12.013000000000002</x:v>
      </x:c>
      <x:c r="G35" s="34" t="n">
        <x:v>3</x:v>
      </x:c>
      <x:c r="H35" s="19" t="str">
        <x:v>非主材剩余存仓，不计货币收入</x:v>
      </x:c>
    </x:row>
    <x:row r="36" ht="19" customHeight="1">
      <x:c r="A36" s="19" t="n">
        <x:v>2</x:v>
      </x:c>
      <x:c r="B36" s="19" t="str">
        <x:v>漂流见证·潮</x:v>
      </x:c>
      <x:c r="C36" s="34" t="n">
        <x:v>6.950000000000001</x:v>
      </x:c>
      <x:c r="D36" s="34" t="n">
        <x:v>7.59</x:v>
      </x:c>
      <x:c r="E36" s="34" t="n">
        <x:v>6</x:v>
      </x:c>
      <x:c r="F36" s="34" t="n">
        <x:f>MAX(0,C36+D36-E36)</x:f>
        <x:v>8.540000000000001</x:v>
      </x:c>
      <x:c r="G36" s="34" t="n">
        <x:v>6</x:v>
      </x:c>
      <x:c r="H36" s="19" t="str">
        <x:v>非主材剩余存仓，不计货币收入</x:v>
      </x:c>
    </x:row>
    <x:row r="37" ht="19" customHeight="1">
      <x:c r="A37" s="19" t="n">
        <x:v>2</x:v>
      </x:c>
      <x:c r="B37" s="19" t="str">
        <x:v>潮痕结晶</x:v>
      </x:c>
      <x:c r="C37" s="34" t="n">
        <x:v>14.14486010704281</x:v>
      </x:c>
      <x:c r="D37" s="34" t="n">
        <x:v>11.95425</x:v>
      </x:c>
      <x:c r="E37" s="34" t="n">
        <x:v>8</x:v>
      </x:c>
      <x:c r="F37" s="34" t="n">
        <x:f>MAX(0,C37+D37-E37)</x:f>
        <x:v>18.09911010704281</x:v>
      </x:c>
      <x:c r="G37" s="34" t="n">
        <x:v>8</x:v>
      </x:c>
      <x:c r="H37" s="19" t="str">
        <x:v>非主材剩余存仓，不计货币收入</x:v>
      </x:c>
    </x:row>
    <x:row r="38" ht="19" customHeight="1">
      <x:c r="A38" s="19" t="n">
        <x:v>2</x:v>
      </x:c>
      <x:c r="B38" s="19" t="str">
        <x:v>熊王心脏</x:v>
      </x:c>
      <x:c r="C38" s="34" t="n">
        <x:v>0</x:v>
      </x:c>
      <x:c r="D38" s="34" t="n">
        <x:v>2.606295876104436</x:v>
      </x:c>
      <x:c r="E38" s="34" t="n">
        <x:v>2</x:v>
      </x:c>
      <x:c r="F38" s="34" t="n">
        <x:f>MAX(0,C38+D38-E38)</x:f>
        <x:v>0.6062958761044359</x:v>
      </x:c>
      <x:c r="G38" s="34" t="n">
        <x:v>2</x:v>
      </x:c>
      <x:c r="H38" s="19" t="str">
        <x:v>非主材剩余存仓，不计货币收入</x:v>
      </x:c>
    </x:row>
    <x:row r="39" ht="19" customHeight="1">
      <x:c r="A39" s="19" t="n">
        <x:v>2</x:v>
      </x:c>
      <x:c r="B39" s="19" t="str">
        <x:v>熔炉角片</x:v>
      </x:c>
      <x:c r="C39" s="34" t="n">
        <x:v>0</x:v>
      </x:c>
      <x:c r="D39" s="34" t="n">
        <x:v>1.3955333333333333</x:v>
      </x:c>
      <x:c r="E39" s="34" t="n">
        <x:v>1</x:v>
      </x:c>
      <x:c r="F39" s="34" t="n">
        <x:f>MAX(0,C39+D39-E39)</x:f>
        <x:v>0.3955333333333333</x:v>
      </x:c>
      <x:c r="G39" s="34" t="n">
        <x:v>1</x:v>
      </x:c>
      <x:c r="H39" s="19" t="str">
        <x:v>非主材剩余存仓，不计货币收入</x:v>
      </x:c>
    </x:row>
    <x:row r="40" ht="19" customHeight="1">
      <x:c r="A40" s="19" t="n">
        <x:v>2</x:v>
      </x:c>
      <x:c r="B40" s="19" t="str">
        <x:v>看门犬石心</x:v>
      </x:c>
      <x:c r="C40" s="34" t="n">
        <x:v>0</x:v>
      </x:c>
      <x:c r="D40" s="34" t="n">
        <x:v>3.4060688898517744</x:v>
      </x:c>
      <x:c r="E40" s="34" t="n">
        <x:v>2</x:v>
      </x:c>
      <x:c r="F40" s="34" t="n">
        <x:f>MAX(0,C40+D40-E40)</x:f>
        <x:v>1.4060688898517744</x:v>
      </x:c>
      <x:c r="G40" s="34" t="n">
        <x:v>2</x:v>
      </x:c>
      <x:c r="H40" s="19" t="str">
        <x:v>非主材剩余存仓，不计货币收入</x:v>
      </x:c>
    </x:row>
    <x:row r="41" ht="19" customHeight="1">
      <x:c r="A41" s="19" t="n">
        <x:v>2</x:v>
      </x:c>
      <x:c r="B41" s="19" t="str">
        <x:v>腐根魂结</x:v>
      </x:c>
      <x:c r="C41" s="34" t="n">
        <x:v>0</x:v>
      </x:c>
      <x:c r="D41" s="34" t="n">
        <x:v>3.542</x:v>
      </x:c>
      <x:c r="E41" s="34" t="n">
        <x:v>2</x:v>
      </x:c>
      <x:c r="F41" s="34" t="n">
        <x:f>MAX(0,C41+D41-E41)</x:f>
        <x:v>1.5419999999999998</x:v>
      </x:c>
      <x:c r="G41" s="34" t="n">
        <x:v>2</x:v>
      </x:c>
      <x:c r="H41" s="19" t="str">
        <x:v>非主材剩余存仓，不计货币收入</x:v>
      </x:c>
    </x:row>
    <x:row r="42" ht="19" customHeight="1">
      <x:c r="A42" s="19" t="n">
        <x:v>2</x:v>
      </x:c>
      <x:c r="B42" s="19" t="str">
        <x:v>贵胄断指</x:v>
      </x:c>
      <x:c r="C42" s="34" t="n">
        <x:v>0</x:v>
      </x:c>
      <x:c r="D42" s="34" t="n">
        <x:v>1.771</x:v>
      </x:c>
      <x:c r="E42" s="34" t="n">
        <x:v>1</x:v>
      </x:c>
      <x:c r="F42" s="34" t="n">
        <x:f>MAX(0,C42+D42-E42)</x:f>
        <x:v>0.7709999999999999</x:v>
      </x:c>
      <x:c r="G42" s="34" t="n">
        <x:v>1</x:v>
      </x:c>
      <x:c r="H42" s="19" t="str">
        <x:v>非主材剩余存仓，不计货币收入</x:v>
      </x:c>
    </x:row>
    <x:row r="43" ht="19" customHeight="1">
      <x:c r="A43" s="19" t="n">
        <x:v>2</x:v>
      </x:c>
      <x:c r="B43" s="19" t="str">
        <x:v>野兽骨片</x:v>
      </x:c>
      <x:c r="C43" s="34" t="n">
        <x:v>0</x:v>
      </x:c>
      <x:c r="D43" s="34" t="n">
        <x:v>2198.918372458627</x:v>
      </x:c>
      <x:c r="E43" s="34" t="n">
        <x:v>1440</x:v>
      </x:c>
      <x:c r="F43" s="34" t="n">
        <x:f>MAX(0,C43+D43-E43)</x:f>
        <x:v>758.9183724586269</x:v>
      </x:c>
      <x:c r="G43" s="34" t="n">
        <x:v>1440</x:v>
      </x:c>
      <x:c r="H43" s="19" t="str">
        <x:v>非主材剩余存仓，不计货币收入</x:v>
      </x:c>
    </x:row>
    <x:row r="44" ht="19" customHeight="1">
      <x:c r="A44" s="19" t="n">
        <x:v>2</x:v>
      </x:c>
      <x:c r="B44" s="19" t="str">
        <x:v>金币</x:v>
      </x:c>
      <x:c r="C44" s="34" t="n">
        <x:v>6600562783.340403</x:v>
      </x:c>
      <x:c r="D44" s="34" t="n">
        <x:v>54877198020.440475</x:v>
      </x:c>
      <x:c r="E44" s="34" t="n">
        <x:v>23772500000</x:v>
      </x:c>
      <x:c r="F44" s="34" t="n">
        <x:f>MAX(0,C44+D44-E44)</x:f>
        <x:v>37705260803.780876</x:v>
      </x:c>
      <x:c r="G44" s="34" t="n">
        <x:v>12500000000</x:v>
      </x:c>
      <x:c r="H44" s="19" t="str">
        <x:v>金币元宝扣除留用主材机会成本；失色扣除不拆的专属等价量</x:v>
      </x:c>
    </x:row>
    <x:row r="45" ht="19" customHeight="1">
      <x:c r="A45" s="19" t="n">
        <x:v>2</x:v>
      </x:c>
      <x:c r="B45" s="19" t="str">
        <x:v>风暴王核</x:v>
      </x:c>
      <x:c r="C45" s="34" t="n">
        <x:v>0</x:v>
      </x:c>
      <x:c r="D45" s="34" t="n">
        <x:v>1.1385</x:v>
      </x:c>
      <x:c r="E45" s="34" t="n">
        <x:v>1</x:v>
      </x:c>
      <x:c r="F45" s="34" t="n">
        <x:f>MAX(0,C45+D45-E45)</x:f>
        <x:v>0.13850000000000007</x:v>
      </x:c>
      <x:c r="G45" s="34" t="n">
        <x:v>1</x:v>
      </x:c>
      <x:c r="H45" s="19" t="str">
        <x:v>非主材剩余存仓，不计货币收入</x:v>
      </x:c>
    </x:row>
    <x:row r="46" ht="19" customHeight="1">
      <x:c r="A46" s="19" t="n">
        <x:v>2</x:v>
      </x:c>
      <x:c r="B46" s="19" t="str">
        <x:v>风暴石片</x:v>
      </x:c>
      <x:c r="C46" s="34" t="n">
        <x:v>0</x:v>
      </x:c>
      <x:c r="D46" s="34" t="n">
        <x:v>2117.79089868794</x:v>
      </x:c>
      <x:c r="E46" s="34" t="n">
        <x:v>490</x:v>
      </x:c>
      <x:c r="F46" s="34" t="n">
        <x:f>0</x:f>
        <x:v>0</x:v>
      </x:c>
      <x:c r="G46" s="34" t="n">
        <x:v>490</x:v>
      </x:c>
      <x:c r="H46" s="19" t="str">
        <x:v>COM余量已计货币，不再留作实体库存</x:v>
      </x:c>
    </x:row>
    <x:row r="47" ht="19" customHeight="1">
      <x:c r="A47" s="19" t="n">
        <x:v>2</x:v>
      </x:c>
      <x:c r="B47" s="19" t="str">
        <x:v>黄金树碎核</x:v>
      </x:c>
      <x:c r="C47" s="34" t="n">
        <x:v>0</x:v>
      </x:c>
      <x:c r="D47" s="34" t="n">
        <x:v>2.606295876104436</x:v>
      </x:c>
      <x:c r="E47" s="34" t="n">
        <x:v>2</x:v>
      </x:c>
      <x:c r="F47" s="34" t="n">
        <x:f>MAX(0,C47+D47-E47)</x:f>
        <x:v>0.6062958761044359</x:v>
      </x:c>
      <x:c r="G47" s="34" t="n">
        <x:v>2</x:v>
      </x:c>
      <x:c r="H47" s="19" t="str">
        <x:v>非主材剩余存仓，不计货币收入</x:v>
      </x:c>
    </x:row>
    <x:row r="48" ht="19" customHeight="1">
      <x:c r="A48" s="19" t="n">
        <x:v>2</x:v>
      </x:c>
      <x:c r="B48" s="19" t="str">
        <x:v>黄金树芽</x:v>
      </x:c>
      <x:c r="C48" s="34" t="n">
        <x:v>0</x:v>
      </x:c>
      <x:c r="D48" s="34" t="n">
        <x:v>374.55590579196013</x:v>
      </x:c>
      <x:c r="E48" s="34" t="n">
        <x:v>247</x:v>
      </x:c>
      <x:c r="F48" s="34" t="n">
        <x:f>MAX(0,C48+D48-E48)</x:f>
        <x:v>127.55590579196013</x:v>
      </x:c>
      <x:c r="G48" s="34" t="n">
        <x:v>247</x:v>
      </x:c>
      <x:c r="H48" s="19" t="str">
        <x:v>非主材剩余存仓，不计货币收入</x:v>
      </x:c>
    </x:row>
    <x:row r="49" ht="19" customHeight="1">
      <x:c r="A49" s="19" t="n">
        <x:v>2</x:v>
      </x:c>
      <x:c r="B49" s="19" t="str">
        <x:v>黄金骑徽</x:v>
      </x:c>
      <x:c r="C49" s="34" t="n">
        <x:v>0</x:v>
      </x:c>
      <x:c r="D49" s="34" t="n">
        <x:v>3.552266666666667</x:v>
      </x:c>
      <x:c r="E49" s="34" t="n">
        <x:v>2</x:v>
      </x:c>
      <x:c r="F49" s="34" t="n">
        <x:f>MAX(0,C49+D49-E49)</x:f>
        <x:v>1.5522666666666671</x:v>
      </x:c>
      <x:c r="G49" s="34" t="n">
        <x:v>2</x:v>
      </x:c>
      <x:c r="H49" s="19" t="str">
        <x:v>非主材剩余存仓，不计货币收入</x:v>
      </x:c>
    </x:row>
    <x:row r="50" ht="19" customHeight="1">
      <x:c r="A50" s="19" t="n">
        <x:v>3</x:v>
      </x:c>
      <x:c r="B50" s="19" t="str">
        <x:v>元宝</x:v>
      </x:c>
      <x:c r="C50" s="34" t="n">
        <x:v>322219561.787562</x:v>
      </x:c>
      <x:c r="D50" s="34" t="n">
        <x:v>1777035166.574347</x:v>
      </x:c>
      <x:c r="E50" s="34" t="n">
        <x:v>661725000</x:v>
      </x:c>
      <x:c r="F50" s="34" t="n">
        <x:f>MAX(0,C50+D50-E50)</x:f>
        <x:v>1437529728.361909</x:v>
      </x:c>
      <x:c r="G50" s="34" t="n">
        <x:v>126600000</x:v>
      </x:c>
      <x:c r="H50" s="19" t="str">
        <x:v>金币元宝扣除留用主材机会成本；失色扣除不拆的专属等价量</x:v>
      </x:c>
    </x:row>
    <x:row r="51" ht="19" customHeight="1">
      <x:c r="A51" s="19" t="n">
        <x:v>3</x:v>
      </x:c>
      <x:c r="B51" s="19" t="str">
        <x:v>商队火漆</x:v>
      </x:c>
      <x:c r="C51" s="34" t="n">
        <x:v>0</x:v>
      </x:c>
      <x:c r="D51" s="34" t="n">
        <x:v>24.52894503283159</x:v>
      </x:c>
      <x:c r="E51" s="34" t="n">
        <x:v>20</x:v>
      </x:c>
      <x:c r="F51" s="34" t="n">
        <x:f>MAX(0,C51+D51-E51)</x:f>
        <x:v>4.52894503283159</x:v>
      </x:c>
      <x:c r="G51" s="34" t="n">
        <x:v>20</x:v>
      </x:c>
      <x:c r="H51" s="19" t="str">
        <x:v>非主材剩余存仓，不计货币收入</x:v>
      </x:c>
    </x:row>
    <x:row r="52" ht="19" customHeight="1">
      <x:c r="A52" s="19" t="n">
        <x:v>3</x:v>
      </x:c>
      <x:c r="B52" s="19" t="str">
        <x:v>失色锻造石</x:v>
      </x:c>
      <x:c r="C52" s="34" t="n">
        <x:v>7068.368987942575</x:v>
      </x:c>
      <x:c r="D52" s="34" t="n">
        <x:v>18231.255312974252</x:v>
      </x:c>
      <x:c r="E52" s="34" t="n">
        <x:v>4380</x:v>
      </x:c>
      <x:c r="F52" s="34" t="n">
        <x:f>MAX(0,C52+D52-E52)</x:f>
        <x:v>20919.624300916825</x:v>
      </x:c>
      <x:c r="G52" s="34" t="n">
        <x:v>570</x:v>
      </x:c>
      <x:c r="H52" s="19" t="str">
        <x:v>金币元宝扣除留用主材机会成本；失色扣除不拆的专属等价量</x:v>
      </x:c>
    </x:row>
    <x:row r="53" ht="19" customHeight="1">
      <x:c r="A53" s="19" t="n">
        <x:v>3</x:v>
      </x:c>
      <x:c r="B53" s="19" t="str">
        <x:v>守垒铜钥</x:v>
      </x:c>
      <x:c r="C53" s="34" t="n">
        <x:v>0</x:v>
      </x:c>
      <x:c r="D53" s="34" t="n">
        <x:v>13.319258333333332</x:v>
      </x:c>
      <x:c r="E53" s="34" t="n">
        <x:v>10</x:v>
      </x:c>
      <x:c r="F53" s="34" t="n">
        <x:f>MAX(0,C53+D53-E53)</x:f>
        <x:v>3.319258333333332</x:v>
      </x:c>
      <x:c r="G53" s="34" t="n">
        <x:v>10</x:v>
      </x:c>
      <x:c r="H53" s="19" t="str">
        <x:v>非主材剩余存仓，不计货币收入</x:v>
      </x:c>
    </x:row>
    <x:row r="54" ht="19" customHeight="1">
      <x:c r="A54" s="19" t="n">
        <x:v>3</x:v>
      </x:c>
      <x:c r="B54" s="19" t="str">
        <x:v>技能残页</x:v>
      </x:c>
      <x:c r="C54" s="34" t="n">
        <x:v>853.2040280002307</x:v>
      </x:c>
      <x:c r="D54" s="34" t="n">
        <x:v>1013.4891213570753</x:v>
      </x:c>
      <x:c r="E54" s="34" t="n">
        <x:v>540</x:v>
      </x:c>
      <x:c r="F54" s="34" t="n">
        <x:f>MAX(0,C54+D54-E54)</x:f>
        <x:v>1326.693149357306</x:v>
      </x:c>
      <x:c r="G54" s="34" t="n">
        <x:v>540</x:v>
      </x:c>
      <x:c r="H54" s="19" t="str">
        <x:v>非主材剩余存仓，不计货币收入</x:v>
      </x:c>
    </x:row>
    <x:row r="55" ht="19" customHeight="1">
      <x:c r="A55" s="19" t="n">
        <x:v>3</x:v>
      </x:c>
      <x:c r="B55" s="19" t="str">
        <x:v>接肢王印</x:v>
      </x:c>
      <x:c r="C55" s="34" t="n">
        <x:v>4.279500000000002</x:v>
      </x:c>
      <x:c r="D55" s="34" t="n">
        <x:v>5.692500000000001</x:v>
      </x:c>
      <x:c r="E55" s="34" t="n">
        <x:v>3</x:v>
      </x:c>
      <x:c r="F55" s="34" t="n">
        <x:f>MAX(0,C55+D55-E55)</x:f>
        <x:v>6.972000000000003</x:v>
      </x:c>
      <x:c r="G55" s="34" t="n">
        <x:v>3</x:v>
      </x:c>
      <x:c r="H55" s="19" t="str">
        <x:v>非主材剩余存仓，不计货币收入</x:v>
      </x:c>
    </x:row>
    <x:row r="56" ht="19" customHeight="1">
      <x:c r="A56" s="19" t="n">
        <x:v>3</x:v>
      </x:c>
      <x:c r="B56" s="19" t="str">
        <x:v>裂风崖羽</x:v>
      </x:c>
      <x:c r="C56" s="34" t="n">
        <x:v>0</x:v>
      </x:c>
      <x:c r="D56" s="34" t="n">
        <x:v>91.4018856268001</x:v>
      </x:c>
      <x:c r="E56" s="34" t="n">
        <x:v>68</x:v>
      </x:c>
      <x:c r="F56" s="34" t="n">
        <x:f>MAX(0,C56+D56-E56)</x:f>
        <x:v>23.401885626800095</x:v>
      </x:c>
      <x:c r="G56" s="34" t="n">
        <x:v>68</x:v>
      </x:c>
      <x:c r="H56" s="19" t="str">
        <x:v>非主材剩余存仓，不计货币收入</x:v>
      </x:c>
    </x:row>
    <x:row r="57" ht="19" customHeight="1">
      <x:c r="A57" s="19" t="n">
        <x:v>3</x:v>
      </x:c>
      <x:c r="B57" s="19" t="str">
        <x:v>西境战旗</x:v>
      </x:c>
      <x:c r="C57" s="34" t="n">
        <x:v>0</x:v>
      </x:c>
      <x:c r="D57" s="34" t="n">
        <x:v>26.798718405646593</x:v>
      </x:c>
      <x:c r="E57" s="34" t="n">
        <x:v>20</x:v>
      </x:c>
      <x:c r="F57" s="34" t="n">
        <x:f>MAX(0,C57+D57-E57)</x:f>
        <x:v>6.798718405646593</x:v>
      </x:c>
      <x:c r="G57" s="34" t="n">
        <x:v>20</x:v>
      </x:c>
      <x:c r="H57" s="19" t="str">
        <x:v>非主材剩余存仓，不计货币收入</x:v>
      </x:c>
    </x:row>
    <x:row r="58" ht="19" customHeight="1">
      <x:c r="A58" s="19" t="n">
        <x:v>3</x:v>
      </x:c>
      <x:c r="B58" s="19" t="str">
        <x:v>西境战旗印</x:v>
      </x:c>
      <x:c r="C58" s="34" t="n">
        <x:v>0</x:v>
      </x:c>
      <x:c r="D58" s="34" t="n">
        <x:v>27.682820000000003</x:v>
      </x:c>
      <x:c r="E58" s="34" t="n">
        <x:v>22</x:v>
      </x:c>
      <x:c r="F58" s="34" t="n">
        <x:f>MAX(0,C58+D58-E58)</x:f>
        <x:v>5.682820000000003</x:v>
      </x:c>
      <x:c r="G58" s="34" t="n">
        <x:v>22</x:v>
      </x:c>
      <x:c r="H58" s="19" t="str">
        <x:v>非主材剩余存仓，不计货币收入</x:v>
      </x:c>
    </x:row>
    <x:row r="59" ht="19" customHeight="1">
      <x:c r="A59" s="19" t="n">
        <x:v>3</x:v>
      </x:c>
      <x:c r="B59" s="19" t="str">
        <x:v>野兽骨片</x:v>
      </x:c>
      <x:c r="C59" s="34" t="n">
        <x:v>758.9183724586269</x:v>
      </x:c>
      <x:c r="D59" s="34" t="n">
        <x:v>4144.607531549968</x:v>
      </x:c>
      <x:c r="E59" s="34" t="n">
        <x:v>2661</x:v>
      </x:c>
      <x:c r="F59" s="34" t="n">
        <x:f>MAX(0,C59+D59-E59)</x:f>
        <x:v>2242.525904008595</x:v>
      </x:c>
      <x:c r="G59" s="34" t="n">
        <x:v>2661</x:v>
      </x:c>
      <x:c r="H59" s="19" t="str">
        <x:v>非主材剩余存仓，不计货币收入</x:v>
      </x:c>
    </x:row>
    <x:row r="60" ht="19" customHeight="1">
      <x:c r="A60" s="19" t="n">
        <x:v>3</x:v>
      </x:c>
      <x:c r="B60" s="19" t="str">
        <x:v>金币</x:v>
      </x:c>
      <x:c r="C60" s="34" t="n">
        <x:v>37705260803.780876</x:v>
      </x:c>
      <x:c r="D60" s="34" t="n">
        <x:v>190915463354.20316</x:v>
      </x:c>
      <x:c r="E60" s="34" t="n">
        <x:v>146027500000</x:v>
      </x:c>
      <x:c r="F60" s="34" t="n">
        <x:f>MAX(0,C60+D60-E60)</x:f>
        <x:v>82593224157.98404</x:v>
      </x:c>
      <x:c r="G60" s="34" t="n">
        <x:v>86800000000</x:v>
      </x:c>
      <x:c r="H60" s="19" t="str">
        <x:v>金币元宝扣除留用主材机会成本；失色扣除不拆的专属等价量</x:v>
      </x:c>
    </x:row>
    <x:row r="61" ht="19" customHeight="1">
      <x:c r="A61" s="19" t="n">
        <x:v>3</x:v>
      </x:c>
      <x:c r="B61" s="19" t="str">
        <x:v>风暴石片</x:v>
      </x:c>
      <x:c r="C61" s="34" t="n">
        <x:v>0</x:v>
      </x:c>
      <x:c r="D61" s="34" t="n">
        <x:v>575.6256</x:v>
      </x:c>
      <x:c r="E61" s="34" t="n">
        <x:v>70</x:v>
      </x:c>
      <x:c r="F61" s="34" t="n">
        <x:f>0</x:f>
        <x:v>0</x:v>
      </x:c>
      <x:c r="G61" s="34" t="n">
        <x:v>70</x:v>
      </x:c>
      <x:c r="H61" s="19" t="str">
        <x:v>COM余量已计货币，不再留作实体库存</x:v>
      </x:c>
    </x:row>
    <x:row r="62" ht="19" customHeight="1">
      <x:c r="A62" s="19" t="n">
        <x:v>3</x:v>
      </x:c>
      <x:c r="B62" s="19" t="str">
        <x:v>风蚀铁片</x:v>
      </x:c>
      <x:c r="C62" s="34" t="n">
        <x:v>0</x:v>
      </x:c>
      <x:c r="D62" s="34" t="n">
        <x:v>2510.488584456783</x:v>
      </x:c>
      <x:c r="E62" s="34" t="n">
        <x:v>820</x:v>
      </x:c>
      <x:c r="F62" s="34" t="n">
        <x:f>0</x:f>
        <x:v>0</x:v>
      </x:c>
      <x:c r="G62" s="34" t="n">
        <x:v>820</x:v>
      </x:c>
      <x:c r="H62" s="19" t="str">
        <x:v>COM余量已计货币，不再留作实体库存</x:v>
      </x:c>
    </x:row>
    <x:row r="63" ht="19" customHeight="1">
      <x:c r="A63" s="19" t="n">
        <x:v>3</x:v>
      </x:c>
      <x:c r="B63" s="19" t="str">
        <x:v>黄金树芽</x:v>
      </x:c>
      <x:c r="C63" s="34" t="n">
        <x:v>127.55590579196013</x:v>
      </x:c>
      <x:c r="D63" s="34" t="n">
        <x:v>117.00983774154182</x:v>
      </x:c>
      <x:c r="E63" s="34" t="n">
        <x:v>8</x:v>
      </x:c>
      <x:c r="F63" s="34" t="n">
        <x:f>MAX(0,C63+D63-E63)</x:f>
        <x:v>236.56574353350194</x:v>
      </x:c>
      <x:c r="G63" s="34" t="n">
        <x:v>8</x:v>
      </x:c>
      <x:c r="H63" s="19" t="str">
        <x:v>非主材剩余存仓，不计货币收入</x:v>
      </x:c>
    </x:row>
    <x:row r="64" ht="19" customHeight="1">
      <x:c r="A64" s="19" t="n">
        <x:v>4</x:v>
      </x:c>
      <x:c r="B64" s="19" t="str">
        <x:v>元宝</x:v>
      </x:c>
      <x:c r="C64" s="34" t="n">
        <x:v>1437529728.361909</x:v>
      </x:c>
      <x:c r="D64" s="34" t="n">
        <x:v>9689000461.25811</x:v>
      </x:c>
      <x:c r="E64" s="34" t="n">
        <x:v>4606055000</x:v>
      </x:c>
      <x:c r="F64" s="34" t="n">
        <x:f>MAX(0,C64+D64-E64)</x:f>
        <x:v>6520475189.620018</x:v>
      </x:c>
      <x:c r="G64" s="34" t="n">
        <x:v>1602800000</x:v>
      </x:c>
      <x:c r="H64" s="19" t="str">
        <x:v>金币元宝扣除留用主材机会成本；失色扣除不拆的专属等价量</x:v>
      </x:c>
    </x:row>
    <x:row r="65" ht="19" customHeight="1">
      <x:c r="A65" s="19" t="n">
        <x:v>4</x:v>
      </x:c>
      <x:c r="B65" s="19" t="str">
        <x:v>失色锻造石</x:v>
      </x:c>
      <x:c r="C65" s="34" t="n">
        <x:v>20919.624300916825</x:v>
      </x:c>
      <x:c r="D65" s="34" t="n">
        <x:v>38483.46090204461</x:v>
      </x:c>
      <x:c r="E65" s="34" t="n">
        <x:v>9390</x:v>
      </x:c>
      <x:c r="F65" s="34" t="n">
        <x:f>MAX(0,C65+D65-E65)</x:f>
        <x:v>50013.08520296143</x:v>
      </x:c>
      <x:c r="G65" s="34" t="n">
        <x:v>3270</x:v>
      </x:c>
      <x:c r="H65" s="19" t="str">
        <x:v>金币元宝扣除留用主材机会成本；失色扣除不拆的专属等价量</x:v>
      </x:c>
    </x:row>
    <x:row r="66" ht="19" customHeight="1">
      <x:c r="A66" s="19" t="n">
        <x:v>4</x:v>
      </x:c>
      <x:c r="B66" s="19" t="str">
        <x:v>小卢恩</x:v>
      </x:c>
      <x:c r="C66" s="34" t="n">
        <x:v>101.05383559761972</x:v>
      </x:c>
      <x:c r="D66" s="34" t="n">
        <x:v>527.7655515741044</x:v>
      </x:c>
      <x:c r="E66" s="34" t="n">
        <x:v>250</x:v>
      </x:c>
      <x:c r="F66" s="34" t="n">
        <x:f>MAX(0,C66+D66-E66)</x:f>
        <x:v>378.8193871717241</x:v>
      </x:c>
      <x:c r="G66" s="34" t="n">
        <x:v>250</x:v>
      </x:c>
      <x:c r="H66" s="19" t="str">
        <x:v>非主材剩余存仓，不计货币收入</x:v>
      </x:c>
    </x:row>
    <x:row r="67" ht="19" customHeight="1">
      <x:c r="A67" s="19" t="n">
        <x:v>4</x:v>
      </x:c>
      <x:c r="B67" s="19" t="str">
        <x:v>幽船铆钉</x:v>
      </x:c>
      <x:c r="C67" s="34" t="n">
        <x:v>0</x:v>
      </x:c>
      <x:c r="D67" s="34" t="n">
        <x:v>46.84927922083362</x:v>
      </x:c>
      <x:c r="E67" s="34" t="n">
        <x:v>21</x:v>
      </x:c>
      <x:c r="F67" s="34" t="n">
        <x:f>MAX(0,C67+D67-E67)</x:f>
        <x:v>25.849279220833623</x:v>
      </x:c>
      <x:c r="G67" s="34" t="n">
        <x:v>21</x:v>
      </x:c>
      <x:c r="H67" s="19" t="str">
        <x:v>非主材剩余存仓，不计货币收入</x:v>
      </x:c>
    </x:row>
    <x:row r="68" ht="19" customHeight="1">
      <x:c r="A68" s="19" t="n">
        <x:v>4</x:v>
      </x:c>
      <x:c r="B68" s="19" t="str">
        <x:v>技能残页</x:v>
      </x:c>
      <x:c r="C68" s="34" t="n">
        <x:v>1326.693149357306</x:v>
      </x:c>
      <x:c r="D68" s="34" t="n">
        <x:v>1295.3333253926533</x:v>
      </x:c>
      <x:c r="E68" s="34" t="n">
        <x:v>450</x:v>
      </x:c>
      <x:c r="F68" s="34" t="n">
        <x:f>MAX(0,C68+D68-E68)</x:f>
        <x:v>2172.0264747499596</x:v>
      </x:c>
      <x:c r="G68" s="34" t="n">
        <x:v>450</x:v>
      </x:c>
      <x:c r="H68" s="19" t="str">
        <x:v>非主材剩余存仓，不计货币收入</x:v>
      </x:c>
    </x:row>
    <x:row r="69" ht="19" customHeight="1">
      <x:c r="A69" s="19" t="n">
        <x:v>4</x:v>
      </x:c>
      <x:c r="B69" s="19" t="str">
        <x:v>接肢王印</x:v>
      </x:c>
      <x:c r="C69" s="34" t="n">
        <x:v>6.972000000000003</x:v>
      </x:c>
      <x:c r="D69" s="34" t="n">
        <x:v>4.8488</x:v>
      </x:c>
      <x:c r="E69" s="34" t="n">
        <x:v>4</x:v>
      </x:c>
      <x:c r="F69" s="34" t="n">
        <x:f>MAX(0,C69+D69-E69)</x:f>
        <x:v>7.820800000000002</x:v>
      </x:c>
      <x:c r="G69" s="34" t="n">
        <x:v>4</x:v>
      </x:c>
      <x:c r="H69" s="19" t="str">
        <x:v>非主材剩余存仓，不计货币收入</x:v>
      </x:c>
    </x:row>
    <x:row r="70" ht="19" customHeight="1">
      <x:c r="A70" s="19" t="n">
        <x:v>4</x:v>
      </x:c>
      <x:c r="B70" s="19" t="str">
        <x:v>沉湖王印</x:v>
      </x:c>
      <x:c r="C70" s="34" t="n">
        <x:v>0</x:v>
      </x:c>
      <x:c r="D70" s="34" t="n">
        <x:v>80.53411666666666</x:v>
      </x:c>
      <x:c r="E70" s="34" t="n">
        <x:v>39</x:v>
      </x:c>
      <x:c r="F70" s="34" t="n">
        <x:f>MAX(0,C70+D70-E70)</x:f>
        <x:v>41.53411666666666</x:v>
      </x:c>
      <x:c r="G70" s="34" t="n">
        <x:v>39</x:v>
      </x:c>
      <x:c r="H70" s="19" t="str">
        <x:v>非主材剩余存仓，不计货币收入</x:v>
      </x:c>
    </x:row>
    <x:row r="71" ht="19" customHeight="1">
      <x:c r="A71" s="19" t="n">
        <x:v>4</x:v>
      </x:c>
      <x:c r="B71" s="19" t="str">
        <x:v>沉船缆扣</x:v>
      </x:c>
      <x:c r="C71" s="34" t="n">
        <x:v>0</x:v>
      </x:c>
      <x:c r="D71" s="34" t="n">
        <x:v>89.96907811324556</x:v>
      </x:c>
      <x:c r="E71" s="34" t="n">
        <x:v>44</x:v>
      </x:c>
      <x:c r="F71" s="34" t="n">
        <x:f>MAX(0,C71+D71-E71)</x:f>
        <x:v>45.96907811324556</x:v>
      </x:c>
      <x:c r="G71" s="34" t="n">
        <x:v>44</x:v>
      </x:c>
      <x:c r="H71" s="19" t="str">
        <x:v>非主材剩余存仓，不计货币收入</x:v>
      </x:c>
    </x:row>
    <x:row r="72" ht="19" customHeight="1">
      <x:c r="A72" s="19" t="n">
        <x:v>4</x:v>
      </x:c>
      <x:c r="B72" s="19" t="str">
        <x:v>深湖压舱印</x:v>
      </x:c>
      <x:c r="C72" s="34" t="n">
        <x:v>0</x:v>
      </x:c>
      <x:c r="D72" s="34" t="n">
        <x:v>65.72518333333333</x:v>
      </x:c>
      <x:c r="E72" s="34" t="n">
        <x:v>30</x:v>
      </x:c>
      <x:c r="F72" s="34" t="n">
        <x:f>MAX(0,C72+D72-E72)</x:f>
        <x:v>35.725183333333334</x:v>
      </x:c>
      <x:c r="G72" s="34" t="n">
        <x:v>30</x:v>
      </x:c>
      <x:c r="H72" s="19" t="str">
        <x:v>非主材剩余存仓，不计货币收入</x:v>
      </x:c>
    </x:row>
    <x:row r="73" ht="19" customHeight="1">
      <x:c r="A73" s="19" t="n">
        <x:v>4</x:v>
      </x:c>
      <x:c r="B73" s="19" t="str">
        <x:v>湖盐结晶</x:v>
      </x:c>
      <x:c r="C73" s="34" t="n">
        <x:v>0</x:v>
      </x:c>
      <x:c r="D73" s="34" t="n">
        <x:v>7824.20490306017</x:v>
      </x:c>
      <x:c r="E73" s="34" t="n">
        <x:v>2437</x:v>
      </x:c>
      <x:c r="F73" s="34" t="n">
        <x:f>0</x:f>
        <x:v>0</x:v>
      </x:c>
      <x:c r="G73" s="34" t="n">
        <x:v>2437</x:v>
      </x:c>
      <x:c r="H73" s="19" t="str">
        <x:v>COM余量已计货币，不再留作实体库存</x:v>
      </x:c>
    </x:row>
    <x:row r="74" ht="19" customHeight="1">
      <x:c r="A74" s="19" t="n">
        <x:v>4</x:v>
      </x:c>
      <x:c r="B74" s="19" t="str">
        <x:v>野兽骨片</x:v>
      </x:c>
      <x:c r="C74" s="34" t="n">
        <x:v>2242.525904008595</x:v>
      </x:c>
      <x:c r="D74" s="34" t="n">
        <x:v>10867.165599428237</x:v>
      </x:c>
      <x:c r="E74" s="34" t="n">
        <x:v>4378</x:v>
      </x:c>
      <x:c r="F74" s="34" t="n">
        <x:f>MAX(0,C74+D74-E74)</x:f>
        <x:v>8731.691503436832</x:v>
      </x:c>
      <x:c r="G74" s="34" t="n">
        <x:v>4378</x:v>
      </x:c>
      <x:c r="H74" s="19" t="str">
        <x:v>非主材剩余存仓，不计货币收入</x:v>
      </x:c>
    </x:row>
    <x:row r="75" ht="19" customHeight="1">
      <x:c r="A75" s="19" t="n">
        <x:v>4</x:v>
      </x:c>
      <x:c r="B75" s="19" t="str">
        <x:v>金币</x:v>
      </x:c>
      <x:c r="C75" s="34" t="n">
        <x:v>82593224157.98404</x:v>
      </x:c>
      <x:c r="D75" s="34" t="n">
        <x:v>927312164002.0402</x:v>
      </x:c>
      <x:c r="E75" s="34" t="n">
        <x:v>416259000000</x:v>
      </x:c>
      <x:c r="F75" s="34" t="n">
        <x:f>MAX(0,C75+D75-E75)</x:f>
        <x:v>593646388160.0242</x:v>
      </x:c>
      <x:c r="G75" s="34" t="n">
        <x:v>128700000000</x:v>
      </x:c>
      <x:c r="H75" s="19" t="str">
        <x:v>金币元宝扣除留用主材机会成本；失色扣除不拆的专属等价量</x:v>
      </x:c>
    </x:row>
    <x:row r="76" ht="19" customHeight="1">
      <x:c r="A76" s="19" t="n">
        <x:v>4</x:v>
      </x:c>
      <x:c r="B76" s="19" t="str">
        <x:v>雾潮银鳞</x:v>
      </x:c>
      <x:c r="C76" s="34" t="n">
        <x:v>0</x:v>
      </x:c>
      <x:c r="D76" s="34" t="n">
        <x:v>562.3241250000001</x:v>
      </x:c>
      <x:c r="E76" s="34" t="n">
        <x:v>272</x:v>
      </x:c>
      <x:c r="F76" s="34" t="n">
        <x:f>MAX(0,C76+D76-E76)</x:f>
        <x:v>290.3241250000001</x:v>
      </x:c>
      <x:c r="G76" s="34" t="n">
        <x:v>272</x:v>
      </x:c>
      <x:c r="H76" s="19" t="str">
        <x:v>非主材剩余存仓，不计货币收入</x:v>
      </x:c>
    </x:row>
    <x:row r="77" ht="19" customHeight="1">
      <x:c r="A77" s="19" t="n">
        <x:v>4</x:v>
      </x:c>
      <x:c r="B77" s="19" t="str">
        <x:v>风暴石片</x:v>
      </x:c>
      <x:c r="C77" s="34" t="n">
        <x:v>0</x:v>
      </x:c>
      <x:c r="D77" s="34" t="n">
        <x:v>490.310656</x:v>
      </x:c>
      <x:c r="E77" s="34" t="n">
        <x:v>120</x:v>
      </x:c>
      <x:c r="F77" s="34" t="n">
        <x:f>0</x:f>
        <x:v>0</x:v>
      </x:c>
      <x:c r="G77" s="34" t="n">
        <x:v>120</x:v>
      </x:c>
      <x:c r="H77" s="19" t="str">
        <x:v>COM余量已计货币，不再留作实体库存</x:v>
      </x:c>
    </x:row>
    <x:row r="78" ht="19" customHeight="1">
      <x:c r="A78" s="19" t="n">
        <x:v>4</x:v>
      </x:c>
      <x:c r="B78" s="19" t="str">
        <x:v>黄金树芽</x:v>
      </x:c>
      <x:c r="C78" s="34" t="n">
        <x:v>236.56574353350194</x:v>
      </x:c>
      <x:c r="D78" s="34" t="n">
        <x:v>117.31198879125108</x:v>
      </x:c>
      <x:c r="E78" s="34" t="n">
        <x:v>12</x:v>
      </x:c>
      <x:c r="F78" s="34" t="n">
        <x:f>MAX(0,C78+D78-E78)</x:f>
        <x:v>341.877732324753</x:v>
      </x:c>
      <x:c r="G78" s="34" t="n">
        <x:v>12</x:v>
      </x:c>
      <x:c r="H78" s="19" t="str">
        <x:v>非主材剩余存仓，不计货币收入</x:v>
      </x:c>
    </x:row>
    <x:row r="79" ht="19" customHeight="1">
      <x:c r="A79" s="19" t="n">
        <x:v>5</x:v>
      </x:c>
      <x:c r="B79" s="19" t="str">
        <x:v>元宝</x:v>
      </x:c>
      <x:c r="C79" s="34" t="n">
        <x:v>6520475189.620018</x:v>
      </x:c>
      <x:c r="D79" s="34" t="n">
        <x:v>14772432163.734558</x:v>
      </x:c>
      <x:c r="E79" s="34" t="n">
        <x:v>9553650000</x:v>
      </x:c>
      <x:c r="F79" s="34" t="n">
        <x:f>MAX(0,C79+D79-E79)</x:f>
        <x:v>11739257353.354576</x:v>
      </x:c>
      <x:c r="G79" s="34" t="n">
        <x:v>3700500000</x:v>
      </x:c>
      <x:c r="H79" s="19" t="str">
        <x:v>金币元宝扣除留用主材机会成本；失色扣除不拆的专属等价量</x:v>
      </x:c>
    </x:row>
    <x:row r="80" ht="19" customHeight="1">
      <x:c r="A80" s="19" t="n">
        <x:v>5</x:v>
      </x:c>
      <x:c r="B80" s="19" t="str">
        <x:v>卡利亚月露</x:v>
      </x:c>
      <x:c r="C80" s="34" t="n">
        <x:v>0</x:v>
      </x:c>
      <x:c r="D80" s="34" t="n">
        <x:v>57.982907918579876</x:v>
      </x:c>
      <x:c r="E80" s="34" t="n">
        <x:v>36</x:v>
      </x:c>
      <x:c r="F80" s="34" t="n">
        <x:f>MAX(0,C80+D80-E80)</x:f>
        <x:v>21.982907918579876</x:v>
      </x:c>
      <x:c r="G80" s="34" t="n">
        <x:v>36</x:v>
      </x:c>
      <x:c r="H80" s="19" t="str">
        <x:v>非主材剩余存仓，不计货币收入</x:v>
      </x:c>
    </x:row>
    <x:row r="81" ht="19" customHeight="1">
      <x:c r="A81" s="19" t="n">
        <x:v>5</x:v>
      </x:c>
      <x:c r="B81" s="19" t="str">
        <x:v>失色锻造石</x:v>
      </x:c>
      <x:c r="C81" s="34" t="n">
        <x:v>50013.08520296143</x:v>
      </x:c>
      <x:c r="D81" s="34" t="n">
        <x:v>38989.007759394444</x:v>
      </x:c>
      <x:c r="E81" s="34" t="n">
        <x:v>9540</x:v>
      </x:c>
      <x:c r="F81" s="34" t="n">
        <x:f>MAX(0,C81+D81-E81)</x:f>
        <x:v>79462.09296235588</x:v>
      </x:c>
      <x:c r="G81" s="34" t="n">
        <x:v>2900</x:v>
      </x:c>
      <x:c r="H81" s="19" t="str">
        <x:v>金币元宝扣除留用主材机会成本；失色扣除不拆的专属等价量</x:v>
      </x:c>
    </x:row>
    <x:row r="82" ht="19" customHeight="1">
      <x:c r="A82" s="19" t="n">
        <x:v>5</x:v>
      </x:c>
      <x:c r="B82" s="19" t="str">
        <x:v>学院封蜡</x:v>
      </x:c>
      <x:c r="C82" s="34" t="n">
        <x:v>0</x:v>
      </x:c>
      <x:c r="D82" s="34" t="n">
        <x:v>38.16265277466845</x:v>
      </x:c>
      <x:c r="E82" s="34" t="n">
        <x:v>24</x:v>
      </x:c>
      <x:c r="F82" s="34" t="n">
        <x:f>MAX(0,C82+D82-E82)</x:f>
        <x:v>14.162652774668452</x:v>
      </x:c>
      <x:c r="G82" s="34" t="n">
        <x:v>24</x:v>
      </x:c>
      <x:c r="H82" s="19" t="str">
        <x:v>非主材剩余存仓，不计货币收入</x:v>
      </x:c>
    </x:row>
    <x:row r="83" ht="19" customHeight="1">
      <x:c r="A83" s="19" t="n">
        <x:v>5</x:v>
      </x:c>
      <x:c r="B83" s="19" t="str">
        <x:v>技能残页</x:v>
      </x:c>
      <x:c r="C83" s="34" t="n">
        <x:v>2172.0264747499596</x:v>
      </x:c>
      <x:c r="D83" s="34" t="n">
        <x:v>829.4125734947991</x:v>
      </x:c>
      <x:c r="E83" s="34" t="n">
        <x:v>90</x:v>
      </x:c>
      <x:c r="F83" s="34" t="n">
        <x:f>MAX(0,C83+D83-E83)</x:f>
        <x:v>2911.439048244759</x:v>
      </x:c>
      <x:c r="G83" s="34" t="n">
        <x:v>90</x:v>
      </x:c>
      <x:c r="H83" s="19" t="str">
        <x:v>非主材剩余存仓，不计货币收入</x:v>
      </x:c>
    </x:row>
    <x:row r="84" ht="19" customHeight="1">
      <x:c r="A84" s="19" t="n">
        <x:v>5</x:v>
      </x:c>
      <x:c r="B84" s="19" t="str">
        <x:v>接肢王印</x:v>
      </x:c>
      <x:c r="C84" s="34" t="n">
        <x:v>7.820800000000002</x:v>
      </x:c>
      <x:c r="D84" s="34" t="n">
        <x:v>12.447819999999998</x:v>
      </x:c>
      <x:c r="E84" s="34" t="n">
        <x:v>3</x:v>
      </x:c>
      <x:c r="F84" s="34" t="n">
        <x:f>MAX(0,C84+D84-E84)</x:f>
        <x:v>17.26862</x:v>
      </x:c>
      <x:c r="G84" s="34" t="n">
        <x:v>3</x:v>
      </x:c>
      <x:c r="H84" s="19" t="str">
        <x:v>非主材剩余存仓，不计货币收入</x:v>
      </x:c>
    </x:row>
    <x:row r="85" ht="19" customHeight="1">
      <x:c r="A85" s="19" t="n">
        <x:v>5</x:v>
      </x:c>
      <x:c r="B85" s="19" t="str">
        <x:v>月蚀镜片</x:v>
      </x:c>
      <x:c r="C85" s="34" t="n">
        <x:v>0</x:v>
      </x:c>
      <x:c r="D85" s="34" t="n">
        <x:v>55.366588444444446</x:v>
      </x:c>
      <x:c r="E85" s="34" t="n">
        <x:v>32</x:v>
      </x:c>
      <x:c r="F85" s="34" t="n">
        <x:f>MAX(0,C85+D85-E85)</x:f>
        <x:v>23.366588444444446</x:v>
      </x:c>
      <x:c r="G85" s="34" t="n">
        <x:v>32</x:v>
      </x:c>
      <x:c r="H85" s="19" t="str">
        <x:v>非主材剩余存仓，不计货币收入</x:v>
      </x:c>
    </x:row>
    <x:row r="86" ht="19" customHeight="1">
      <x:c r="A86" s="19" t="n">
        <x:v>5</x:v>
      </x:c>
      <x:c r="B86" s="19" t="str">
        <x:v>满月王室印</x:v>
      </x:c>
      <x:c r="C86" s="34" t="n">
        <x:v>0</x:v>
      </x:c>
      <x:c r="D86" s="34" t="n">
        <x:v>77.23427555555556</x:v>
      </x:c>
      <x:c r="E86" s="34" t="n">
        <x:v>47</x:v>
      </x:c>
      <x:c r="F86" s="34" t="n">
        <x:f>MAX(0,C86+D86-E86)</x:f>
        <x:v>30.234275555555556</x:v>
      </x:c>
      <x:c r="G86" s="34" t="n">
        <x:v>47</x:v>
      </x:c>
      <x:c r="H86" s="19" t="str">
        <x:v>非主材剩余存仓，不计货币收入</x:v>
      </x:c>
    </x:row>
    <x:row r="87" ht="19" customHeight="1">
      <x:c r="A87" s="19" t="n">
        <x:v>5</x:v>
      </x:c>
      <x:c r="B87" s="19" t="str">
        <x:v>裂风崖羽</x:v>
      </x:c>
      <x:c r="C87" s="34" t="n">
        <x:v>23.401885626800095</x:v>
      </x:c>
      <x:c r="D87" s="34" t="n">
        <x:v>5.121388799999999</x:v>
      </x:c>
      <x:c r="E87" s="34" t="n">
        <x:v>28</x:v>
      </x:c>
      <x:c r="F87" s="34" t="n">
        <x:f>MAX(0,C87+D87-E87)</x:f>
        <x:v>0.5232744268000928</x:v>
      </x:c>
      <x:c r="G87" s="34" t="n">
        <x:v>28</x:v>
      </x:c>
      <x:c r="H87" s="19" t="str">
        <x:v>非主材剩余存仓，不计货币收入</x:v>
      </x:c>
    </x:row>
    <x:row r="88" ht="19" customHeight="1">
      <x:c r="A88" s="19" t="n">
        <x:v>5</x:v>
      </x:c>
      <x:c r="B88" s="19" t="str">
        <x:v>西境战旗印</x:v>
      </x:c>
      <x:c r="C88" s="34" t="n">
        <x:v>5.682820000000003</x:v>
      </x:c>
      <x:c r="D88" s="34" t="n">
        <x:v>1.4226079999999999</x:v>
      </x:c>
      <x:c r="E88" s="34" t="n">
        <x:v>4</x:v>
      </x:c>
      <x:c r="F88" s="34" t="n">
        <x:f>MAX(0,C88+D88-E88)</x:f>
        <x:v>3.1054280000000034</x:v>
      </x:c>
      <x:c r="G88" s="34" t="n">
        <x:v>4</x:v>
      </x:c>
      <x:c r="H88" s="19" t="str">
        <x:v>非主材剩余存仓，不计货币收入</x:v>
      </x:c>
    </x:row>
    <x:row r="89" ht="19" customHeight="1">
      <x:c r="A89" s="19" t="n">
        <x:v>5</x:v>
      </x:c>
      <x:c r="B89" s="19" t="str">
        <x:v>辉石碎晶</x:v>
      </x:c>
      <x:c r="C89" s="34" t="n">
        <x:v>0</x:v>
      </x:c>
      <x:c r="D89" s="34" t="n">
        <x:v>5922.324627016066</x:v>
      </x:c>
      <x:c r="E89" s="34" t="n">
        <x:v>2400</x:v>
      </x:c>
      <x:c r="F89" s="34" t="n">
        <x:f>0</x:f>
        <x:v>0</x:v>
      </x:c>
      <x:c r="G89" s="34" t="n">
        <x:v>2400</x:v>
      </x:c>
      <x:c r="H89" s="19" t="str">
        <x:v>COM余量已计货币，不再留作实体库存</x:v>
      </x:c>
    </x:row>
    <x:row r="90" ht="19" customHeight="1">
      <x:c r="A90" s="19" t="n">
        <x:v>5</x:v>
      </x:c>
      <x:c r="B90" s="19" t="str">
        <x:v>野兽骨片</x:v>
      </x:c>
      <x:c r="C90" s="34" t="n">
        <x:v>8731.691503436832</x:v>
      </x:c>
      <x:c r="D90" s="34" t="n">
        <x:v>12297.446800174965</x:v>
      </x:c>
      <x:c r="E90" s="34" t="n">
        <x:v>6825</x:v>
      </x:c>
      <x:c r="F90" s="34" t="n">
        <x:f>MAX(0,C90+D90-E90)</x:f>
        <x:v>14204.138303611799</x:v>
      </x:c>
      <x:c r="G90" s="34" t="n">
        <x:v>6825</x:v>
      </x:c>
      <x:c r="H90" s="19" t="str">
        <x:v>非主材剩余存仓，不计货币收入</x:v>
      </x:c>
    </x:row>
    <x:row r="91" ht="19" customHeight="1">
      <x:c r="A91" s="19" t="n">
        <x:v>5</x:v>
      </x:c>
      <x:c r="B91" s="19" t="str">
        <x:v>金币</x:v>
      </x:c>
      <x:c r="C91" s="34" t="n">
        <x:v>593646388160.0242</x:v>
      </x:c>
      <x:c r="D91" s="34" t="n">
        <x:v>1231071278135.8293</x:v>
      </x:c>
      <x:c r="E91" s="34" t="n">
        <x:v>523072500000</x:v>
      </x:c>
      <x:c r="F91" s="34" t="n">
        <x:f>MAX(0,C91+D91-E91)</x:f>
        <x:v>1301645166295.8535</x:v>
      </x:c>
      <x:c r="G91" s="34" t="n">
        <x:v>31500000000</x:v>
      </x:c>
      <x:c r="H91" s="19" t="str">
        <x:v>金币元宝扣除留用主材机会成本；失色扣除不拆的专属等价量</x:v>
      </x:c>
    </x:row>
    <x:row r="92" ht="19" customHeight="1">
      <x:c r="A92" s="19" t="n">
        <x:v>5</x:v>
      </x:c>
      <x:c r="B92" s="19" t="str">
        <x:v>雾月星砂</x:v>
      </x:c>
      <x:c r="C92" s="34" t="n">
        <x:v>0</x:v>
      </x:c>
      <x:c r="D92" s="34" t="n">
        <x:v>363.9775597308723</x:v>
      </x:c>
      <x:c r="E92" s="34" t="n">
        <x:v>228</x:v>
      </x:c>
      <x:c r="F92" s="34" t="n">
        <x:f>MAX(0,C92+D92-E92)</x:f>
        <x:v>135.97755973087231</x:v>
      </x:c>
      <x:c r="G92" s="34" t="n">
        <x:v>228</x:v>
      </x:c>
      <x:c r="H92" s="19" t="str">
        <x:v>非主材剩余存仓，不计货币收入</x:v>
      </x:c>
    </x:row>
    <x:row r="93" ht="19" customHeight="1">
      <x:c r="A93" s="19" t="n">
        <x:v>5</x:v>
      </x:c>
      <x:c r="B93" s="19" t="str">
        <x:v>风暴石片</x:v>
      </x:c>
      <x:c r="C93" s="34" t="n">
        <x:v>0</x:v>
      </x:c>
      <x:c r="D93" s="34" t="n">
        <x:v>1258.7235583999998</x:v>
      </x:c>
      <x:c r="E93" s="34" t="n">
        <x:v>70</x:v>
      </x:c>
      <x:c r="F93" s="34" t="n">
        <x:f>0</x:f>
        <x:v>0</x:v>
      </x:c>
      <x:c r="G93" s="34" t="n">
        <x:v>70</x:v>
      </x:c>
      <x:c r="H93" s="19" t="str">
        <x:v>COM余量已计货币，不再留作实体库存</x:v>
      </x:c>
    </x:row>
    <x:row r="94" ht="19" customHeight="1">
      <x:c r="A94" s="19" t="n">
        <x:v>5</x:v>
      </x:c>
      <x:c r="B94" s="19" t="str">
        <x:v>风蚀铁片</x:v>
      </x:c>
      <x:c r="C94" s="34" t="n">
        <x:v>0</x:v>
      </x:c>
      <x:c r="D94" s="34" t="n">
        <x:v>145.106016</x:v>
      </x:c>
      <x:c r="E94" s="34" t="n">
        <x:v>110</x:v>
      </x:c>
      <x:c r="F94" s="34" t="n">
        <x:f>0</x:f>
        <x:v>0</x:v>
      </x:c>
      <x:c r="G94" s="34" t="n">
        <x:v>110</x:v>
      </x:c>
      <x:c r="H94" s="19" t="str">
        <x:v>COM余量已计货币，不再留作实体库存</x:v>
      </x:c>
    </x:row>
    <x:row r="95" ht="19" customHeight="1">
      <x:c r="A95" s="19" t="n">
        <x:v>5</x:v>
      </x:c>
      <x:c r="B95" s="19" t="str">
        <x:v>黄金树芽</x:v>
      </x:c>
      <x:c r="C95" s="34" t="n">
        <x:v>341.877732324753</x:v>
      </x:c>
      <x:c r="D95" s="34" t="n">
        <x:v>244.54399346126374</x:v>
      </x:c>
      <x:c r="E95" s="34" t="n">
        <x:v>8</x:v>
      </x:c>
      <x:c r="F95" s="34" t="n">
        <x:f>MAX(0,C95+D95-E95)</x:f>
        <x:v>578.4217257860167</x:v>
      </x:c>
      <x:c r="G95" s="34" t="n">
        <x:v>8</x:v>
      </x:c>
      <x:c r="H95" s="19" t="str">
        <x:v>非主材剩余存仓，不计货币收入</x:v>
      </x:c>
    </x:row>
    <x:row r="96" ht="19" customHeight="1">
      <x:c r="A96" s="19" t="n">
        <x:v>6</x:v>
      </x:c>
      <x:c r="B96" s="19" t="str">
        <x:v>元宝</x:v>
      </x:c>
      <x:c r="C96" s="34" t="n">
        <x:v>11739257353.354576</x:v>
      </x:c>
      <x:c r="D96" s="34" t="n">
        <x:v>32610714603.456</x:v>
      </x:c>
      <x:c r="E96" s="34" t="n">
        <x:v>15620000000</x:v>
      </x:c>
      <x:c r="F96" s="34" t="n">
        <x:f>MAX(0,C96+D96-E96)</x:f>
        <x:v>28729971956.810577</x:v>
      </x:c>
      <x:c r="G96" s="34" t="n">
        <x:v>1199000000</x:v>
      </x:c>
      <x:c r="H96" s="19" t="str">
        <x:v>金币元宝扣除留用主材机会成本；失色扣除不拆的专属等价量</x:v>
      </x:c>
    </x:row>
    <x:row r="97" ht="19" customHeight="1">
      <x:c r="A97" s="19" t="n">
        <x:v>6</x:v>
      </x:c>
      <x:c r="B97" s="19" t="str">
        <x:v>净火腺囊</x:v>
      </x:c>
      <x:c r="C97" s="34" t="n">
        <x:v>0</x:v>
      </x:c>
      <x:c r="D97" s="34" t="n">
        <x:v>267.56396479999995</x:v>
      </x:c>
      <x:c r="E97" s="34" t="n">
        <x:v>148</x:v>
      </x:c>
      <x:c r="F97" s="34" t="n">
        <x:f>MAX(0,C97+D97-E97)</x:f>
        <x:v>119.56396479999995</x:v>
      </x:c>
      <x:c r="G97" s="34" t="n">
        <x:v>148</x:v>
      </x:c>
      <x:c r="H97" s="19" t="str">
        <x:v>非主材剩余存仓，不计货币收入</x:v>
      </x:c>
    </x:row>
    <x:row r="98" ht="19" customHeight="1">
      <x:c r="A98" s="19" t="n">
        <x:v>6</x:v>
      </x:c>
      <x:c r="B98" s="19" t="str">
        <x:v>大卢恩</x:v>
      </x:c>
      <x:c r="C98" s="34" t="n">
        <x:v>68.89692357037038</x:v>
      </x:c>
      <x:c r="D98" s="34" t="n">
        <x:v>652.0140319407408</x:v>
      </x:c>
      <x:c r="E98" s="34" t="n">
        <x:v>350</x:v>
      </x:c>
      <x:c r="F98" s="34" t="n">
        <x:f>MAX(0,C98+D98-E98)</x:f>
        <x:v>370.9109555111112</x:v>
      </x:c>
      <x:c r="G98" s="34" t="n">
        <x:v>350</x:v>
      </x:c>
      <x:c r="H98" s="19" t="str">
        <x:v>非主材剩余存仓，不计货币收入</x:v>
      </x:c>
    </x:row>
    <x:row r="99" ht="19" customHeight="1">
      <x:c r="A99" s="19" t="n">
        <x:v>6</x:v>
      </x:c>
      <x:c r="B99" s="19" t="str">
        <x:v>失色锻造石</x:v>
      </x:c>
      <x:c r="C99" s="34" t="n">
        <x:v>79462.09296235588</x:v>
      </x:c>
      <x:c r="D99" s="34" t="n">
        <x:v>43558.42985816666</x:v>
      </x:c>
      <x:c r="E99" s="34" t="n">
        <x:v>13500</x:v>
      </x:c>
      <x:c r="F99" s="34" t="n">
        <x:f>MAX(0,C99+D99-E99)</x:f>
        <x:v>109520.52282052254</x:v>
      </x:c>
      <x:c r="G99" s="34" t="n">
        <x:v>6800</x:v>
      </x:c>
      <x:c r="H99" s="19" t="str">
        <x:v>金币元宝扣除留用主材机会成本；失色扣除不拆的专属等价量</x:v>
      </x:c>
    </x:row>
    <x:row r="100" ht="19" customHeight="1">
      <x:c r="A100" s="19" t="n">
        <x:v>6</x:v>
      </x:c>
      <x:c r="B100" s="19" t="str">
        <x:v>猩红矿渣</x:v>
      </x:c>
      <x:c r="C100" s="34" t="n">
        <x:v>0</x:v>
      </x:c>
      <x:c r="D100" s="34" t="n">
        <x:v>10602.227562666669</x:v>
      </x:c>
      <x:c r="E100" s="34" t="n">
        <x:v>4807</x:v>
      </x:c>
      <x:c r="F100" s="34" t="n">
        <x:f>0</x:f>
        <x:v>0</x:v>
      </x:c>
      <x:c r="G100" s="34" t="n">
        <x:v>4807</x:v>
      </x:c>
      <x:c r="H100" s="19" t="str">
        <x:v>COM余量已计货币，不再留作实体库存</x:v>
      </x:c>
    </x:row>
    <x:row r="101" ht="19" customHeight="1">
      <x:c r="A101" s="19" t="n">
        <x:v>6</x:v>
      </x:c>
      <x:c r="B101" s="19" t="str">
        <x:v>红狮战印</x:v>
      </x:c>
      <x:c r="C101" s="34" t="n">
        <x:v>0</x:v>
      </x:c>
      <x:c r="D101" s="34" t="n">
        <x:v>147.15569</x:v>
      </x:c>
      <x:c r="E101" s="34" t="n">
        <x:v>82</x:v>
      </x:c>
      <x:c r="F101" s="34" t="n">
        <x:f>MAX(0,C101+D101-E101)</x:f>
        <x:v>65.15568999999999</x:v>
      </x:c>
      <x:c r="G101" s="34" t="n">
        <x:v>82</x:v>
      </x:c>
      <x:c r="H101" s="19" t="str">
        <x:v>非主材剩余存仓，不计货币收入</x:v>
      </x:c>
    </x:row>
    <x:row r="102" ht="19" customHeight="1">
      <x:c r="A102" s="19" t="n">
        <x:v>6</x:v>
      </x:c>
      <x:c r="B102" s="19" t="str">
        <x:v>红狮断箭</x:v>
      </x:c>
      <x:c r="C102" s="34" t="n">
        <x:v>0</x:v>
      </x:c>
      <x:c r="D102" s="34" t="n">
        <x:v>317.8562904</x:v>
      </x:c>
      <x:c r="E102" s="34" t="n">
        <x:v>180</x:v>
      </x:c>
      <x:c r="F102" s="34" t="n">
        <x:f>MAX(0,C102+D102-E102)</x:f>
        <x:v>137.85629039999998</x:v>
      </x:c>
      <x:c r="G102" s="34" t="n">
        <x:v>180</x:v>
      </x:c>
      <x:c r="H102" s="19" t="str">
        <x:v>非主材剩余存仓，不计货币收入</x:v>
      </x:c>
    </x:row>
    <x:row r="103" ht="19" customHeight="1">
      <x:c r="A103" s="19" t="n">
        <x:v>6</x:v>
      </x:c>
      <x:c r="B103" s="19" t="str">
        <x:v>野兽骨片</x:v>
      </x:c>
      <x:c r="C103" s="34" t="n">
        <x:v>14204.138303611799</x:v>
      </x:c>
      <x:c r="D103" s="34" t="n">
        <x:v>19090.835837333332</x:v>
      </x:c>
      <x:c r="E103" s="34" t="n">
        <x:v>9831</x:v>
      </x:c>
      <x:c r="F103" s="34" t="n">
        <x:f>MAX(0,C103+D103-E103)</x:f>
        <x:v>23463.97414094513</x:v>
      </x:c>
      <x:c r="G103" s="34" t="n">
        <x:v>9831</x:v>
      </x:c>
      <x:c r="H103" s="19" t="str">
        <x:v>非主材剩余存仓，不计货币收入</x:v>
      </x:c>
    </x:row>
    <x:row r="104" ht="19" customHeight="1">
      <x:c r="A104" s="19" t="n">
        <x:v>6</x:v>
      </x:c>
      <x:c r="B104" s="19" t="str">
        <x:v>金币</x:v>
      </x:c>
      <x:c r="C104" s="34" t="n">
        <x:v>1301645166295.8535</x:v>
      </x:c>
      <x:c r="D104" s="34" t="n">
        <x:v>3722037373753.6</x:v>
      </x:c>
      <x:c r="E104" s="34" t="n">
        <x:v>2295915000000</x:v>
      </x:c>
      <x:c r="F104" s="34" t="n">
        <x:f>MAX(0,C104+D104-E104)</x:f>
        <x:v>2727767540049.453</x:v>
      </x:c>
      <x:c r="G104" s="34" t="n">
        <x:v>637500000000</x:v>
      </x:c>
      <x:c r="H104" s="19" t="str">
        <x:v>金币元宝扣除留用主材机会成本；失色扣除不拆的专属等价量</x:v>
      </x:c>
    </x:row>
    <x:row r="105" ht="19" customHeight="1">
      <x:c r="A105" s="19" t="n">
        <x:v>6</x:v>
      </x:c>
      <x:c r="B105" s="19" t="str">
        <x:v>龙火鳞</x:v>
      </x:c>
      <x:c r="C105" s="34" t="n">
        <x:v>0</x:v>
      </x:c>
      <x:c r="D105" s="34" t="n">
        <x:v>67.65963477777777</x:v>
      </x:c>
      <x:c r="E105" s="34" t="n">
        <x:v>38</x:v>
      </x:c>
      <x:c r="F105" s="34" t="n">
        <x:f>MAX(0,C105+D105-E105)</x:f>
        <x:v>29.659634777777768</x:v>
      </x:c>
      <x:c r="G105" s="34" t="n">
        <x:v>38</x:v>
      </x:c>
      <x:c r="H105" s="19" t="str">
        <x:v>非主材剩余存仓，不计货币收入</x:v>
      </x:c>
    </x:row>
    <x:row r="106" ht="19" customHeight="1">
      <x:c r="A106" s="19" t="n">
        <x:v>6</x:v>
      </x:c>
      <x:c r="B106" s="19" t="str">
        <x:v>龙窟熔牙</x:v>
      </x:c>
      <x:c r="C106" s="34" t="n">
        <x:v>0</x:v>
      </x:c>
      <x:c r="D106" s="34" t="n">
        <x:v>80.62485566666666</x:v>
      </x:c>
      <x:c r="E106" s="34" t="n">
        <x:v>44</x:v>
      </x:c>
      <x:c r="F106" s="34" t="n">
        <x:f>MAX(0,C106+D106-E106)</x:f>
        <x:v>36.62485566666666</x:v>
      </x:c>
      <x:c r="G106" s="34" t="n">
        <x:v>44</x:v>
      </x:c>
      <x:c r="H106" s="19" t="str">
        <x:v>非主材剩余存仓，不计货币收入</x:v>
      </x:c>
    </x:row>
    <x:row r="107" ht="19" customHeight="1">
      <x:c r="A107" s="19" t="n">
        <x:v>7</x:v>
      </x:c>
      <x:c r="B107" s="19" t="str">
        <x:v>元宝</x:v>
      </x:c>
      <x:c r="C107" s="34" t="n">
        <x:v>28729971956.810577</x:v>
      </x:c>
      <x:c r="D107" s="34" t="n">
        <x:v>33211974200.03067</x:v>
      </x:c>
      <x:c r="E107" s="34" t="n">
        <x:v>28560950000</x:v>
      </x:c>
      <x:c r="F107" s="34" t="n">
        <x:f>MAX(0,C107+D107-E107)</x:f>
        <x:v>33380996156.841248</x:v>
      </x:c>
      <x:c r="G107" s="34" t="n">
        <x:v>5404100000</x:v>
      </x:c>
      <x:c r="H107" s="19" t="str">
        <x:v>金币元宝扣除留用主材机会成本；失色扣除不拆的专属等价量</x:v>
      </x:c>
    </x:row>
    <x:row r="108" ht="19" customHeight="1">
      <x:c r="A108" s="19" t="n">
        <x:v>7</x:v>
      </x:c>
      <x:c r="B108" s="19" t="str">
        <x:v>冻原银角</x:v>
      </x:c>
      <x:c r="C108" s="34" t="n">
        <x:v>0</x:v>
      </x:c>
      <x:c r="D108" s="34" t="n">
        <x:v>39.35994552388874</x:v>
      </x:c>
      <x:c r="E108" s="34" t="n">
        <x:v>30</x:v>
      </x:c>
      <x:c r="F108" s="34" t="n">
        <x:f>MAX(0,C108+D108-E108)</x:f>
        <x:v>9.35994552388874</x:v>
      </x:c>
      <x:c r="G108" s="34" t="n">
        <x:v>30</x:v>
      </x:c>
      <x:c r="H108" s="19" t="str">
        <x:v>非主材剩余存仓，不计货币收入</x:v>
      </x:c>
    </x:row>
    <x:row r="109" ht="19" customHeight="1">
      <x:c r="A109" s="19" t="n">
        <x:v>7</x:v>
      </x:c>
      <x:c r="B109" s="19" t="str">
        <x:v>冻晶尘</x:v>
      </x:c>
      <x:c r="C109" s="34" t="n">
        <x:v>0</x:v>
      </x:c>
      <x:c r="D109" s="34" t="n">
        <x:v>5948.2951618641855</x:v>
      </x:c>
      <x:c r="E109" s="34" t="n">
        <x:v>4210</x:v>
      </x:c>
      <x:c r="F109" s="34" t="n">
        <x:f>0</x:f>
        <x:v>0</x:v>
      </x:c>
      <x:c r="G109" s="34" t="n">
        <x:v>4210</x:v>
      </x:c>
      <x:c r="H109" s="19" t="str">
        <x:v>COM余量已计货币，不再留作实体库存</x:v>
      </x:c>
    </x:row>
    <x:row r="110" ht="19" customHeight="1">
      <x:c r="A110" s="19" t="n">
        <x:v>7</x:v>
      </x:c>
      <x:c r="B110" s="19" t="str">
        <x:v>圣雪誓印</x:v>
      </x:c>
      <x:c r="C110" s="34" t="n">
        <x:v>0</x:v>
      </x:c>
      <x:c r="D110" s="34" t="n">
        <x:v>102.95927644444444</x:v>
      </x:c>
      <x:c r="E110" s="34" t="n">
        <x:v>81</x:v>
      </x:c>
      <x:c r="F110" s="34" t="n">
        <x:f>MAX(0,C110+D110-E110)</x:f>
        <x:v>21.95927644444444</x:v>
      </x:c>
      <x:c r="G110" s="34" t="n">
        <x:v>81</x:v>
      </x:c>
      <x:c r="H110" s="19" t="str">
        <x:v>非主材剩余存仓，不计货币收入</x:v>
      </x:c>
    </x:row>
    <x:row r="111" ht="19" customHeight="1">
      <x:c r="A111" s="19" t="n">
        <x:v>7</x:v>
      </x:c>
      <x:c r="B111" s="19" t="str">
        <x:v>失色锻造石</x:v>
      </x:c>
      <x:c r="C111" s="34" t="n">
        <x:v>109520.52282052254</x:v>
      </x:c>
      <x:c r="D111" s="34" t="n">
        <x:v>49352.83867289879</x:v>
      </x:c>
      <x:c r="E111" s="34" t="n">
        <x:v>13480</x:v>
      </x:c>
      <x:c r="F111" s="34" t="n">
        <x:f>MAX(0,C111+D111-E111)</x:f>
        <x:v>145393.36149342134</x:v>
      </x:c>
      <x:c r="G111" s="34" t="n">
        <x:v>5840</x:v>
      </x:c>
      <x:c r="H111" s="19" t="str">
        <x:v>金币元宝扣除留用主材机会成本；失色扣除不拆的专属等价量</x:v>
      </x:c>
    </x:row>
    <x:row r="112" ht="19" customHeight="1">
      <x:c r="A112" s="19" t="n">
        <x:v>7</x:v>
      </x:c>
      <x:c r="B112" s="19" t="str">
        <x:v>接肢王印</x:v>
      </x:c>
      <x:c r="C112" s="34" t="n">
        <x:v>21.603939999999998</x:v>
      </x:c>
      <x:c r="D112" s="34" t="n">
        <x:v>5.6941500000000005</x:v>
      </x:c>
      <x:c r="E112" s="34" t="n">
        <x:v>3</x:v>
      </x:c>
      <x:c r="F112" s="34" t="n">
        <x:f>MAX(0,C112+D112-E112)</x:f>
        <x:v>24.29809</x:v>
      </x:c>
      <x:c r="G112" s="34" t="n">
        <x:v>3</x:v>
      </x:c>
      <x:c r="H112" s="19" t="str">
        <x:v>非主材剩余存仓，不计货币收入</x:v>
      </x:c>
    </x:row>
    <x:row r="113" ht="19" customHeight="1">
      <x:c r="A113" s="19" t="n">
        <x:v>7</x:v>
      </x:c>
      <x:c r="B113" s="19" t="str">
        <x:v>满月王室印</x:v>
      </x:c>
      <x:c r="C113" s="34" t="n">
        <x:v>33.70253155555556</x:v>
      </x:c>
      <x:c r="D113" s="34" t="n">
        <x:v>2.8470750000000002</x:v>
      </x:c>
      <x:c r="E113" s="34" t="n">
        <x:v>6</x:v>
      </x:c>
      <x:c r="F113" s="34" t="n">
        <x:f>MAX(0,C113+D113-E113)</x:f>
        <x:v>30.549606555555556</x:v>
      </x:c>
      <x:c r="G113" s="34" t="n">
        <x:v>6</x:v>
      </x:c>
      <x:c r="H113" s="19" t="str">
        <x:v>非主材剩余存仓，不计货币收入</x:v>
      </x:c>
    </x:row>
    <x:row r="114" ht="19" customHeight="1">
      <x:c r="A114" s="19" t="n">
        <x:v>7</x:v>
      </x:c>
      <x:c r="B114" s="19" t="str">
        <x:v>白金纺线</x:v>
      </x:c>
      <x:c r="C114" s="34" t="n">
        <x:v>0</x:v>
      </x:c>
      <x:c r="D114" s="34" t="n">
        <x:v>77.10625294299975</x:v>
      </x:c>
      <x:c r="E114" s="34" t="n">
        <x:v>60</x:v>
      </x:c>
      <x:c r="F114" s="34" t="n">
        <x:f>MAX(0,C114+D114-E114)</x:f>
        <x:v>17.106252942999745</x:v>
      </x:c>
      <x:c r="G114" s="34" t="n">
        <x:v>60</x:v>
      </x:c>
      <x:c r="H114" s="19" t="str">
        <x:v>非主材剩余存仓，不计货币收入</x:v>
      </x:c>
    </x:row>
    <x:row r="115" ht="19" customHeight="1">
      <x:c r="A115" s="19" t="n">
        <x:v>7</x:v>
      </x:c>
      <x:c r="B115" s="19" t="str">
        <x:v>白金路标片</x:v>
      </x:c>
      <x:c r="C115" s="34" t="n">
        <x:v>0</x:v>
      </x:c>
      <x:c r="D115" s="34" t="n">
        <x:v>363.8286133194117</x:v>
      </x:c>
      <x:c r="E115" s="34" t="n">
        <x:v>290</x:v>
      </x:c>
      <x:c r="F115" s="34" t="n">
        <x:f>MAX(0,C115+D115-E115)</x:f>
        <x:v>73.82861331941172</x:v>
      </x:c>
      <x:c r="G115" s="34" t="n">
        <x:v>290</x:v>
      </x:c>
      <x:c r="H115" s="19" t="str">
        <x:v>非主材剩余存仓，不计货币收入</x:v>
      </x:c>
    </x:row>
    <x:row r="116" ht="19" customHeight="1">
      <x:c r="A116" s="19" t="n">
        <x:v>7</x:v>
      </x:c>
      <x:c r="B116" s="19" t="str">
        <x:v>秘树霜芽</x:v>
      </x:c>
      <x:c r="C116" s="34" t="n">
        <x:v>0</x:v>
      </x:c>
      <x:c r="D116" s="34" t="n">
        <x:v>88.57496388888887</x:v>
      </x:c>
      <x:c r="E116" s="34" t="n">
        <x:v>67</x:v>
      </x:c>
      <x:c r="F116" s="34" t="n">
        <x:f>MAX(0,C116+D116-E116)</x:f>
        <x:v>21.574963888888874</x:v>
      </x:c>
      <x:c r="G116" s="34" t="n">
        <x:v>67</x:v>
      </x:c>
      <x:c r="H116" s="19" t="str">
        <x:v>非主材剩余存仓，不计货币收入</x:v>
      </x:c>
    </x:row>
    <x:row r="117" ht="19" customHeight="1">
      <x:c r="A117" s="19" t="n">
        <x:v>7</x:v>
      </x:c>
      <x:c r="B117" s="19" t="str">
        <x:v>裂风崖羽</x:v>
      </x:c>
      <x:c r="C117" s="34" t="n">
        <x:v>0.5232744268000928</x:v>
      </x:c>
      <x:c r="D117" s="34" t="n">
        <x:v>28.698516</x:v>
      </x:c>
      <x:c r="E117" s="34" t="n">
        <x:v>28</x:v>
      </x:c>
      <x:c r="F117" s="34" t="n">
        <x:f>MAX(0,C117+D117-E117)</x:f>
        <x:v>1.2217904268000943</x:v>
      </x:c>
      <x:c r="G117" s="34" t="n">
        <x:v>28</x:v>
      </x:c>
      <x:c r="H117" s="19" t="str">
        <x:v>非主材剩余存仓，不计货币收入</x:v>
      </x:c>
    </x:row>
    <x:row r="118" ht="19" customHeight="1">
      <x:c r="A118" s="19" t="n">
        <x:v>7</x:v>
      </x:c>
      <x:c r="B118" s="19" t="str">
        <x:v>西境战旗印</x:v>
      </x:c>
      <x:c r="C118" s="34" t="n">
        <x:v>3.1054280000000034</x:v>
      </x:c>
      <x:c r="D118" s="34" t="n">
        <x:v>7.971810000000001</x:v>
      </x:c>
      <x:c r="E118" s="34" t="n">
        <x:v>4</x:v>
      </x:c>
      <x:c r="F118" s="34" t="n">
        <x:f>MAX(0,C118+D118-E118)</x:f>
        <x:v>7.077238000000005</x:v>
      </x:c>
      <x:c r="G118" s="34" t="n">
        <x:v>4</x:v>
      </x:c>
      <x:c r="H118" s="19" t="str">
        <x:v>非主材剩余存仓，不计货币收入</x:v>
      </x:c>
    </x:row>
    <x:row r="119" ht="19" customHeight="1">
      <x:c r="A119" s="19" t="n">
        <x:v>7</x:v>
      </x:c>
      <x:c r="B119" s="19" t="str">
        <x:v>辉石碎晶</x:v>
      </x:c>
      <x:c r="C119" s="34" t="n">
        <x:v>0</x:v>
      </x:c>
      <x:c r="D119" s="34" t="n">
        <x:v>228.90482999999998</x:v>
      </x:c>
      <x:c r="E119" s="34" t="n">
        <x:v>190</x:v>
      </x:c>
      <x:c r="F119" s="34" t="n">
        <x:f>0</x:f>
        <x:v>0</x:v>
      </x:c>
      <x:c r="G119" s="34" t="n">
        <x:v>190</x:v>
      </x:c>
      <x:c r="H119" s="19" t="str">
        <x:v>COM余量已计货币，不再留作实体库存</x:v>
      </x:c>
    </x:row>
    <x:row r="120" ht="19" customHeight="1">
      <x:c r="A120" s="19" t="n">
        <x:v>7</x:v>
      </x:c>
      <x:c r="B120" s="19" t="str">
        <x:v>野兽骨片</x:v>
      </x:c>
      <x:c r="C120" s="34" t="n">
        <x:v>23463.97414094513</x:v>
      </x:c>
      <x:c r="D120" s="34" t="n">
        <x:v>16799.164831526592</x:v>
      </x:c>
      <x:c r="E120" s="34" t="n">
        <x:v>11500</x:v>
      </x:c>
      <x:c r="F120" s="34" t="n">
        <x:f>MAX(0,C120+D120-E120)</x:f>
        <x:v>28763.138972471723</x:v>
      </x:c>
      <x:c r="G120" s="34" t="n">
        <x:v>11500</x:v>
      </x:c>
      <x:c r="H120" s="19" t="str">
        <x:v>非主材剩余存仓，不计货币收入</x:v>
      </x:c>
    </x:row>
    <x:row r="121" ht="19" customHeight="1">
      <x:c r="A121" s="19" t="n">
        <x:v>7</x:v>
      </x:c>
      <x:c r="B121" s="19" t="str">
        <x:v>金币</x:v>
      </x:c>
      <x:c r="C121" s="34" t="n">
        <x:v>2727767540049.453</x:v>
      </x:c>
      <x:c r="D121" s="34" t="n">
        <x:v>3302531147780.271</x:v>
      </x:c>
      <x:c r="E121" s="34" t="n">
        <x:v>2790317500000</x:v>
      </x:c>
      <x:c r="F121" s="34" t="n">
        <x:f>MAX(0,C121+D121-E121)</x:f>
        <x:v>3239981187829.7246</x:v>
      </x:c>
      <x:c r="G121" s="34" t="n">
        <x:v>488500000000</x:v>
      </x:c>
      <x:c r="H121" s="19" t="str">
        <x:v>金币元宝扣除留用主材机会成本；失色扣除不拆的专属等价量</x:v>
      </x:c>
    </x:row>
    <x:row r="122" ht="19" customHeight="1">
      <x:c r="A122" s="19" t="n">
        <x:v>7</x:v>
      </x:c>
      <x:c r="B122" s="19" t="str">
        <x:v>雾月星砂</x:v>
      </x:c>
      <x:c r="C122" s="34" t="n">
        <x:v>151.58471173087233</x:v>
      </x:c>
      <x:c r="D122" s="34" t="n">
        <x:v>12.299364</x:v>
      </x:c>
      <x:c r="E122" s="34" t="n">
        <x:v>48</x:v>
      </x:c>
      <x:c r="F122" s="34" t="n">
        <x:f>MAX(0,C122+D122-E122)</x:f>
        <x:v>115.88407573087233</x:v>
      </x:c>
      <x:c r="G122" s="34" t="n">
        <x:v>48</x:v>
      </x:c>
      <x:c r="H122" s="19" t="str">
        <x:v>非主材剩余存仓，不计货币收入</x:v>
      </x:c>
    </x:row>
    <x:row r="123" ht="19" customHeight="1">
      <x:c r="A123" s="19" t="n">
        <x:v>7</x:v>
      </x:c>
      <x:c r="B123" s="19" t="str">
        <x:v>风暴石片</x:v>
      </x:c>
      <x:c r="C123" s="34" t="n">
        <x:v>0</x:v>
      </x:c>
      <x:c r="D123" s="34" t="n">
        <x:v>575.792448</x:v>
      </x:c>
      <x:c r="E123" s="34" t="n">
        <x:v>70</x:v>
      </x:c>
      <x:c r="F123" s="34" t="n">
        <x:f>0</x:f>
        <x:v>0</x:v>
      </x:c>
      <x:c r="G123" s="34" t="n">
        <x:v>70</x:v>
      </x:c>
      <x:c r="H123" s="19" t="str">
        <x:v>COM余量已计货币，不再留作实体库存</x:v>
      </x:c>
    </x:row>
    <x:row r="124" ht="19" customHeight="1">
      <x:c r="A124" s="19" t="n">
        <x:v>7</x:v>
      </x:c>
      <x:c r="B124" s="19" t="str">
        <x:v>风蚀铁片</x:v>
      </x:c>
      <x:c r="C124" s="34" t="n">
        <x:v>0</x:v>
      </x:c>
      <x:c r="D124" s="34" t="n">
        <x:v>813.1246199999999</x:v>
      </x:c>
      <x:c r="E124" s="34" t="n">
        <x:v>110</x:v>
      </x:c>
      <x:c r="F124" s="34" t="n">
        <x:f>0</x:f>
        <x:v>0</x:v>
      </x:c>
      <x:c r="G124" s="34" t="n">
        <x:v>110</x:v>
      </x:c>
      <x:c r="H124" s="19" t="str">
        <x:v>COM余量已计货币，不再留作实体库存</x:v>
      </x:c>
    </x:row>
    <x:row r="125" ht="19" customHeight="1">
      <x:c r="A125" s="19" t="n">
        <x:v>7</x:v>
      </x:c>
      <x:c r="B125" s="19" t="str">
        <x:v>黄金树芽</x:v>
      </x:c>
      <x:c r="C125" s="34" t="n">
        <x:v>724.8534253637945</x:v>
      </x:c>
      <x:c r="D125" s="34" t="n">
        <x:v>115.01676691787497</x:v>
      </x:c>
      <x:c r="E125" s="34" t="n">
        <x:v>8</x:v>
      </x:c>
      <x:c r="F125" s="34" t="n">
        <x:f>MAX(0,C125+D125-E125)</x:f>
        <x:v>831.8701922816695</x:v>
      </x:c>
      <x:c r="G125" s="34" t="n">
        <x:v>8</x:v>
      </x:c>
      <x:c r="H125" s="19" t="str">
        <x:v>非主材剩余存仓，不计货币收入</x:v>
      </x:c>
    </x:row>
    <x:row r="126" ht="19" customHeight="1">
      <x:c r="A126" s="19" t="n">
        <x:v>8</x:v>
      </x:c>
      <x:c r="B126" s="19" t="str">
        <x:v>元宝</x:v>
      </x:c>
      <x:c r="C126" s="34" t="n">
        <x:v>33380996156.841248</x:v>
      </x:c>
      <x:c r="D126" s="34" t="n">
        <x:v>41859575326.8</x:v>
      </x:c>
      <x:c r="E126" s="34" t="n">
        <x:v>42544875000</x:v>
      </x:c>
      <x:c r="F126" s="34" t="n">
        <x:f>MAX(0,C126+D126-E126)</x:f>
        <x:v>32695696483.64125</x:v>
      </x:c>
      <x:c r="G126" s="34" t="n">
        <x:v>3450000000</x:v>
      </x:c>
      <x:c r="H126" s="19" t="str">
        <x:v>金币元宝扣除留用主材机会成本；失色扣除不拆的专属等价量</x:v>
      </x:c>
    </x:row>
    <x:row r="127" ht="19" customHeight="1">
      <x:c r="A127" s="19" t="n">
        <x:v>8</x:v>
      </x:c>
      <x:c r="B127" s="19" t="str">
        <x:v>冰宫守门铃</x:v>
      </x:c>
      <x:c r="C127" s="34" t="n">
        <x:v>0</x:v>
      </x:c>
      <x:c r="D127" s="34" t="n">
        <x:v>38.5925925</x:v>
      </x:c>
      <x:c r="E127" s="34" t="n">
        <x:v>36</x:v>
      </x:c>
      <x:c r="F127" s="34" t="n">
        <x:f>MAX(0,C127+D127-E127)</x:f>
        <x:v>2.592592500000002</x:v>
      </x:c>
      <x:c r="G127" s="34" t="n">
        <x:v>36</x:v>
      </x:c>
      <x:c r="H127" s="19" t="str">
        <x:v>非主材剩余存仓，不计货币收入</x:v>
      </x:c>
    </x:row>
    <x:row r="128" ht="19" customHeight="1">
      <x:c r="A128" s="19" t="n">
        <x:v>8</x:v>
      </x:c>
      <x:c r="B128" s="19" t="str">
        <x:v>失色锻造石</x:v>
      </x:c>
      <x:c r="C128" s="34" t="n">
        <x:v>145393.36149342134</x:v>
      </x:c>
      <x:c r="D128" s="34" t="n">
        <x:v>47541.23649</x:v>
      </x:c>
      <x:c r="E128" s="34" t="n">
        <x:v>16600</x:v>
      </x:c>
      <x:c r="F128" s="34" t="n">
        <x:f>MAX(0,C128+D128-E128)</x:f>
        <x:v>176334.59798342135</x:v>
      </x:c>
      <x:c r="G128" s="34" t="n">
        <x:v>7620</x:v>
      </x:c>
      <x:c r="H128" s="19" t="str">
        <x:v>金币元宝扣除留用主材机会成本；失色扣除不拆的专属等价量</x:v>
      </x:c>
    </x:row>
    <x:row r="129" ht="19" customHeight="1">
      <x:c r="A129" s="19" t="n">
        <x:v>8</x:v>
      </x:c>
      <x:c r="B129" s="19" t="str">
        <x:v>巨人火印</x:v>
      </x:c>
      <x:c r="C129" s="34" t="n">
        <x:v>0</x:v>
      </x:c>
      <x:c r="D129" s="34" t="n">
        <x:v>108.91141800000001</x:v>
      </x:c>
      <x:c r="E129" s="34" t="n">
        <x:v>105</x:v>
      </x:c>
      <x:c r="F129" s="34" t="n">
        <x:f>MAX(0,C129+D129-E129)</x:f>
        <x:v>3.911418000000012</x:v>
      </x:c>
      <x:c r="G129" s="34" t="n">
        <x:v>105</x:v>
      </x:c>
      <x:c r="H129" s="19" t="str">
        <x:v>非主材剩余存仓，不计货币收入</x:v>
      </x:c>
    </x:row>
    <x:row r="130" ht="19" customHeight="1">
      <x:c r="A130" s="19" t="n">
        <x:v>8</x:v>
      </x:c>
      <x:c r="B130" s="19" t="str">
        <x:v>巨人火种</x:v>
      </x:c>
      <x:c r="C130" s="34" t="n">
        <x:v>0</x:v>
      </x:c>
      <x:c r="D130" s="34" t="n">
        <x:v>67.28423625</x:v>
      </x:c>
      <x:c r="E130" s="34" t="n">
        <x:v>65</x:v>
      </x:c>
      <x:c r="F130" s="34" t="n">
        <x:f>MAX(0,C130+D130-E130)</x:f>
        <x:v>2.2842362500000064</x:v>
      </x:c>
      <x:c r="G130" s="34" t="n">
        <x:v>65</x:v>
      </x:c>
      <x:c r="H130" s="19" t="str">
        <x:v>非主材剩余存仓，不计货币收入</x:v>
      </x:c>
    </x:row>
    <x:row r="131" ht="19" customHeight="1">
      <x:c r="A131" s="19" t="n">
        <x:v>8</x:v>
      </x:c>
      <x:c r="B131" s="19" t="str">
        <x:v>巨人熔火卢恩</x:v>
      </x:c>
      <x:c r="C131" s="34" t="n">
        <x:v>0</x:v>
      </x:c>
      <x:c r="D131" s="34" t="n">
        <x:v>470.89966000000004</x:v>
      </x:c>
      <x:c r="E131" s="34" t="n">
        <x:v>450</x:v>
      </x:c>
      <x:c r="F131" s="34" t="n">
        <x:f>MAX(0,C131+D131-E131)</x:f>
        <x:v>20.89966000000004</x:v>
      </x:c>
      <x:c r="G131" s="34" t="n">
        <x:v>450</x:v>
      </x:c>
      <x:c r="H131" s="19" t="str">
        <x:v>非主材剩余存仓，不计货币收入</x:v>
      </x:c>
    </x:row>
    <x:row r="132" ht="19" customHeight="1">
      <x:c r="A132" s="19" t="n">
        <x:v>8</x:v>
      </x:c>
      <x:c r="B132" s="19" t="str">
        <x:v>登山铁楔</x:v>
      </x:c>
      <x:c r="C132" s="34" t="n">
        <x:v>0</x:v>
      </x:c>
      <x:c r="D132" s="34" t="n">
        <x:v>294.06082860000004</x:v>
      </x:c>
      <x:c r="E132" s="34" t="n">
        <x:v>290</x:v>
      </x:c>
      <x:c r="F132" s="34" t="n">
        <x:f>MAX(0,C132+D132-E132)</x:f>
        <x:v>4.060828600000036</x:v>
      </x:c>
      <x:c r="G132" s="34" t="n">
        <x:v>290</x:v>
      </x:c>
      <x:c r="H132" s="19" t="str">
        <x:v>非主材剩余存仓，不计货币收入</x:v>
      </x:c>
    </x:row>
    <x:row r="133" ht="19" customHeight="1">
      <x:c r="A133" s="19" t="n">
        <x:v>8</x:v>
      </x:c>
      <x:c r="B133" s="19" t="str">
        <x:v>裂峰号角片</x:v>
      </x:c>
      <x:c r="C133" s="34" t="n">
        <x:v>0</x:v>
      </x:c>
      <x:c r="D133" s="34" t="n">
        <x:v>163.36712700000004</x:v>
      </x:c>
      <x:c r="E133" s="34" t="n">
        <x:v>154</x:v>
      </x:c>
      <x:c r="F133" s="34" t="n">
        <x:f>MAX(0,C133+D133-E133)</x:f>
        <x:v>9.367127000000039</x:v>
      </x:c>
      <x:c r="G133" s="34" t="n">
        <x:v>154</x:v>
      </x:c>
      <x:c r="H133" s="19" t="str">
        <x:v>非主材剩余存仓，不计货币收入</x:v>
      </x:c>
    </x:row>
    <x:row r="134" ht="19" customHeight="1">
      <x:c r="A134" s="19" t="n">
        <x:v>8</x:v>
      </x:c>
      <x:c r="B134" s="19" t="str">
        <x:v>野兽骨片</x:v>
      </x:c>
      <x:c r="C134" s="34" t="n">
        <x:v>28763.138972471723</x:v>
      </x:c>
      <x:c r="D134" s="34" t="n">
        <x:v>16142.407957500001</x:v>
      </x:c>
      <x:c r="E134" s="34" t="n">
        <x:v>15084</x:v>
      </x:c>
      <x:c r="F134" s="34" t="n">
        <x:f>MAX(0,C134+D134-E134)</x:f>
        <x:v>29821.546929971722</x:v>
      </x:c>
      <x:c r="G134" s="34" t="n">
        <x:v>15084</x:v>
      </x:c>
      <x:c r="H134" s="19" t="str">
        <x:v>非主材剩余存仓，不计货币收入</x:v>
      </x:c>
    </x:row>
    <x:row r="135" ht="19" customHeight="1">
      <x:c r="A135" s="19" t="n">
        <x:v>8</x:v>
      </x:c>
      <x:c r="B135" s="19" t="str">
        <x:v>金币</x:v>
      </x:c>
      <x:c r="C135" s="34" t="n">
        <x:v>3239981187829.7246</x:v>
      </x:c>
      <x:c r="D135" s="34" t="n">
        <x:v>4803177670830.001</x:v>
      </x:c>
      <x:c r="E135" s="34" t="n">
        <x:v>5323512500000</x:v>
      </x:c>
      <x:c r="F135" s="34" t="n">
        <x:f>MAX(0,C135+D135-E135)</x:f>
        <x:v>2719646358659.7256</x:v>
      </x:c>
      <x:c r="G135" s="34" t="n">
        <x:v>825500000000</x:v>
      </x:c>
      <x:c r="H135" s="19" t="str">
        <x:v>金币元宝扣除留用主材机会成本；失色扣除不拆的专属等价量</x:v>
      </x:c>
    </x:row>
    <x:row r="136" ht="19" customHeight="1">
      <x:c r="A136" s="19" t="n">
        <x:v>8</x:v>
      </x:c>
      <x:c r="B136" s="19" t="str">
        <x:v>霜脊铁</x:v>
      </x:c>
      <x:c r="C136" s="34" t="n">
        <x:v>0</x:v>
      </x:c>
      <x:c r="D136" s="34" t="n">
        <x:v>5964.24906</x:v>
      </x:c>
      <x:c r="E136" s="34" t="n">
        <x:v>5605</x:v>
      </x:c>
      <x:c r="F136" s="34" t="n">
        <x:f>0</x:f>
        <x:v>0</x:v>
      </x:c>
      <x:c r="G136" s="34" t="n">
        <x:v>5605</x:v>
      </x:c>
      <x:c r="H136" s="19" t="str">
        <x:v>COM余量已计货币，不再留作实体库存</x:v>
      </x:c>
    </x:row>
    <x:row r="137" ht="19" customHeight="1">
      <x:c r="A137" s="19" t="n">
        <x:v>9</x:v>
      </x:c>
      <x:c r="B137" s="19" t="str">
        <x:v>元宝</x:v>
      </x:c>
      <x:c r="C137" s="34" t="n">
        <x:v>32695696483.64125</x:v>
      </x:c>
      <x:c r="D137" s="34" t="n">
        <x:v>98544123798.25095</x:v>
      </x:c>
      <x:c r="E137" s="34" t="n">
        <x:v>112540750000</x:v>
      </x:c>
      <x:c r="F137" s="34" t="n">
        <x:f>MAX(0,C137+D137-E137)</x:f>
        <x:v>18699070281.892197</x:v>
      </x:c>
      <x:c r="G137" s="34" t="n">
        <x:v>22154500000</x:v>
      </x:c>
      <x:c r="H137" s="19" t="str">
        <x:v>金币元宝扣除留用主材机会成本；失色扣除不拆的专属等价量</x:v>
      </x:c>
    </x:row>
    <x:row r="138" ht="19" customHeight="1">
      <x:c r="A138" s="19" t="n">
        <x:v>9</x:v>
      </x:c>
      <x:c r="B138" s="19" t="str">
        <x:v>冻晶尘</x:v>
      </x:c>
      <x:c r="C138" s="34" t="n">
        <x:v>0</x:v>
      </x:c>
      <x:c r="D138" s="34" t="n">
        <x:v>333.112032</x:v>
      </x:c>
      <x:c r="E138" s="34" t="n">
        <x:v>330</x:v>
      </x:c>
      <x:c r="F138" s="34" t="n">
        <x:f>0</x:f>
        <x:v>0</x:v>
      </x:c>
      <x:c r="G138" s="34" t="n">
        <x:v>330</x:v>
      </x:c>
      <x:c r="H138" s="19" t="str">
        <x:v>COM余量已计货币，不再留作实体库存</x:v>
      </x:c>
    </x:row>
    <x:row r="139" ht="19" customHeight="1">
      <x:c r="A139" s="19" t="n">
        <x:v>9</x:v>
      </x:c>
      <x:c r="B139" s="19" t="str">
        <x:v>古王律页</x:v>
      </x:c>
      <x:c r="C139" s="34" t="n">
        <x:v>0</x:v>
      </x:c>
      <x:c r="D139" s="34" t="n">
        <x:v>109.68966286993765</x:v>
      </x:c>
      <x:c r="E139" s="34" t="n">
        <x:v>105</x:v>
      </x:c>
      <x:c r="F139" s="34" t="n">
        <x:f>MAX(0,C139+D139-E139)</x:f>
        <x:v>4.689662869937649</x:v>
      </x:c>
      <x:c r="G139" s="34" t="n">
        <x:v>105</x:v>
      </x:c>
      <x:c r="H139" s="19" t="str">
        <x:v>非主材剩余存仓，不计货币收入</x:v>
      </x:c>
    </x:row>
    <x:row r="140" ht="19" customHeight="1">
      <x:c r="A140" s="19" t="n">
        <x:v>9</x:v>
      </x:c>
      <x:c r="B140" s="19" t="str">
        <x:v>圣雪誓印</x:v>
      </x:c>
      <x:c r="C140" s="34" t="n">
        <x:v>21.95927644444444</x:v>
      </x:c>
      <x:c r="D140" s="34" t="n">
        <x:v>5.856400000000001</x:v>
      </x:c>
      <x:c r="E140" s="34" t="n">
        <x:v>10</x:v>
      </x:c>
      <x:c r="F140" s="34" t="n">
        <x:f>MAX(0,C140+D140-E140)</x:f>
        <x:v>17.815676444444442</x:v>
      </x:c>
      <x:c r="G140" s="34" t="n">
        <x:v>10</x:v>
      </x:c>
      <x:c r="H140" s="19" t="str">
        <x:v>非主材剩余存仓，不计货币收入</x:v>
      </x:c>
    </x:row>
    <x:row r="141" ht="19" customHeight="1">
      <x:c r="A141" s="19" t="n">
        <x:v>9</x:v>
      </x:c>
      <x:c r="B141" s="19" t="str">
        <x:v>失色锻造石</x:v>
      </x:c>
      <x:c r="C141" s="34" t="n">
        <x:v>176334.59798342135</x:v>
      </x:c>
      <x:c r="D141" s="34" t="n">
        <x:v>71467.39861420968</x:v>
      </x:c>
      <x:c r="E141" s="34" t="n">
        <x:v>25920</x:v>
      </x:c>
      <x:c r="F141" s="34" t="n">
        <x:f>MAX(0,C141+D141-E141)</x:f>
        <x:v>221881.99659763102</x:v>
      </x:c>
      <x:c r="G141" s="34" t="n">
        <x:v>10280</x:v>
      </x:c>
      <x:c r="H141" s="19" t="str">
        <x:v>金币元宝扣除留用主材机会成本；失色扣除不拆的专属等价量</x:v>
      </x:c>
    </x:row>
    <x:row r="142" ht="19" customHeight="1">
      <x:c r="A142" s="19" t="n">
        <x:v>9</x:v>
      </x:c>
      <x:c r="B142" s="19" t="str">
        <x:v>接肢王印</x:v>
      </x:c>
      <x:c r="C142" s="34" t="n">
        <x:v>31.17034</x:v>
      </x:c>
      <x:c r="D142" s="34" t="n">
        <x:v>8.784600000000001</x:v>
      </x:c>
      <x:c r="E142" s="34" t="n">
        <x:v>3</x:v>
      </x:c>
      <x:c r="F142" s="34" t="n">
        <x:f>MAX(0,C142+D142-E142)</x:f>
        <x:v>36.95494</x:v>
      </x:c>
      <x:c r="G142" s="34" t="n">
        <x:v>3</x:v>
      </x:c>
      <x:c r="H142" s="19" t="str">
        <x:v>非主材剩余存仓，不计货币收入</x:v>
      </x:c>
    </x:row>
    <x:row r="143" ht="19" customHeight="1">
      <x:c r="A143" s="19" t="n">
        <x:v>9</x:v>
      </x:c>
      <x:c r="B143" s="19" t="str">
        <x:v>满月王室印</x:v>
      </x:c>
      <x:c r="C143" s="34" t="n">
        <x:v>30.549606555555556</x:v>
      </x:c>
      <x:c r="D143" s="34" t="n">
        <x:v>4.3923000000000005</x:v>
      </x:c>
      <x:c r="E143" s="34" t="n">
        <x:v>6</x:v>
      </x:c>
      <x:c r="F143" s="34" t="n">
        <x:f>MAX(0,C143+D143-E143)</x:f>
        <x:v>28.941906555555555</x:v>
      </x:c>
      <x:c r="G143" s="34" t="n">
        <x:v>6</x:v>
      </x:c>
      <x:c r="H143" s="19" t="str">
        <x:v>非主材剩余存仓，不计货币收入</x:v>
      </x:c>
    </x:row>
    <x:row r="144" ht="19" customHeight="1">
      <x:c r="A144" s="19" t="n">
        <x:v>9</x:v>
      </x:c>
      <x:c r="B144" s="19" t="str">
        <x:v>矿脉灯芯</x:v>
      </x:c>
      <x:c r="C144" s="34" t="n">
        <x:v>0</x:v>
      </x:c>
      <x:c r="D144" s="34" t="n">
        <x:v>21.373576444785034</x:v>
      </x:c>
      <x:c r="E144" s="34" t="n">
        <x:v>20</x:v>
      </x:c>
      <x:c r="F144" s="34" t="n">
        <x:f>MAX(0,C144+D144-E144)</x:f>
        <x:v>1.3735764447850336</x:v>
      </x:c>
      <x:c r="G144" s="34" t="n">
        <x:v>20</x:v>
      </x:c>
      <x:c r="H144" s="19" t="str">
        <x:v>非主材剩余存仓，不计货币收入</x:v>
      </x:c>
    </x:row>
    <x:row r="145" ht="19" customHeight="1">
      <x:c r="A145" s="19" t="n">
        <x:v>9</x:v>
      </x:c>
      <x:c r="B145" s="19" t="str">
        <x:v>秘树霜芽</x:v>
      </x:c>
      <x:c r="C145" s="34" t="n">
        <x:v>21.574963888888874</x:v>
      </x:c>
      <x:c r="D145" s="34" t="n">
        <x:v>4.3923000000000005</x:v>
      </x:c>
      <x:c r="E145" s="34" t="n">
        <x:v>7</x:v>
      </x:c>
      <x:c r="F145" s="34" t="n">
        <x:f>MAX(0,C145+D145-E145)</x:f>
        <x:v>18.967263888888873</x:v>
      </x:c>
      <x:c r="G145" s="34" t="n">
        <x:v>7</x:v>
      </x:c>
      <x:c r="H145" s="19" t="str">
        <x:v>非主材剩余存仓，不计货币收入</x:v>
      </x:c>
    </x:row>
    <x:row r="146" ht="19" customHeight="1">
      <x:c r="A146" s="19" t="n">
        <x:v>9</x:v>
      </x:c>
      <x:c r="B146" s="19" t="str">
        <x:v>裁文蜡封</x:v>
      </x:c>
      <x:c r="C146" s="34" t="n">
        <x:v>0</x:v>
      </x:c>
      <x:c r="D146" s="34" t="n">
        <x:v>96.59217480000001</x:v>
      </x:c>
      <x:c r="E146" s="34" t="n">
        <x:v>91</x:v>
      </x:c>
      <x:c r="F146" s="34" t="n">
        <x:f>MAX(0,C146+D146-E146)</x:f>
        <x:v>5.592174800000009</x:v>
      </x:c>
      <x:c r="G146" s="34" t="n">
        <x:v>91</x:v>
      </x:c>
      <x:c r="H146" s="19" t="str">
        <x:v>非主材剩余存仓，不计货币收入</x:v>
      </x:c>
    </x:row>
    <x:row r="147" ht="19" customHeight="1">
      <x:c r="A147" s="19" t="n">
        <x:v>9</x:v>
      </x:c>
      <x:c r="B147" s="19" t="str">
        <x:v>裂风崖羽</x:v>
      </x:c>
      <x:c r="C147" s="34" t="n">
        <x:v>1.2217904268000943</x:v>
      </x:c>
      <x:c r="D147" s="34" t="n">
        <x:v>31.624560000000006</x:v>
      </x:c>
      <x:c r="E147" s="34" t="n">
        <x:v>28</x:v>
      </x:c>
      <x:c r="F147" s="34" t="n">
        <x:f>MAX(0,C147+D147-E147)</x:f>
        <x:v>4.8463504268001</x:v>
      </x:c>
      <x:c r="G147" s="34" t="n">
        <x:v>28</x:v>
      </x:c>
      <x:c r="H147" s="19" t="str">
        <x:v>非主材剩余存仓，不计货币收入</x:v>
      </x:c>
    </x:row>
    <x:row r="148" ht="19" customHeight="1">
      <x:c r="A148" s="19" t="n">
        <x:v>9</x:v>
      </x:c>
      <x:c r="B148" s="19" t="str">
        <x:v>西境战旗印</x:v>
      </x:c>
      <x:c r="C148" s="34" t="n">
        <x:v>7.077238000000005</x:v>
      </x:c>
      <x:c r="D148" s="34" t="n">
        <x:v>8.784600000000001</x:v>
      </x:c>
      <x:c r="E148" s="34" t="n">
        <x:v>4</x:v>
      </x:c>
      <x:c r="F148" s="34" t="n">
        <x:f>MAX(0,C148+D148-E148)</x:f>
        <x:v>11.861838000000006</x:v>
      </x:c>
      <x:c r="G148" s="34" t="n">
        <x:v>4</x:v>
      </x:c>
      <x:c r="H148" s="19" t="str">
        <x:v>非主材剩余存仓，不计货币收入</x:v>
      </x:c>
    </x:row>
    <x:row r="149" ht="19" customHeight="1">
      <x:c r="A149" s="19" t="n">
        <x:v>9</x:v>
      </x:c>
      <x:c r="B149" s="19" t="str">
        <x:v>辉石碎晶</x:v>
      </x:c>
      <x:c r="C149" s="34" t="n">
        <x:v>0</x:v>
      </x:c>
      <x:c r="D149" s="34" t="n">
        <x:v>353.14092</x:v>
      </x:c>
      <x:c r="E149" s="34" t="n">
        <x:v>190</x:v>
      </x:c>
      <x:c r="F149" s="34" t="n">
        <x:f>0</x:f>
        <x:v>0</x:v>
      </x:c>
      <x:c r="G149" s="34" t="n">
        <x:v>190</x:v>
      </x:c>
      <x:c r="H149" s="19" t="str">
        <x:v>COM余量已计货币，不再留作实体库存</x:v>
      </x:c>
    </x:row>
    <x:row r="150" ht="19" customHeight="1">
      <x:c r="A150" s="19" t="n">
        <x:v>9</x:v>
      </x:c>
      <x:c r="B150" s="19" t="str">
        <x:v>野兽骨片</x:v>
      </x:c>
      <x:c r="C150" s="34" t="n">
        <x:v>29821.546929971722</x:v>
      </x:c>
      <x:c r="D150" s="34" t="n">
        <x:v>19943.047782482943</x:v>
      </x:c>
      <x:c r="E150" s="34" t="n">
        <x:v>16464</x:v>
      </x:c>
      <x:c r="F150" s="34" t="n">
        <x:f>MAX(0,C150+D150-E150)</x:f>
        <x:v>33300.594712454666</x:v>
      </x:c>
      <x:c r="G150" s="34" t="n">
        <x:v>16464</x:v>
      </x:c>
      <x:c r="H150" s="19" t="str">
        <x:v>非主材剩余存仓，不计货币收入</x:v>
      </x:c>
    </x:row>
    <x:row r="151" ht="19" customHeight="1">
      <x:c r="A151" s="19" t="n">
        <x:v>9</x:v>
      </x:c>
      <x:c r="B151" s="19" t="str">
        <x:v>金叶驿票</x:v>
      </x:c>
      <x:c r="C151" s="34" t="n">
        <x:v>0</x:v>
      </x:c>
      <x:c r="D151" s="34" t="n">
        <x:v>51.43557270668442</x:v>
      </x:c>
      <x:c r="E151" s="34" t="n">
        <x:v>50</x:v>
      </x:c>
      <x:c r="F151" s="34" t="n">
        <x:f>MAX(0,C151+D151-E151)</x:f>
        <x:v>1.4355727066844182</x:v>
      </x:c>
      <x:c r="G151" s="34" t="n">
        <x:v>50</x:v>
      </x:c>
      <x:c r="H151" s="19" t="str">
        <x:v>非主材剩余存仓，不计货币收入</x:v>
      </x:c>
    </x:row>
    <x:row r="152" ht="19" customHeight="1">
      <x:c r="A152" s="19" t="n">
        <x:v>9</x:v>
      </x:c>
      <x:c r="B152" s="19" t="str">
        <x:v>金币</x:v>
      </x:c>
      <x:c r="C152" s="34" t="n">
        <x:v>2719646358659.7256</x:v>
      </x:c>
      <x:c r="D152" s="34" t="n">
        <x:v>7135363310504.109</x:v>
      </x:c>
      <x:c r="E152" s="34" t="n">
        <x:v>6659177500000</x:v>
      </x:c>
      <x:c r="F152" s="34" t="n">
        <x:f>MAX(0,C152+D152-E152)</x:f>
        <x:v>3195832169163.836</x:v>
      </x:c>
      <x:c r="G152" s="34" t="n">
        <x:v>131500000000</x:v>
      </x:c>
      <x:c r="H152" s="19" t="str">
        <x:v>金币元宝扣除留用主材机会成本；失色扣除不拆的专属等价量</x:v>
      </x:c>
    </x:row>
    <x:row r="153" ht="19" customHeight="1">
      <x:c r="A153" s="19" t="n">
        <x:v>9</x:v>
      </x:c>
      <x:c r="B153" s="19" t="str">
        <x:v>雾月星砂</x:v>
      </x:c>
      <x:c r="C153" s="34" t="n">
        <x:v>115.88407573087233</x:v>
      </x:c>
      <x:c r="D153" s="34" t="n">
        <x:v>18.974736</x:v>
      </x:c>
      <x:c r="E153" s="34" t="n">
        <x:v>48</x:v>
      </x:c>
      <x:c r="F153" s="34" t="n">
        <x:f>MAX(0,C153+D153-E153)</x:f>
        <x:v>86.85881173087233</x:v>
      </x:c>
      <x:c r="G153" s="34" t="n">
        <x:v>48</x:v>
      </x:c>
      <x:c r="H153" s="19" t="str">
        <x:v>非主材剩余存仓，不计货币收入</x:v>
      </x:c>
    </x:row>
    <x:row r="154" ht="19" customHeight="1">
      <x:c r="A154" s="19" t="n">
        <x:v>9</x:v>
      </x:c>
      <x:c r="B154" s="19" t="str">
        <x:v>风暴石片</x:v>
      </x:c>
      <x:c r="C154" s="34" t="n">
        <x:v>0</x:v>
      </x:c>
      <x:c r="D154" s="34" t="n">
        <x:v>888.2987519999999</x:v>
      </x:c>
      <x:c r="E154" s="34" t="n">
        <x:v>70</x:v>
      </x:c>
      <x:c r="F154" s="34" t="n">
        <x:f>0</x:f>
        <x:v>0</x:v>
      </x:c>
      <x:c r="G154" s="34" t="n">
        <x:v>70</x:v>
      </x:c>
      <x:c r="H154" s="19" t="str">
        <x:v>COM余量已计货币，不再留作实体库存</x:v>
      </x:c>
    </x:row>
    <x:row r="155" ht="19" customHeight="1">
      <x:c r="A155" s="19" t="n">
        <x:v>9</x:v>
      </x:c>
      <x:c r="B155" s="19" t="str">
        <x:v>风蚀铁片</x:v>
      </x:c>
      <x:c r="C155" s="34" t="n">
        <x:v>0</x:v>
      </x:c>
      <x:c r="D155" s="34" t="n">
        <x:v>896.0292</x:v>
      </x:c>
      <x:c r="E155" s="34" t="n">
        <x:v>110</x:v>
      </x:c>
      <x:c r="F155" s="34" t="n">
        <x:f>0</x:f>
        <x:v>0</x:v>
      </x:c>
      <x:c r="G155" s="34" t="n">
        <x:v>110</x:v>
      </x:c>
      <x:c r="H155" s="19" t="str">
        <x:v>COM余量已计货币，不再留作实体库存</x:v>
      </x:c>
    </x:row>
    <x:row r="156" ht="19" customHeight="1">
      <x:c r="A156" s="19" t="n">
        <x:v>9</x:v>
      </x:c>
      <x:c r="B156" s="19" t="str">
        <x:v>黄金叶脉</x:v>
      </x:c>
      <x:c r="C156" s="34" t="n">
        <x:v>0</x:v>
      </x:c>
      <x:c r="D156" s="34" t="n">
        <x:v>6668.050117019715</x:v>
      </x:c>
      <x:c r="E156" s="34" t="n">
        <x:v>6180</x:v>
      </x:c>
      <x:c r="F156" s="34" t="n">
        <x:f>0</x:f>
        <x:v>0</x:v>
      </x:c>
      <x:c r="G156" s="34" t="n">
        <x:v>6180</x:v>
      </x:c>
      <x:c r="H156" s="19" t="str">
        <x:v>COM余量已计货币，不再留作实体库存</x:v>
      </x:c>
    </x:row>
    <x:row r="157" ht="19" customHeight="1">
      <x:c r="A157" s="19" t="n">
        <x:v>9</x:v>
      </x:c>
      <x:c r="B157" s="19" t="str">
        <x:v>黄金律印</x:v>
      </x:c>
      <x:c r="C157" s="34" t="n">
        <x:v>0</x:v>
      </x:c>
      <x:c r="D157" s="34" t="n">
        <x:v>212.904615</x:v>
      </x:c>
      <x:c r="E157" s="34" t="n">
        <x:v>194</x:v>
      </x:c>
      <x:c r="F157" s="34" t="n">
        <x:f>MAX(0,C157+D157-E157)</x:f>
        <x:v>18.904615000000007</x:v>
      </x:c>
      <x:c r="G157" s="34" t="n">
        <x:v>194</x:v>
      </x:c>
      <x:c r="H157" s="19" t="str">
        <x:v>非主材剩余存仓，不计货币收入</x:v>
      </x:c>
    </x:row>
    <x:row r="158" ht="19" customHeight="1">
      <x:c r="A158" s="19" t="n">
        <x:v>9</x:v>
      </x:c>
      <x:c r="B158" s="19" t="str">
        <x:v>黄金树芽</x:v>
      </x:c>
      <x:c r="C158" s="34" t="n">
        <x:v>996.7100529066695</x:v>
      </x:c>
      <x:c r="D158" s="34" t="n">
        <x:v>128.70509210742838</x:v>
      </x:c>
      <x:c r="E158" s="34" t="n">
        <x:v>8</x:v>
      </x:c>
      <x:c r="F158" s="34" t="n">
        <x:f>MAX(0,C158+D158-E158)</x:f>
        <x:v>1117.4151450140978</x:v>
      </x:c>
      <x:c r="G158" s="34" t="n">
        <x:v>8</x:v>
      </x:c>
      <x:c r="H158" s="19" t="str">
        <x:v>非主材剩余存仓，不计货币收入</x:v>
      </x:c>
    </x:row>
    <x:row r="159" ht="19" customHeight="1">
      <x:c r="A159" s="19" t="n">
        <x:v>10</x:v>
      </x:c>
      <x:c r="B159" s="19" t="str">
        <x:v>元宝</x:v>
      </x:c>
      <x:c r="C159" s="34" t="n">
        <x:v>18699070281.892197</x:v>
      </x:c>
      <x:c r="D159" s="34" t="n">
        <x:v>196569709984.95602</x:v>
      </x:c>
      <x:c r="E159" s="34" t="n">
        <x:v>196685250000</x:v>
      </x:c>
      <x:c r="F159" s="34" t="n">
        <x:f>MAX(0,C159+D159-E159)</x:f>
        <x:v>18583530266.848206</x:v>
      </x:c>
      <x:c r="G159" s="34" t="n">
        <x:v>21948000000</x:v>
      </x:c>
      <x:c r="H159" s="19" t="str">
        <x:v>金币元宝扣除留用主材机会成本；失色扣除不拆的专属等价量</x:v>
      </x:c>
    </x:row>
    <x:row r="160" ht="19" customHeight="1">
      <x:c r="A160" s="19" t="n">
        <x:v>10</x:v>
      </x:c>
      <x:c r="B160" s="19" t="str">
        <x:v>冰宫守门铃</x:v>
      </x:c>
      <x:c r="C160" s="34" t="n">
        <x:v>2.592592500000002</x:v>
      </x:c>
      <x:c r="D160" s="34" t="n">
        <x:v>9.62885</x:v>
      </x:c>
      <x:c r="E160" s="34" t="n">
        <x:v>12</x:v>
      </x:c>
      <x:c r="F160" s="34" t="n">
        <x:f>MAX(0,C160+D160-E160)</x:f>
        <x:v>0.22144250000000198</x:v>
      </x:c>
      <x:c r="G160" s="34" t="n">
        <x:v>12</x:v>
      </x:c>
      <x:c r="H160" s="19" t="str">
        <x:v>非主材剩余存仓，不计货币收入</x:v>
      </x:c>
    </x:row>
    <x:row r="161" ht="19" customHeight="1">
      <x:c r="A161" s="19" t="n">
        <x:v>10</x:v>
      </x:c>
      <x:c r="B161" s="19" t="str">
        <x:v>失温熔炉楔</x:v>
      </x:c>
      <x:c r="C161" s="34" t="n">
        <x:v>0</x:v>
      </x:c>
      <x:c r="D161" s="34" t="n">
        <x:v>146.31351093333336</x:v>
      </x:c>
      <x:c r="E161" s="34" t="n">
        <x:v>138</x:v>
      </x:c>
      <x:c r="F161" s="34" t="n">
        <x:f>MAX(0,C161+D161-E161)</x:f>
        <x:v>8.313510933333362</x:v>
      </x:c>
      <x:c r="G161" s="34" t="n">
        <x:v>138</x:v>
      </x:c>
      <x:c r="H161" s="19" t="str">
        <x:v>非主材剩余存仓，不计货币收入</x:v>
      </x:c>
    </x:row>
    <x:row r="162" ht="19" customHeight="1">
      <x:c r="A162" s="19" t="n">
        <x:v>10</x:v>
      </x:c>
      <x:c r="B162" s="19" t="str">
        <x:v>失色锻造石</x:v>
      </x:c>
      <x:c r="C162" s="34" t="n">
        <x:v>221881.99659763102</x:v>
      </x:c>
      <x:c r="D162" s="34" t="n">
        <x:v>110016.52552000002</x:v>
      </x:c>
      <x:c r="E162" s="34" t="n">
        <x:v>43320</x:v>
      </x:c>
      <x:c r="F162" s="34" t="n">
        <x:f>MAX(0,C162+D162-E162)</x:f>
        <x:v>288578.52211763104</x:v>
      </x:c>
      <x:c r="G162" s="34" t="n">
        <x:v>22340</x:v>
      </x:c>
      <x:c r="H162" s="19" t="str">
        <x:v>金币元宝扣除留用主材机会成本；失色扣除不拆的专属等价量</x:v>
      </x:c>
    </x:row>
    <x:row r="163" ht="19" customHeight="1">
      <x:c r="A163" s="19" t="n">
        <x:v>10</x:v>
      </x:c>
      <x:c r="B163" s="19" t="str">
        <x:v>巨人火印</x:v>
      </x:c>
      <x:c r="C163" s="34" t="n">
        <x:v>3.911418000000012</x:v>
      </x:c>
      <x:c r="D163" s="34" t="n">
        <x:v>30.042012</x:v>
      </x:c>
      <x:c r="E163" s="34" t="n">
        <x:v>24</x:v>
      </x:c>
      <x:c r="F163" s="34" t="n">
        <x:f>MAX(0,C163+D163-E163)</x:f>
        <x:v>9.953430000000012</x:v>
      </x:c>
      <x:c r="G163" s="34" t="n">
        <x:v>24</x:v>
      </x:c>
      <x:c r="H163" s="19" t="str">
        <x:v>非主材剩余存仓，不计货币收入</x:v>
      </x:c>
    </x:row>
    <x:row r="164" ht="19" customHeight="1">
      <x:c r="A164" s="19" t="n">
        <x:v>10</x:v>
      </x:c>
      <x:c r="B164" s="19" t="str">
        <x:v>无名墓钉</x:v>
      </x:c>
      <x:c r="C164" s="34" t="n">
        <x:v>0</x:v>
      </x:c>
      <x:c r="D164" s="34" t="n">
        <x:v>639.9445852800001</x:v>
      </x:c>
      <x:c r="E164" s="34" t="n">
        <x:v>580</x:v>
      </x:c>
      <x:c r="F164" s="34" t="n">
        <x:f>MAX(0,C164+D164-E164)</x:f>
        <x:v>59.94458528000007</x:v>
      </x:c>
      <x:c r="G164" s="34" t="n">
        <x:v>580</x:v>
      </x:c>
      <x:c r="H164" s="19" t="str">
        <x:v>非主材剩余存仓，不计货币收入</x:v>
      </x:c>
    </x:row>
    <x:row r="165" ht="19" customHeight="1">
      <x:c r="A165" s="19" t="n">
        <x:v>10</x:v>
      </x:c>
      <x:c r="B165" s="19" t="str">
        <x:v>旧渠阀芯</x:v>
      </x:c>
      <x:c r="C165" s="34" t="n">
        <x:v>0</x:v>
      </x:c>
      <x:c r="D165" s="34" t="n">
        <x:v>235.866554</x:v>
      </x:c>
      <x:c r="E165" s="34" t="n">
        <x:v>210</x:v>
      </x:c>
      <x:c r="F165" s="34" t="n">
        <x:f>MAX(0,C165+D165-E165)</x:f>
        <x:v>25.866554000000008</x:v>
      </x:c>
      <x:c r="G165" s="34" t="n">
        <x:v>210</x:v>
      </x:c>
      <x:c r="H165" s="19" t="str">
        <x:v>非主材剩余存仓，不计货币收入</x:v>
      </x:c>
    </x:row>
    <x:row r="166" ht="19" customHeight="1">
      <x:c r="A166" s="19" t="n">
        <x:v>10</x:v>
      </x:c>
      <x:c r="B166" s="19" t="str">
        <x:v>王城金屑</x:v>
      </x:c>
      <x:c r="C166" s="34" t="n">
        <x:v>0</x:v>
      </x:c>
      <x:c r="D166" s="34" t="n">
        <x:v>10302.550992066666</x:v>
      </x:c>
      <x:c r="E166" s="34" t="n">
        <x:v>9355</x:v>
      </x:c>
      <x:c r="F166" s="34" t="n">
        <x:f>0</x:f>
        <x:v>0</x:v>
      </x:c>
      <x:c r="G166" s="34" t="n">
        <x:v>9355</x:v>
      </x:c>
      <x:c r="H166" s="19" t="str">
        <x:v>COM余量已计货币，不再留作实体库存</x:v>
      </x:c>
    </x:row>
    <x:row r="167" ht="19" customHeight="1">
      <x:c r="A167" s="19" t="n">
        <x:v>10</x:v>
      </x:c>
      <x:c r="B167" s="19" t="str">
        <x:v>王宫律文</x:v>
      </x:c>
      <x:c r="C167" s="34" t="n">
        <x:v>0</x:v>
      </x:c>
      <x:c r="D167" s="34" t="n">
        <x:v>256.04864413333337</x:v>
      </x:c>
      <x:c r="E167" s="34" t="n">
        <x:v>236</x:v>
      </x:c>
      <x:c r="F167" s="34" t="n">
        <x:f>MAX(0,C167+D167-E167)</x:f>
        <x:v>20.04864413333337</x:v>
      </x:c>
      <x:c r="G167" s="34" t="n">
        <x:v>236</x:v>
      </x:c>
      <x:c r="H167" s="19" t="str">
        <x:v>非主材剩余存仓，不计货币收入</x:v>
      </x:c>
    </x:row>
    <x:row r="168" ht="19" customHeight="1">
      <x:c r="A168" s="19" t="n">
        <x:v>10</x:v>
      </x:c>
      <x:c r="B168" s="19" t="str">
        <x:v>艾尔登王印</x:v>
      </x:c>
      <x:c r="C168" s="34" t="n">
        <x:v>0</x:v>
      </x:c>
      <x:c r="D168" s="34" t="n">
        <x:v>365.7837773333333</x:v>
      </x:c>
      <x:c r="E168" s="34" t="n">
        <x:v>332</x:v>
      </x:c>
      <x:c r="F168" s="34" t="n">
        <x:f>MAX(0,C168+D168-E168)</x:f>
        <x:v>33.78377733333332</x:v>
      </x:c>
      <x:c r="G168" s="34" t="n">
        <x:v>332</x:v>
      </x:c>
      <x:c r="H168" s="19" t="str">
        <x:v>非主材剩余存仓，不计货币收入</x:v>
      </x:c>
    </x:row>
    <x:row r="169" ht="19" customHeight="1">
      <x:c r="A169" s="19" t="n">
        <x:v>10</x:v>
      </x:c>
      <x:c r="B169" s="19" t="str">
        <x:v>野兽骨片</x:v>
      </x:c>
      <x:c r="C169" s="34" t="n">
        <x:v>33300.594712454666</x:v>
      </x:c>
      <x:c r="D169" s="34" t="n">
        <x:v>20548.93620722963</x:v>
      </x:c>
      <x:c r="E169" s="34" t="n">
        <x:v>13920</x:v>
      </x:c>
      <x:c r="F169" s="34" t="n">
        <x:f>MAX(0,C169+D169-E169)</x:f>
        <x:v>39929.5309196843</x:v>
      </x:c>
      <x:c r="G169" s="34" t="n">
        <x:v>13920</x:v>
      </x:c>
      <x:c r="H169" s="19" t="str">
        <x:v>非主材剩余存仓，不计货币收入</x:v>
      </x:c>
    </x:row>
    <x:row r="170" ht="19" customHeight="1">
      <x:c r="A170" s="19" t="n">
        <x:v>10</x:v>
      </x:c>
      <x:c r="B170" s="19" t="str">
        <x:v>金币</x:v>
      </x:c>
      <x:c r="C170" s="34" t="n">
        <x:v>3195832169163.836</x:v>
      </x:c>
      <x:c r="D170" s="34" t="n">
        <x:v>16712078156527.602</x:v>
      </x:c>
      <x:c r="E170" s="34" t="n">
        <x:v>16519775000000</x:v>
      </x:c>
      <x:c r="F170" s="34" t="n">
        <x:f>MAX(0,C170+D170-E170)</x:f>
        <x:v>3388135325691.4375</x:v>
      </x:c>
      <x:c r="G170" s="34" t="n">
        <x:v>1757000000000</x:v>
      </x:c>
      <x:c r="H170" s="19" t="str">
        <x:v>金币元宝扣除留用主材机会成本；失色扣除不拆的专属等价量</x:v>
      </x:c>
    </x:row>
    <x:row r="171" ht="19" customHeight="1">
      <x:c r="A171" s="19" t="n">
        <x:v>10</x:v>
      </x:c>
      <x:c r="B171" s="19" t="str">
        <x:v>霜脊铁</x:v>
      </x:c>
      <x:c r="C171" s="34" t="n">
        <x:v>0</x:v>
      </x:c>
      <x:c r="D171" s="34" t="n">
        <x:v>1532.142612</x:v>
      </x:c>
      <x:c r="E171" s="34" t="n">
        <x:v>910</x:v>
      </x:c>
      <x:c r="F171" s="34" t="n">
        <x:f>0</x:f>
        <x:v>0</x:v>
      </x:c>
      <x:c r="G171" s="34" t="n">
        <x:v>910</x:v>
      </x:c>
      <x:c r="H171" s="19" t="str">
        <x:v>COM余量已计货币，不再留作实体库存</x:v>
      </x:c>
    </x:row>
    <x:row r="172" ht="19" customHeight="1">
      <x:c r="A172" s="19" t="n">
        <x:v>10</x:v>
      </x:c>
      <x:c r="B172" s="19" t="str">
        <x:v>黄金律法卢恩</x:v>
      </x:c>
      <x:c r="C172" s="34" t="n">
        <x:v>0</x:v>
      </x:c>
      <x:c r="D172" s="34" t="n">
        <x:v>589.666385</x:v>
      </x:c>
      <x:c r="E172" s="34" t="n">
        <x:v>550</x:v>
      </x:c>
      <x:c r="F172" s="34" t="n">
        <x:f>MAX(0,C172+D172-E172)</x:f>
        <x:v>39.66638499999999</x:v>
      </x:c>
      <x:c r="G172" s="34" t="n">
        <x:v>550</x:v>
      </x:c>
      <x:c r="H172" s="19" t="str">
        <x:v>非主材剩余存仓，不计货币收入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9a674a988204e9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9" hidden="0" customWidth="1"/>
    <x:col min="4" max="4" width="25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  <x:col min="9" max="9" width="24" hidden="0" customWidth="1"/>
  </x:cols>
  <x:sheetData>
    <x:row r="1" ht="30" customHeight="1">
      <x:c r="A1" s="4" t="str">
        <x:v>06 · 刷图安排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9" t="str">
        <x:v>使用不购买玩家装备/材料的条件路线。回访只为已有基础件/材料来源，不把所有货币强迫回低级图刷。每一阶段仍要完成本大陆普通推进。</x:v>
      </x:c>
      <x:c r="B2" s="9"/>
      <x:c r="C2" s="9"/>
      <x:c r="D2" s="9"/>
      <x:c r="E2" s="9"/>
      <x:c r="F2" s="9"/>
      <x:c r="G2" s="9"/>
      <x:c r="H2" s="9"/>
      <x:c r="I2" s="9"/>
    </x:row>
    <x:row r="4" ht="30" customHeight="1">
      <x:c r="A4" s="14" t="str">
        <x:v>当前阶段</x:v>
      </x:c>
      <x:c r="B4" s="14" t="str">
        <x:v>实际刷图大陆</x:v>
      </x:c>
      <x:c r="C4" s="14" t="str">
        <x:v>组序</x:v>
      </x:c>
      <x:c r="D4" s="14" t="str">
        <x:v>地图组</x:v>
      </x:c>
      <x:c r="E4" s="14" t="str">
        <x:v>安排小时</x:v>
      </x:c>
      <x:c r="F4" s="14" t="str">
        <x:v>用途</x:v>
      </x:c>
      <x:c r="G4" s="14" t="str">
        <x:v>金币毛额每小时</x:v>
      </x:c>
      <x:c r="H4" s="14" t="str">
        <x:v>元宝毛额每小时</x:v>
      </x:c>
      <x:c r="I4" s="14" t="str">
        <x:v>失色毛额每小时</x:v>
      </x:c>
    </x:row>
    <x:row r="5" ht="19" customHeight="1">
      <x:c r="A5" s="19" t="n">
        <x:v>1</x:v>
      </x:c>
      <x:c r="B5" s="19" t="n">
        <x:v>1</x:v>
      </x:c>
      <x:c r="C5" s="19" t="n">
        <x:v>1</x:v>
      </x:c>
      <x:c r="D5" s="19" t="str">
        <x:v>失乡者海岸</x:v>
      </x:c>
      <x:c r="E5" s="22" t="n">
        <x:v>3.25</x:v>
      </x:c>
      <x:c r="F5" s="19" t="str">
        <x:v>本大陆</x:v>
      </x:c>
      <x:c r="G5" s="24" t="n">
        <x:v>1301698649.0726647</x:v>
      </x:c>
      <x:c r="H5" s="24" t="n">
        <x:v>16162621.796805505</x:v>
      </x:c>
      <x:c r="I5" s="24" t="n">
        <x:v>242.90320637634824</x:v>
      </x:c>
    </x:row>
    <x:row r="6" ht="19" customHeight="1">
      <x:c r="A6" s="19" t="n">
        <x:v>1</x:v>
      </x:c>
      <x:c r="B6" s="19" t="n">
        <x:v>1</x:v>
      </x:c>
      <x:c r="C6" s="19" t="n">
        <x:v>2</x:v>
      </x:c>
      <x:c r="D6" s="19" t="str">
        <x:v>风暴断崖</x:v>
      </x:c>
      <x:c r="E6" s="22" t="n">
        <x:v>3.25</x:v>
      </x:c>
      <x:c r="F6" s="19" t="str">
        <x:v>本大陆</x:v>
      </x:c>
      <x:c r="G6" s="24" t="n">
        <x:v>1510797160.327457</x:v>
      </x:c>
      <x:c r="H6" s="24" t="n">
        <x:v>18038901.87665194</x:v>
      </x:c>
      <x:c r="I6" s="24" t="n">
        <x:v>291.25549964559497</x:v>
      </x:c>
    </x:row>
    <x:row r="7" ht="19" customHeight="1">
      <x:c r="A7" s="19" t="n">
        <x:v>1</x:v>
      </x:c>
      <x:c r="B7" s="19" t="n">
        <x:v>1</x:v>
      </x:c>
      <x:c r="C7" s="19" t="n">
        <x:v>3</x:v>
      </x:c>
      <x:c r="D7" s="19" t="str">
        <x:v>沉没王庭</x:v>
      </x:c>
      <x:c r="E7" s="22" t="n">
        <x:v>2.5</x:v>
      </x:c>
      <x:c r="F7" s="19" t="str">
        <x:v>本大陆</x:v>
      </x:c>
      <x:c r="G7" s="24" t="n">
        <x:v>1463980561.1160028</x:v>
      </x:c>
      <x:c r="H7" s="24" t="n">
        <x:v>17553252.58051134</x:v>
      </x:c>
      <x:c r="I7" s="24" t="n">
        <x:v>286.7961507921655</x:v>
      </x:c>
    </x:row>
    <x:row r="8" ht="19" customHeight="1">
      <x:c r="A8" s="19" t="n">
        <x:v>2</x:v>
      </x:c>
      <x:c r="B8" s="19" t="n">
        <x:v>1</x:v>
      </x:c>
      <x:c r="C8" s="19" t="n">
        <x:v>1</x:v>
      </x:c>
      <x:c r="D8" s="19" t="str">
        <x:v>失乡者海岸</x:v>
      </x:c>
      <x:c r="E8" s="22" t="n">
        <x:v>1.25</x:v>
      </x:c>
      <x:c r="F8" s="19" t="str">
        <x:v>回访补料</x:v>
      </x:c>
      <x:c r="G8" s="24" t="n">
        <x:v>1993118819.9999998</x:v>
      </x:c>
      <x:c r="H8" s="24" t="n">
        <x:v>24766094.099999875</x:v>
      </x:c>
      <x:c r="I8" s="24" t="n">
        <x:v>379.5000000000001</x:v>
      </x:c>
    </x:row>
    <x:row r="9" ht="19" customHeight="1">
      <x:c r="A9" s="19" t="n">
        <x:v>2</x:v>
      </x:c>
      <x:c r="B9" s="19" t="n">
        <x:v>1</x:v>
      </x:c>
      <x:c r="C9" s="19" t="n">
        <x:v>3</x:v>
      </x:c>
      <x:c r="D9" s="19" t="str">
        <x:v>沉没王庭</x:v>
      </x:c>
      <x:c r="E9" s="22" t="n">
        <x:v>0.5</x:v>
      </x:c>
      <x:c r="F9" s="19" t="str">
        <x:v>回访补料</x:v>
      </x:c>
      <x:c r="G9" s="24" t="n">
        <x:v>2409174157.5</x:v>
      </x:c>
      <x:c r="H9" s="24" t="n">
        <x:v>28895670.78750007</x:v>
      </x:c>
      <x:c r="I9" s="24" t="n">
        <x:v>461.47200000000015</x:v>
      </x:c>
    </x:row>
    <x:row r="10" ht="19" customHeight="1">
      <x:c r="A10" s="19" t="n">
        <x:v>2</x:v>
      </x:c>
      <x:c r="B10" s="19" t="n">
        <x:v>2</x:v>
      </x:c>
      <x:c r="C10" s="19" t="n">
        <x:v>1</x:v>
      </x:c>
      <x:c r="D10" s="19" t="str">
        <x:v>漂流墓地</x:v>
      </x:c>
      <x:c r="E10" s="22" t="n">
        <x:v>3.5</x:v>
      </x:c>
      <x:c r="F10" s="19" t="str">
        <x:v>本大陆</x:v>
      </x:c>
      <x:c r="G10" s="24" t="n">
        <x:v>3642308631.113095</x:v>
      </x:c>
      <x:c r="H10" s="24" t="n">
        <x:v>56602815.942523934</x:v>
      </x:c>
      <x:c r="I10" s="24" t="n">
        <x:v>579.8050031966121</x:v>
      </x:c>
    </x:row>
    <x:row r="11" ht="19" customHeight="1">
      <x:c r="A11" s="19" t="n">
        <x:v>2</x:v>
      </x:c>
      <x:c r="B11" s="19" t="n">
        <x:v>2</x:v>
      </x:c>
      <x:c r="C11" s="19" t="n">
        <x:v>2</x:v>
      </x:c>
      <x:c r="D11" s="19" t="str">
        <x:v>关卡前废墟</x:v>
      </x:c>
      <x:c r="E11" s="22" t="n">
        <x:v>3.5</x:v>
      </x:c>
      <x:c r="F11" s="19" t="str">
        <x:v>本大陆</x:v>
      </x:c>
      <x:c r="G11" s="24" t="n">
        <x:v>3674982057.9567304</x:v>
      </x:c>
      <x:c r="H11" s="24" t="n">
        <x:v>56574406.43859865</x:v>
      </x:c>
      <x:c r="I11" s="24" t="n">
        <x:v>576.1247449652192</x:v>
      </x:c>
    </x:row>
    <x:row r="12" ht="19" customHeight="1">
      <x:c r="A12" s="19" t="n">
        <x:v>2</x:v>
      </x:c>
      <x:c r="B12" s="19" t="n">
        <x:v>2</x:v>
      </x:c>
      <x:c r="C12" s="19" t="n">
        <x:v>3</x:v>
      </x:c>
      <x:c r="D12" s="19" t="str">
        <x:v>迷雾丛林</x:v>
      </x:c>
      <x:c r="E12" s="22" t="n">
        <x:v>2.75</x:v>
      </x:c>
      <x:c r="F12" s="19" t="str">
        <x:v>本大陆</x:v>
      </x:c>
      <x:c r="G12" s="24" t="n">
        <x:v>3666688005.0665755</x:v>
      </x:c>
      <x:c r="H12" s="24" t="n">
        <x:v>56245668.34537546</x:v>
      </x:c>
      <x:c r="I12" s="24" t="n">
        <x:v>571.0431692213172</x:v>
      </x:c>
    </x:row>
    <x:row r="13" ht="19" customHeight="1">
      <x:c r="A13" s="19" t="n">
        <x:v>2</x:v>
      </x:c>
      <x:c r="B13" s="19" t="n">
        <x:v>2</x:v>
      </x:c>
      <x:c r="C13" s="19" t="n">
        <x:v>4</x:v>
      </x:c>
      <x:c r="D13" s="19" t="str">
        <x:v>风暴山谷</x:v>
      </x:c>
      <x:c r="E13" s="22" t="n">
        <x:v>2.25</x:v>
      </x:c>
      <x:c r="F13" s="19" t="str">
        <x:v>本大陆</x:v>
      </x:c>
      <x:c r="G13" s="24" t="n">
        <x:v>3639200827.2787395</x:v>
      </x:c>
      <x:c r="H13" s="24" t="n">
        <x:v>56085926.34523464</x:v>
      </x:c>
      <x:c r="I13" s="24" t="n">
        <x:v>570.9364468120007</x:v>
      </x:c>
    </x:row>
    <x:row r="14" ht="19" customHeight="1">
      <x:c r="A14" s="19" t="n">
        <x:v>2</x:v>
      </x:c>
      <x:c r="B14" s="19" t="n">
        <x:v>2</x:v>
      </x:c>
      <x:c r="C14" s="19" t="n">
        <x:v>5</x:v>
      </x:c>
      <x:c r="D14" s="19" t="str">
        <x:v>史东薇尔王城</x:v>
      </x:c>
      <x:c r="E14" s="22" t="n">
        <x:v>2</x:v>
      </x:c>
      <x:c r="F14" s="19" t="str">
        <x:v>本大陆</x:v>
      </x:c>
      <x:c r="G14" s="24" t="n">
        <x:v>3649550564.817919</x:v>
      </x:c>
      <x:c r="H14" s="24" t="n">
        <x:v>55505912.40915382</x:v>
      </x:c>
      <x:c r="I14" s="24" t="n">
        <x:v>559.7609885694061</x:v>
      </x:c>
    </x:row>
    <x:row r="15" ht="19" customHeight="1">
      <x:c r="A15" s="19" t="n">
        <x:v>3</x:v>
      </x:c>
      <x:c r="B15" s="19" t="n">
        <x:v>2</x:v>
      </x:c>
      <x:c r="C15" s="19" t="n">
        <x:v>3</x:v>
      </x:c>
      <x:c r="D15" s="19" t="str">
        <x:v>迷雾丛林</x:v>
      </x:c>
      <x:c r="E15" s="22" t="n">
        <x:v>1.5</x:v>
      </x:c>
      <x:c r="F15" s="19" t="str">
        <x:v>回访补料</x:v>
      </x:c>
      <x:c r="G15" s="24" t="n">
        <x:v>4657375800</x:v>
      </x:c>
      <x:c r="H15" s="24" t="n">
        <x:v>71495523</x:v>
      </x:c>
      <x:c r="I15" s="24" t="n">
        <x:v>728.6400000000001</x:v>
      </x:c>
    </x:row>
    <x:row r="16" ht="19" customHeight="1">
      <x:c r="A16" s="19" t="n">
        <x:v>3</x:v>
      </x:c>
      <x:c r="B16" s="19" t="n">
        <x:v>2</x:v>
      </x:c>
      <x:c r="C16" s="19" t="n">
        <x:v>4</x:v>
      </x:c>
      <x:c r="D16" s="19" t="str">
        <x:v>风暴山谷</x:v>
      </x:c>
      <x:c r="E16" s="22" t="n">
        <x:v>1.5</x:v>
      </x:c>
      <x:c r="F16" s="19" t="str">
        <x:v>回访补料</x:v>
      </x:c>
      <x:c r="G16" s="24" t="n">
        <x:v>4626636300</x:v>
      </x:c>
      <x:c r="H16" s="24" t="n">
        <x:v>71341825.5</x:v>
      </x:c>
      <x:c r="I16" s="24" t="n">
        <x:v>728.6400000000001</x:v>
      </x:c>
    </x:row>
    <x:row r="17" ht="19" customHeight="1">
      <x:c r="A17" s="19" t="n">
        <x:v>3</x:v>
      </x:c>
      <x:c r="B17" s="19" t="n">
        <x:v>3</x:v>
      </x:c>
      <x:c r="C17" s="19" t="n">
        <x:v>1</x:v>
      </x:c>
      <x:c r="D17" s="19" t="str">
        <x:v>西境荒原</x:v>
      </x:c>
      <x:c r="E17" s="22" t="n">
        <x:v>4.5</x:v>
      </x:c>
      <x:c r="F17" s="19" t="str">
        <x:v>本大陆</x:v>
      </x:c>
      <x:c r="G17" s="24" t="n">
        <x:v>8645208427.257725</x:v>
      </x:c>
      <x:c r="H17" s="24" t="n">
        <x:v>76335351.00663736</x:v>
      </x:c>
      <x:c r="I17" s="24" t="n">
        <x:v>758.1741591214441</x:v>
      </x:c>
    </x:row>
    <x:row r="18" ht="19" customHeight="1">
      <x:c r="A18" s="19" t="n">
        <x:v>3</x:v>
      </x:c>
      <x:c r="B18" s="19" t="n">
        <x:v>3</x:v>
      </x:c>
      <x:c r="C18" s="19" t="n">
        <x:v>2</x:v>
      </x:c>
      <x:c r="D18" s="19" t="str">
        <x:v>海风断崖</x:v>
      </x:c>
      <x:c r="E18" s="22" t="n">
        <x:v>3.75</x:v>
      </x:c>
      <x:c r="F18" s="19" t="str">
        <x:v>本大陆</x:v>
      </x:c>
      <x:c r="G18" s="24" t="n">
        <x:v>8677249655.04672</x:v>
      </x:c>
      <x:c r="H18" s="24" t="n">
        <x:v>76618268.23073168</x:v>
      </x:c>
      <x:c r="I18" s="24" t="n">
        <x:v>761.164123125869</x:v>
      </x:c>
    </x:row>
    <x:row r="19" ht="19" customHeight="1">
      <x:c r="A19" s="19" t="n">
        <x:v>3</x:v>
      </x:c>
      <x:c r="B19" s="19" t="n">
        <x:v>3</x:v>
      </x:c>
      <x:c r="C19" s="19" t="n">
        <x:v>3</x:v>
      </x:c>
      <x:c r="D19" s="19" t="str">
        <x:v>失落驿道</x:v>
      </x:c>
      <x:c r="E19" s="22" t="n">
        <x:v>4.75</x:v>
      </x:c>
      <x:c r="F19" s="19" t="str">
        <x:v>本大陆</x:v>
      </x:c>
      <x:c r="G19" s="24" t="n">
        <x:v>7156327315.703376</x:v>
      </x:c>
      <x:c r="H19" s="24" t="n">
        <x:v>63188847.57482768</x:v>
      </x:c>
      <x:c r="I19" s="24" t="n">
        <x:v>693.3447110018017</x:v>
      </x:c>
    </x:row>
    <x:row r="20" ht="19" customHeight="1">
      <x:c r="A20" s="19" t="n">
        <x:v>3</x:v>
      </x:c>
      <x:c r="B20" s="19" t="n">
        <x:v>3</x:v>
      </x:c>
      <x:c r="C20" s="19" t="n">
        <x:v>4</x:v>
      </x:c>
      <x:c r="D20" s="19" t="str">
        <x:v>古战场遗迹</x:v>
      </x:c>
      <x:c r="E20" s="22" t="n">
        <x:v>2.5</x:v>
      </x:c>
      <x:c r="F20" s="19" t="str">
        <x:v>本大陆</x:v>
      </x:c>
      <x:c r="G20" s="24" t="n">
        <x:v>8138709131.31933</x:v>
      </x:c>
      <x:c r="H20" s="24" t="n">
        <x:v>71863069.98930898</x:v>
      </x:c>
      <x:c r="I20" s="24" t="n">
        <x:v>737.5864617099951</x:v>
      </x:c>
    </x:row>
    <x:row r="21" ht="19" customHeight="1">
      <x:c r="A21" s="19" t="n">
        <x:v>3</x:v>
      </x:c>
      <x:c r="B21" s="19" t="n">
        <x:v>3</x:v>
      </x:c>
      <x:c r="C21" s="19" t="n">
        <x:v>5</x:v>
      </x:c>
      <x:c r="D21" s="19" t="str">
        <x:v>风蚀古垒</x:v>
      </x:c>
      <x:c r="E21" s="22" t="n">
        <x:v>2.5</x:v>
      </x:c>
      <x:c r="F21" s="19" t="str">
        <x:v>本大陆</x:v>
      </x:c>
      <x:c r="G21" s="24" t="n">
        <x:v>8108983400.222654</x:v>
      </x:c>
      <x:c r="H21" s="24" t="n">
        <x:v>71600598.10834897</x:v>
      </x:c>
      <x:c r="I21" s="24" t="n">
        <x:v>734.2133291032801</x:v>
      </x:c>
    </x:row>
    <x:row r="22" ht="19" customHeight="1">
      <x:c r="A22" s="19" t="n">
        <x:v>3</x:v>
      </x:c>
      <x:c r="B22" s="19" t="n">
        <x:v>3</x:v>
      </x:c>
      <x:c r="C22" s="19" t="n">
        <x:v>6</x:v>
      </x:c>
      <x:c r="D22" s="19" t="str">
        <x:v>黄金树哨垒</x:v>
      </x:c>
      <x:c r="E22" s="22" t="n">
        <x:v>4</x:v>
      </x:c>
      <x:c r="F22" s="19" t="str">
        <x:v>本大陆</x:v>
      </x:c>
      <x:c r="G22" s="24" t="n">
        <x:v>7733633749.168052</x:v>
      </x:c>
      <x:c r="H22" s="24" t="n">
        <x:v>68286340.5511647</x:v>
      </x:c>
      <x:c r="I22" s="24" t="n">
        <x:v>701.5748202284999</x:v>
      </x:c>
    </x:row>
    <x:row r="23" ht="19" customHeight="1">
      <x:c r="A23" s="19" t="n">
        <x:v>4</x:v>
      </x:c>
      <x:c r="B23" s="19" t="n">
        <x:v>2</x:v>
      </x:c>
      <x:c r="C23" s="19" t="n">
        <x:v>2</x:v>
      </x:c>
      <x:c r="D23" s="19" t="str">
        <x:v>关卡前废墟</x:v>
      </x:c>
      <x:c r="E23" s="22" t="n">
        <x:v>0.75</x:v>
      </x:c>
      <x:c r="F23" s="19" t="str">
        <x:v>回访补料</x:v>
      </x:c>
      <x:c r="G23" s="24" t="n">
        <x:v>5922518272</x:v>
      </x:c>
      <x:c r="H23" s="24" t="n">
        <x:v>91207867.52000023</x:v>
      </x:c>
      <x:c r="I23" s="24" t="n">
        <x:v>930.9695999999999</x:v>
      </x:c>
    </x:row>
    <x:row r="24" ht="19" customHeight="1">
      <x:c r="A24" s="19" t="n">
        <x:v>4</x:v>
      </x:c>
      <x:c r="B24" s="19" t="n">
        <x:v>2</x:v>
      </x:c>
      <x:c r="C24" s="19" t="n">
        <x:v>3</x:v>
      </x:c>
      <x:c r="D24" s="19" t="str">
        <x:v>迷雾丛林</x:v>
      </x:c>
      <x:c r="E24" s="22" t="n">
        <x:v>1.25</x:v>
      </x:c>
      <x:c r="F24" s="19" t="str">
        <x:v>回访补料</x:v>
      </x:c>
      <x:c r="G24" s="24" t="n">
        <x:v>5950641312</x:v>
      </x:c>
      <x:c r="H24" s="24" t="n">
        <x:v>91348482.7199999</x:v>
      </x:c>
      <x:c r="I24" s="24" t="n">
        <x:v>930.9695999999999</x:v>
      </x:c>
    </x:row>
    <x:row r="25" ht="19" customHeight="1">
      <x:c r="A25" s="19" t="n">
        <x:v>4</x:v>
      </x:c>
      <x:c r="B25" s="19" t="n">
        <x:v>4</x:v>
      </x:c>
      <x:c r="C25" s="19" t="n">
        <x:v>1</x:v>
      </x:c>
      <x:c r="D25" s="19" t="str">
        <x:v>雾潮湿地</x:v>
      </x:c>
      <x:c r="E25" s="22" t="n">
        <x:v>7</x:v>
      </x:c>
      <x:c r="F25" s="19" t="str">
        <x:v>本大陆</x:v>
      </x:c>
      <x:c r="G25" s="24" t="n">
        <x:v>21859807906.03142</x:v>
      </x:c>
      <x:c r="H25" s="24" t="n">
        <x:v>227005697.48571092</x:v>
      </x:c>
      <x:c r="I25" s="24" t="n">
        <x:v>882.2374133803496</x:v>
      </x:c>
    </x:row>
    <x:row r="26" ht="19" customHeight="1">
      <x:c r="A26" s="19" t="n">
        <x:v>4</x:v>
      </x:c>
      <x:c r="B26" s="19" t="n">
        <x:v>4</x:v>
      </x:c>
      <x:c r="C26" s="19" t="n">
        <x:v>2</x:v>
      </x:c>
      <x:c r="D26" s="19" t="str">
        <x:v>沉湖遗迹</x:v>
      </x:c>
      <x:c r="E26" s="22" t="n">
        <x:v>9.75</x:v>
      </x:c>
      <x:c r="F26" s="19" t="str">
        <x:v>本大陆</x:v>
      </x:c>
      <x:c r="G26" s="24" t="n">
        <x:v>21786468700.33497</x:v>
      </x:c>
      <x:c r="H26" s="24" t="n">
        <x:v>226244098.04194</x:v>
      </x:c>
      <x:c r="I26" s="24" t="n">
        <x:v>878.8943156847849</x:v>
      </x:c>
    </x:row>
    <x:row r="27" ht="19" customHeight="1">
      <x:c r="A27" s="19" t="n">
        <x:v>4</x:v>
      </x:c>
      <x:c r="B27" s="19" t="n">
        <x:v>4</x:v>
      </x:c>
      <x:c r="C27" s="19" t="n">
        <x:v>3</x:v>
      </x:c>
      <x:c r="D27" s="19" t="str">
        <x:v>湖心沉船</x:v>
      </x:c>
      <x:c r="E27" s="22" t="n">
        <x:v>4.75</x:v>
      </x:c>
      <x:c r="F27" s="19" t="str">
        <x:v>本大陆</x:v>
      </x:c>
      <x:c r="G27" s="24" t="n">
        <x:v>19705330406.145393</x:v>
      </x:c>
      <x:c r="H27" s="24" t="n">
        <x:v>204632277.29458678</x:v>
      </x:c>
      <x:c r="I27" s="24" t="n">
        <x:v>881.5261010382765</x:v>
      </x:c>
    </x:row>
    <x:row r="28" ht="19" customHeight="1">
      <x:c r="A28" s="19" t="n">
        <x:v>4</x:v>
      </x:c>
      <x:c r="B28" s="19" t="n">
        <x:v>4</x:v>
      </x:c>
      <x:c r="C28" s="19" t="n">
        <x:v>4</x:v>
      </x:c>
      <x:c r="D28" s="19" t="str">
        <x:v>幽灵船骸</x:v>
      </x:c>
      <x:c r="E28" s="22" t="n">
        <x:v>6.75</x:v>
      </x:c>
      <x:c r="F28" s="19" t="str">
        <x:v>本大陆</x:v>
      </x:c>
      <x:c r="G28" s="24" t="n">
        <x:v>22909271891.077362</x:v>
      </x:c>
      <x:c r="H28" s="24" t="n">
        <x:v>237903977.33041874</x:v>
      </x:c>
      <x:c r="I28" s="24" t="n">
        <x:v>890.4732941801642</x:v>
      </x:c>
    </x:row>
    <x:row r="29" ht="19" customHeight="1">
      <x:c r="A29" s="19" t="n">
        <x:v>4</x:v>
      </x:c>
      <x:c r="B29" s="19" t="n">
        <x:v>4</x:v>
      </x:c>
      <x:c r="C29" s="19" t="n">
        <x:v>5</x:v>
      </x:c>
      <x:c r="D29" s="19" t="str">
        <x:v>深湖水道</x:v>
      </x:c>
      <x:c r="E29" s="22" t="n">
        <x:v>2</x:v>
      </x:c>
      <x:c r="F29" s="19" t="str">
        <x:v>本大陆</x:v>
      </x:c>
      <x:c r="G29" s="24" t="n">
        <x:v>22806070692.385838</x:v>
      </x:c>
      <x:c r="H29" s="24" t="n">
        <x:v>236832272.57477602</x:v>
      </x:c>
      <x:c r="I29" s="24" t="n">
        <x:v>885.768966034682</x:v>
      </x:c>
    </x:row>
    <x:row r="30" ht="19" customHeight="1">
      <x:c r="A30" s="19" t="n">
        <x:v>4</x:v>
      </x:c>
      <x:c r="B30" s="19" t="n">
        <x:v>4</x:v>
      </x:c>
      <x:c r="C30" s="19" t="n">
        <x:v>6</x:v>
      </x:c>
      <x:c r="D30" s="19" t="str">
        <x:v>湖底密道</x:v>
      </x:c>
      <x:c r="E30" s="22" t="n">
        <x:v>11.5</x:v>
      </x:c>
      <x:c r="F30" s="19" t="str">
        <x:v>本大陆</x:v>
      </x:c>
      <x:c r="G30" s="24" t="n">
        <x:v>22273495861.636505</x:v>
      </x:c>
      <x:c r="H30" s="24" t="n">
        <x:v>231301687.79391757</x:v>
      </x:c>
      <x:c r="I30" s="24" t="n">
        <x:v>861.492050672889</x:v>
      </x:c>
    </x:row>
    <x:row r="31" ht="19" customHeight="1">
      <x:c r="A31" s="19" t="n">
        <x:v>5</x:v>
      </x:c>
      <x:c r="B31" s="19" t="n">
        <x:v>2</x:v>
      </x:c>
      <x:c r="C31" s="19" t="n">
        <x:v>2</x:v>
      </x:c>
      <x:c r="D31" s="19" t="str">
        <x:v>关卡前废墟</x:v>
      </x:c>
      <x:c r="E31" s="22" t="n">
        <x:v>1</x:v>
      </x:c>
      <x:c r="F31" s="19" t="str">
        <x:v>回访补料</x:v>
      </x:c>
      <x:c r="G31" s="24" t="n">
        <x:v>8688151577.6</x:v>
      </x:c>
      <x:c r="H31" s="24" t="n">
        <x:v>133799127.616</x:v>
      </x:c>
      <x:c r="I31" s="24" t="n">
        <x:v>1331.5010133333333</x:v>
      </x:c>
    </x:row>
    <x:row r="32" ht="19" customHeight="1">
      <x:c r="A32" s="19" t="n">
        <x:v>5</x:v>
      </x:c>
      <x:c r="B32" s="19" t="n">
        <x:v>2</x:v>
      </x:c>
      <x:c r="C32" s="19" t="n">
        <x:v>3</x:v>
      </x:c>
      <x:c r="D32" s="19" t="str">
        <x:v>迷雾丛林</x:v>
      </x:c>
      <x:c r="E32" s="22" t="n">
        <x:v>1.5</x:v>
      </x:c>
      <x:c r="F32" s="19" t="str">
        <x:v>回访补料</x:v>
      </x:c>
      <x:c r="G32" s="24" t="n">
        <x:v>8729407209.6</x:v>
      </x:c>
      <x:c r="H32" s="24" t="n">
        <x:v>134005405.7759999</x:v>
      </x:c>
      <x:c r="I32" s="24" t="n">
        <x:v>1331.5010133333333</x:v>
      </x:c>
    </x:row>
    <x:row r="33" ht="19" customHeight="1">
      <x:c r="A33" s="19" t="n">
        <x:v>5</x:v>
      </x:c>
      <x:c r="B33" s="19" t="n">
        <x:v>2</x:v>
      </x:c>
      <x:c r="C33" s="19" t="n">
        <x:v>4</x:v>
      </x:c>
      <x:c r="D33" s="19" t="str">
        <x:v>风暴山谷</x:v>
      </x:c>
      <x:c r="E33" s="22" t="n">
        <x:v>1</x:v>
      </x:c>
      <x:c r="F33" s="19" t="str">
        <x:v>回访补料</x:v>
      </x:c>
      <x:c r="G33" s="24" t="n">
        <x:v>8671791585.6</x:v>
      </x:c>
      <x:c r="H33" s="24" t="n">
        <x:v>133717327.65599966</x:v>
      </x:c>
      <x:c r="I33" s="24" t="n">
        <x:v>1331.5010133333333</x:v>
      </x:c>
    </x:row>
    <x:row r="34" ht="19" customHeight="1">
      <x:c r="A34" s="19" t="n">
        <x:v>5</x:v>
      </x:c>
      <x:c r="B34" s="19" t="n">
        <x:v>3</x:v>
      </x:c>
      <x:c r="C34" s="19" t="n">
        <x:v>1</x:v>
      </x:c>
      <x:c r="D34" s="19" t="str">
        <x:v>西境荒原</x:v>
      </x:c>
      <x:c r="E34" s="22" t="n">
        <x:v>0.5</x:v>
      </x:c>
      <x:c r="F34" s="19" t="str">
        <x:v>回访补料</x:v>
      </x:c>
      <x:c r="G34" s="24" t="n">
        <x:v>20459948256</x:v>
      </x:c>
      <x:c r="H34" s="24" t="n">
        <x:v>180656989.92</x:v>
      </x:c>
      <x:c r="I34" s="24" t="n">
        <x:v>1768.8167199999998</x:v>
      </x:c>
    </x:row>
    <x:row r="35" ht="19" customHeight="1">
      <x:c r="A35" s="19" t="n">
        <x:v>5</x:v>
      </x:c>
      <x:c r="B35" s="19" t="n">
        <x:v>5</x:v>
      </x:c>
      <x:c r="C35" s="19" t="n">
        <x:v>1</x:v>
      </x:c>
      <x:c r="D35" s="19" t="str">
        <x:v>雾月水庭</x:v>
      </x:c>
      <x:c r="E35" s="22" t="n">
        <x:v>4.75</x:v>
      </x:c>
      <x:c r="F35" s="19" t="str">
        <x:v>本大陆</x:v>
      </x:c>
      <x:c r="G35" s="24" t="n">
        <x:v>38422992420.1008</x:v>
      </x:c>
      <x:c r="H35" s="24" t="n">
        <x:v>458781999.0459797</x:v>
      </x:c>
      <x:c r="I35" s="24" t="n">
        <x:v>960.8387084610547</x:v>
      </x:c>
    </x:row>
    <x:row r="36" ht="19" customHeight="1">
      <x:c r="A36" s="19" t="n">
        <x:v>5</x:v>
      </x:c>
      <x:c r="B36" s="19" t="n">
        <x:v>5</x:v>
      </x:c>
      <x:c r="C36" s="19" t="n">
        <x:v>2</x:v>
      </x:c>
      <x:c r="D36" s="19" t="str">
        <x:v>辉石遗迹</x:v>
      </x:c>
      <x:c r="E36" s="22" t="n">
        <x:v>7.25</x:v>
      </x:c>
      <x:c r="F36" s="19" t="str">
        <x:v>本大陆</x:v>
      </x:c>
      <x:c r="G36" s="24" t="n">
        <x:v>38422992420.1008</x:v>
      </x:c>
      <x:c r="H36" s="24" t="n">
        <x:v>458781999.0459797</x:v>
      </x:c>
      <x:c r="I36" s="24" t="n">
        <x:v>960.8387084610546</x:v>
      </x:c>
    </x:row>
    <x:row r="37" ht="19" customHeight="1">
      <x:c r="A37" s="19" t="n">
        <x:v>5</x:v>
      </x:c>
      <x:c r="B37" s="19" t="n">
        <x:v>5</x:v>
      </x:c>
      <x:c r="C37" s="19" t="n">
        <x:v>3</x:v>
      </x:c>
      <x:c r="D37" s="19" t="str">
        <x:v>学院回廊</x:v>
      </x:c>
      <x:c r="E37" s="22" t="n">
        <x:v>4.5</x:v>
      </x:c>
      <x:c r="F37" s="19" t="str">
        <x:v>本大陆</x:v>
      </x:c>
      <x:c r="G37" s="24" t="n">
        <x:v>32982651808.086136</x:v>
      </x:c>
      <x:c r="H37" s="24" t="n">
        <x:v>393822708.1562524</x:v>
      </x:c>
      <x:c r="I37" s="24" t="n">
        <x:v>1068.5724033203203</x:v>
      </x:c>
    </x:row>
    <x:row r="38" ht="19" customHeight="1">
      <x:c r="A38" s="19" t="n">
        <x:v>5</x:v>
      </x:c>
      <x:c r="B38" s="19" t="n">
        <x:v>5</x:v>
      </x:c>
      <x:c r="C38" s="19" t="n">
        <x:v>4</x:v>
      </x:c>
      <x:c r="D38" s="19" t="str">
        <x:v>满月书库</x:v>
      </x:c>
      <x:c r="E38" s="22" t="n">
        <x:v>4.25</x:v>
      </x:c>
      <x:c r="F38" s="19" t="str">
        <x:v>本大陆</x:v>
      </x:c>
      <x:c r="G38" s="24" t="n">
        <x:v>36999363708.396484</x:v>
      </x:c>
      <x:c r="H38" s="24" t="n">
        <x:v>441783447.2644355</x:v>
      </x:c>
      <x:c r="I38" s="24" t="n">
        <x:v>977.0802424012098</x:v>
      </x:c>
    </x:row>
    <x:row r="39" ht="19" customHeight="1">
      <x:c r="A39" s="19" t="n">
        <x:v>5</x:v>
      </x:c>
      <x:c r="B39" s="19" t="n">
        <x:v>5</x:v>
      </x:c>
      <x:c r="C39" s="19" t="n">
        <x:v>5</x:v>
      </x:c>
      <x:c r="D39" s="19" t="str">
        <x:v>月影水宫</x:v>
      </x:c>
      <x:c r="E39" s="22" t="n">
        <x:v>4.5</x:v>
      </x:c>
      <x:c r="F39" s="19" t="str">
        <x:v>本大陆</x:v>
      </x:c>
      <x:c r="G39" s="24" t="n">
        <x:v>37432872509.952614</x:v>
      </x:c>
      <x:c r="H39" s="24" t="n">
        <x:v>446959671.7606282</x:v>
      </x:c>
      <x:c r="I39" s="24" t="n">
        <x:v>991.4586437795227</x:v>
      </x:c>
    </x:row>
    <x:row r="40" ht="19" customHeight="1">
      <x:c r="A40" s="19" t="n">
        <x:v>5</x:v>
      </x:c>
      <x:c r="B40" s="19" t="n">
        <x:v>5</x:v>
      </x:c>
      <x:c r="C40" s="19" t="n">
        <x:v>6</x:v>
      </x:c>
      <x:c r="D40" s="19" t="str">
        <x:v>卡利亚禁域</x:v>
      </x:c>
      <x:c r="E40" s="22" t="n">
        <x:v>8</x:v>
      </x:c>
      <x:c r="F40" s="19" t="str">
        <x:v>本大陆</x:v>
      </x:c>
      <x:c r="G40" s="24" t="n">
        <x:v>31899273224.645046</x:v>
      </x:c>
      <x:c r="H40" s="24" t="n">
        <x:v>380886844.47337365</x:v>
      </x:c>
      <x:c r="I40" s="24" t="n">
        <x:v>1061.4438261300866</x:v>
      </x:c>
    </x:row>
    <x:row r="41" ht="19" customHeight="1">
      <x:c r="A41" s="19" t="n">
        <x:v>6</x:v>
      </x:c>
      <x:c r="B41" s="19" t="n">
        <x:v>2</x:v>
      </x:c>
      <x:c r="C41" s="19" t="n">
        <x:v>2</x:v>
      </x:c>
      <x:c r="D41" s="19" t="str">
        <x:v>关卡前废墟</x:v>
      </x:c>
      <x:c r="E41" s="22" t="n">
        <x:v>1</x:v>
      </x:c>
      <x:c r="F41" s="19" t="str">
        <x:v>回访补料</x:v>
      </x:c>
      <x:c r="G41" s="24" t="n">
        <x:v>10590666521.6</x:v>
      </x:c>
      <x:c r="H41" s="24" t="n">
        <x:v>163098206.65600002</x:v>
      </x:c>
      <x:c r="I41" s="24" t="n">
        <x:v>1526.7202133333333</x:v>
      </x:c>
    </x:row>
    <x:row r="42" ht="19" customHeight="1">
      <x:c r="A42" s="19" t="n">
        <x:v>6</x:v>
      </x:c>
      <x:c r="B42" s="19" t="n">
        <x:v>5</x:v>
      </x:c>
      <x:c r="C42" s="19" t="n">
        <x:v>4</x:v>
      </x:c>
      <x:c r="D42" s="19" t="str">
        <x:v>满月书库</x:v>
      </x:c>
      <x:c r="E42" s="22" t="n">
        <x:v>1</x:v>
      </x:c>
      <x:c r="F42" s="19" t="str">
        <x:v>回访补料</x:v>
      </x:c>
      <x:c r="G42" s="24" t="n">
        <x:v>53678198112.00001</x:v>
      </x:c>
      <x:c r="H42" s="24" t="n">
        <x:v>640933708.8000001</x:v>
      </x:c>
      <x:c r="I42" s="24" t="n">
        <x:v>1426.32028</x:v>
      </x:c>
    </x:row>
    <x:row r="43" ht="19" customHeight="1">
      <x:c r="A43" s="19" t="n">
        <x:v>6</x:v>
      </x:c>
      <x:c r="B43" s="19" t="n">
        <x:v>6</x:v>
      </x:c>
      <x:c r="C43" s="19" t="n">
        <x:v>1</x:v>
      </x:c>
      <x:c r="D43" s="19" t="str">
        <x:v>猩红熔原</x:v>
      </x:c>
      <x:c r="E43" s="22" t="n">
        <x:v>10</x:v>
      </x:c>
      <x:c r="F43" s="19" t="str">
        <x:v>本大陆</x:v>
      </x:c>
      <x:c r="G43" s="24" t="n">
        <x:v>101796584120</x:v>
      </x:c>
      <x:c r="H43" s="24" t="n">
        <x:v>885187688</x:v>
      </x:c>
      <x:c r="I43" s="24" t="n">
        <x:v>1287.0609854666664</x:v>
      </x:c>
    </x:row>
    <x:row r="44" ht="19" customHeight="1">
      <x:c r="A44" s="19" t="n">
        <x:v>6</x:v>
      </x:c>
      <x:c r="B44" s="19" t="n">
        <x:v>6</x:v>
      </x:c>
      <x:c r="C44" s="19" t="n">
        <x:v>2</x:v>
      </x:c>
      <x:c r="D44" s="19" t="str">
        <x:v>腐败火狱</x:v>
      </x:c>
      <x:c r="E44" s="22" t="n">
        <x:v>11.25</x:v>
      </x:c>
      <x:c r="F44" s="19" t="str">
        <x:v>本大陆</x:v>
      </x:c>
      <x:c r="G44" s="24" t="n">
        <x:v>108341845920</x:v>
      </x:c>
      <x:c r="H44" s="24" t="n">
        <x:v>942103008</x:v>
      </x:c>
      <x:c r="I44" s="24" t="n">
        <x:v>1179.3819473333333</x:v>
      </x:c>
    </x:row>
    <x:row r="45" ht="19" customHeight="1">
      <x:c r="A45" s="19" t="n">
        <x:v>6</x:v>
      </x:c>
      <x:c r="B45" s="19" t="n">
        <x:v>6</x:v>
      </x:c>
      <x:c r="C45" s="19" t="n">
        <x:v>3</x:v>
      </x:c>
      <x:c r="D45" s="19" t="str">
        <x:v>红狮龙窟</x:v>
      </x:c>
      <x:c r="E45" s="22" t="n">
        <x:v>11.75</x:v>
      </x:c>
      <x:c r="F45" s="19" t="str">
        <x:v>本大陆</x:v>
      </x:c>
      <x:c r="G45" s="24" t="n">
        <x:v>120932502240</x:v>
      </x:c>
      <x:c r="H45" s="24" t="n">
        <x:v>1051586976</x:v>
      </x:c>
      <x:c r="I45" s="24" t="n">
        <x:v>1231.211285333333</x:v>
      </x:c>
    </x:row>
    <x:row r="46" ht="19" customHeight="1">
      <x:c r="A46" s="19" t="n">
        <x:v>7</x:v>
      </x:c>
      <x:c r="B46" s="19" t="n">
        <x:v>2</x:v>
      </x:c>
      <x:c r="C46" s="19" t="n">
        <x:v>4</x:v>
      </x:c>
      <x:c r="D46" s="19" t="str">
        <x:v>风暴山谷</x:v>
      </x:c>
      <x:c r="E46" s="22" t="n">
        <x:v>1</x:v>
      </x:c>
      <x:c r="F46" s="19" t="str">
        <x:v>回访补料</x:v>
      </x:c>
      <x:c r="G46" s="24" t="n">
        <x:v>13883932062</x:v>
      </x:c>
      <x:c r="H46" s="24" t="n">
        <x:v>214087512.86999944</x:v>
      </x:c>
      <x:c r="I46" s="24" t="n">
        <x:v>1867.3336000000002</x:v>
      </x:c>
    </x:row>
    <x:row r="47" ht="19" customHeight="1">
      <x:c r="A47" s="19" t="n">
        <x:v>7</x:v>
      </x:c>
      <x:c r="B47" s="19" t="n">
        <x:v>3</x:v>
      </x:c>
      <x:c r="C47" s="19" t="n">
        <x:v>1</x:v>
      </x:c>
      <x:c r="D47" s="19" t="str">
        <x:v>西境荒原</x:v>
      </x:c>
      <x:c r="E47" s="22" t="n">
        <x:v>1.75</x:v>
      </x:c>
      <x:c r="F47" s="19" t="str">
        <x:v>回访补料</x:v>
      </x:c>
      <x:c r="G47" s="24" t="n">
        <x:v>32757306120.000004</x:v>
      </x:c>
      <x:c r="H47" s="24" t="n">
        <x:v>289240043.40000004</x:v>
      </x:c>
      <x:c r="I47" s="24" t="n">
        <x:v>2593.9419000000003</x:v>
      </x:c>
    </x:row>
    <x:row r="48" ht="19" customHeight="1">
      <x:c r="A48" s="19" t="n">
        <x:v>7</x:v>
      </x:c>
      <x:c r="B48" s="19" t="n">
        <x:v>5</x:v>
      </x:c>
      <x:c r="C48" s="19" t="n">
        <x:v>1</x:v>
      </x:c>
      <x:c r="D48" s="19" t="str">
        <x:v>雾月水庭</x:v>
      </x:c>
      <x:c r="E48" s="22" t="n">
        <x:v>0.5</x:v>
      </x:c>
      <x:c r="F48" s="19" t="str">
        <x:v>回访补料</x:v>
      </x:c>
      <x:c r="G48" s="24" t="n">
        <x:v>92019741660.00002</x:v>
      </x:c>
      <x:c r="H48" s="24" t="n">
        <x:v>1098743184.0000002</x:v>
      </x:c>
      <x:c r="I48" s="24" t="n">
        <x:v>2315.6210000000005</x:v>
      </x:c>
    </x:row>
    <x:row r="49" ht="19" customHeight="1">
      <x:c r="A49" s="19" t="n">
        <x:v>7</x:v>
      </x:c>
      <x:c r="B49" s="19" t="n">
        <x:v>7</x:v>
      </x:c>
      <x:c r="C49" s="19" t="n">
        <x:v>1</x:v>
      </x:c>
      <x:c r="D49" s="19" t="str">
        <x:v>苍白雪原</x:v>
      </x:c>
      <x:c r="E49" s="22" t="n">
        <x:v>5.5</x:v>
      </x:c>
      <x:c r="F49" s="19" t="str">
        <x:v>本大陆</x:v>
      </x:c>
      <x:c r="G49" s="24" t="n">
        <x:v>117378268761.59999</x:v>
      </x:c>
      <x:c r="H49" s="24" t="n">
        <x:v>1177070594.304</x:v>
      </x:c>
      <x:c r="I49" s="24" t="n">
        <x:v>1484.4135680000002</x:v>
      </x:c>
    </x:row>
    <x:row r="50" ht="19" customHeight="1">
      <x:c r="A50" s="19" t="n">
        <x:v>7</x:v>
      </x:c>
      <x:c r="B50" s="19" t="n">
        <x:v>7</x:v>
      </x:c>
      <x:c r="C50" s="19" t="n">
        <x:v>2</x:v>
      </x:c>
      <x:c r="D50" s="19" t="str">
        <x:v>永冻荒境</x:v>
      </x:c>
      <x:c r="E50" s="22" t="n">
        <x:v>10.25</x:v>
      </x:c>
      <x:c r="F50" s="19" t="str">
        <x:v>本大陆</x:v>
      </x:c>
      <x:c r="G50" s="24" t="n">
        <x:v>109159730063.99998</x:v>
      </x:c>
      <x:c r="H50" s="24" t="n">
        <x:v>1094654996.16</x:v>
      </x:c>
      <x:c r="I50" s="24" t="n">
        <x:v>1504.1814186666666</x:v>
      </x:c>
    </x:row>
    <x:row r="51" ht="19" customHeight="1">
      <x:c r="A51" s="19" t="n">
        <x:v>7</x:v>
      </x:c>
      <x:c r="B51" s="19" t="n">
        <x:v>7</x:v>
      </x:c>
      <x:c r="C51" s="19" t="n">
        <x:v>3</x:v>
      </x:c>
      <x:c r="D51" s="19" t="str">
        <x:v>极寒禁域</x:v>
      </x:c>
      <x:c r="E51" s="22" t="n">
        <x:v>12.5</x:v>
      </x:c>
      <x:c r="F51" s="19" t="str">
        <x:v>本大陆</x:v>
      </x:c>
      <x:c r="G51" s="24" t="n">
        <x:v>113667547826.6777</x:v>
      </x:c>
      <x:c r="H51" s="24" t="n">
        <x:v>1139859443.1918938</x:v>
      </x:c>
      <x:c r="I51" s="24" t="n">
        <x:v>1456.4929666052365</x:v>
      </x:c>
    </x:row>
    <x:row r="52" ht="19" customHeight="1">
      <x:c r="A52" s="19" t="n">
        <x:v>8</x:v>
      </x:c>
      <x:c r="B52" s="19" t="n">
        <x:v>2</x:v>
      </x:c>
      <x:c r="C52" s="19" t="n">
        <x:v>3</x:v>
      </x:c>
      <x:c r="D52" s="19" t="str">
        <x:v>迷雾丛林</x:v>
      </x:c>
      <x:c r="E52" s="22" t="n">
        <x:v>1</x:v>
      </x:c>
      <x:c r="F52" s="19" t="str">
        <x:v>回访补料</x:v>
      </x:c>
      <x:c r="G52" s="24" t="n">
        <x:v>16867800180.000002</x:v>
      </x:c>
      <x:c r="H52" s="24" t="n">
        <x:v>258938133.30000004</x:v>
      </x:c>
      <x:c r="I52" s="24" t="n">
        <x:v>2162.6440000000002</x:v>
      </x:c>
    </x:row>
    <x:row r="53" ht="19" customHeight="1">
      <x:c r="A53" s="19" t="n">
        <x:v>8</x:v>
      </x:c>
      <x:c r="B53" s="19" t="n">
        <x:v>8</x:v>
      </x:c>
      <x:c r="C53" s="19" t="n">
        <x:v>1</x:v>
      </x:c>
      <x:c r="D53" s="19" t="str">
        <x:v>寒霜山径</x:v>
      </x:c>
      <x:c r="E53" s="22" t="n">
        <x:v>8.5</x:v>
      </x:c>
      <x:c r="F53" s="19" t="str">
        <x:v>本大陆</x:v>
      </x:c>
      <x:c r="G53" s="24" t="n">
        <x:v>186437859300.00003</x:v>
      </x:c>
      <x:c r="H53" s="24" t="n">
        <x:v>1620441207.0000002</x:v>
      </x:c>
      <x:c r="I53" s="24" t="n">
        <x:v>1881.34716</x:v>
      </x:c>
    </x:row>
    <x:row r="54" ht="19" customHeight="1">
      <x:c r="A54" s="19" t="n">
        <x:v>8</x:v>
      </x:c>
      <x:c r="B54" s="19" t="n">
        <x:v>8</x:v>
      </x:c>
      <x:c r="C54" s="19" t="n">
        <x:v>2</x:v>
      </x:c>
      <x:c r="D54" s="19" t="str">
        <x:v>断冰峰群</x:v>
      </x:c>
      <x:c r="E54" s="22" t="n">
        <x:v>4.25</x:v>
      </x:c>
      <x:c r="F54" s="19" t="str">
        <x:v>本大陆</x:v>
      </x:c>
      <x:c r="G54" s="24" t="n">
        <x:v>186437859300.00003</x:v>
      </x:c>
      <x:c r="H54" s="24" t="n">
        <x:v>1620441207.0000002</x:v>
      </x:c>
      <x:c r="I54" s="24" t="n">
        <x:v>1881.34716</x:v>
      </x:c>
    </x:row>
    <x:row r="55" ht="19" customHeight="1">
      <x:c r="A55" s="19" t="n">
        <x:v>8</x:v>
      </x:c>
      <x:c r="B55" s="19" t="n">
        <x:v>8</x:v>
      </x:c>
      <x:c r="C55" s="19" t="n">
        <x:v>3</x:v>
      </x:c>
      <x:c r="D55" s="19" t="str">
        <x:v>冰宫王庭</x:v>
      </x:c>
      <x:c r="E55" s="22" t="n">
        <x:v>8.25</x:v>
      </x:c>
      <x:c r="F55" s="19" t="str">
        <x:v>本大陆</x:v>
      </x:c>
      <x:c r="G55" s="24" t="n">
        <x:v>199295642700.00003</x:v>
      </x:c>
      <x:c r="H55" s="24" t="n">
        <x:v>1732195773.0000002</x:v>
      </x:c>
      <x:c r="I55" s="24" t="n">
        <x:v>1639.3915999999997</x:v>
      </x:c>
    </x:row>
    <x:row r="56" ht="19" customHeight="1">
      <x:c r="A56" s="19" t="n">
        <x:v>8</x:v>
      </x:c>
      <x:c r="B56" s="19" t="n">
        <x:v>8</x:v>
      </x:c>
      <x:c r="C56" s="19" t="n">
        <x:v>4</x:v>
      </x:c>
      <x:c r="D56" s="19" t="str">
        <x:v>巨人王庭</x:v>
      </x:c>
      <x:c r="E56" s="22" t="n">
        <x:v>4.25</x:v>
      </x:c>
      <x:c r="F56" s="19" t="str">
        <x:v>本大陆</x:v>
      </x:c>
      <x:c r="G56" s="24" t="n">
        <x:v>180008967600</x:v>
      </x:c>
      <x:c r="H56" s="24" t="n">
        <x:v>1564563924</x:v>
      </x:c>
      <x:c r="I56" s="24" t="n">
        <x:v>1850.9260000000002</x:v>
      </x:c>
    </x:row>
    <x:row r="57" ht="19" customHeight="1">
      <x:c r="A57" s="19" t="n">
        <x:v>9</x:v>
      </x:c>
      <x:c r="B57" s="19" t="n">
        <x:v>2</x:v>
      </x:c>
      <x:c r="C57" s="19" t="n">
        <x:v>4</x:v>
      </x:c>
      <x:c r="D57" s="19" t="str">
        <x:v>风暴山谷</x:v>
      </x:c>
      <x:c r="E57" s="22" t="n">
        <x:v>1</x:v>
      </x:c>
      <x:c r="F57" s="19" t="str">
        <x:v>回访补料</x:v>
      </x:c>
      <x:c r="G57" s="24" t="n">
        <x:v>21419314488</x:v>
      </x:c>
      <x:c r="H57" s="24" t="n">
        <x:v>330281633.88000065</x:v>
      </x:c>
      <x:c r="I57" s="24" t="n">
        <x:v>2642.0064</x:v>
      </x:c>
    </x:row>
    <x:row r="58" ht="19" customHeight="1">
      <x:c r="A58" s="19" t="n">
        <x:v>9</x:v>
      </x:c>
      <x:c r="B58" s="19" t="n">
        <x:v>3</x:v>
      </x:c>
      <x:c r="C58" s="19" t="n">
        <x:v>1</x:v>
      </x:c>
      <x:c r="D58" s="19" t="str">
        <x:v>西境荒原</x:v>
      </x:c>
      <x:c r="E58" s="22" t="n">
        <x:v>1.25</x:v>
      </x:c>
      <x:c r="F58" s="19" t="str">
        <x:v>回访补料</x:v>
      </x:c>
      <x:c r="G58" s="24" t="n">
        <x:v>50536046880</x:v>
      </x:c>
      <x:c r="H58" s="24" t="n">
        <x:v>446222541.59999996</x:v>
      </x:c>
      <x:c r="I58" s="24" t="n">
        <x:v>3612.0876000000007</x:v>
      </x:c>
    </x:row>
    <x:row r="59" ht="19" customHeight="1">
      <x:c r="A59" s="19" t="n">
        <x:v>9</x:v>
      </x:c>
      <x:c r="B59" s="19" t="n">
        <x:v>5</x:v>
      </x:c>
      <x:c r="C59" s="19" t="n">
        <x:v>1</x:v>
      </x:c>
      <x:c r="D59" s="19" t="str">
        <x:v>雾月水庭</x:v>
      </x:c>
      <x:c r="E59" s="22" t="n">
        <x:v>0.5</x:v>
      </x:c>
      <x:c r="F59" s="19" t="str">
        <x:v>回访补料</x:v>
      </x:c>
      <x:c r="G59" s="24" t="n">
        <x:v>141962649840</x:v>
      </x:c>
      <x:c r="H59" s="24" t="n">
        <x:v>1695076416</x:v>
      </x:c>
      <x:c r="I59" s="24" t="n">
        <x:v>3353.9440000000004</x:v>
      </x:c>
    </x:row>
    <x:row r="60" ht="19" customHeight="1">
      <x:c r="A60" s="19" t="n">
        <x:v>9</x:v>
      </x:c>
      <x:c r="B60" s="19" t="n">
        <x:v>7</x:v>
      </x:c>
      <x:c r="C60" s="19" t="n">
        <x:v>1</x:v>
      </x:c>
      <x:c r="D60" s="19" t="str">
        <x:v>苍白雪原</x:v>
      </x:c>
      <x:c r="E60" s="22" t="n">
        <x:v>0.75</x:v>
      </x:c>
      <x:c r="F60" s="19" t="str">
        <x:v>回访补料</x:v>
      </x:c>
      <x:c r="G60" s="24" t="n">
        <x:v>237841990848</x:v>
      </x:c>
      <x:c r="H60" s="24" t="n">
        <x:v>2385082149.12</x:v>
      </x:c>
      <x:c r="I60" s="24" t="n">
        <x:v>3007.8470400000006</x:v>
      </x:c>
    </x:row>
    <x:row r="61" ht="19" customHeight="1">
      <x:c r="A61" s="19" t="n">
        <x:v>9</x:v>
      </x:c>
      <x:c r="B61" s="19" t="n">
        <x:v>9</x:v>
      </x:c>
      <x:c r="C61" s="19" t="n">
        <x:v>1</x:v>
      </x:c>
      <x:c r="D61" s="19" t="str">
        <x:v>金叶古道</x:v>
      </x:c>
      <x:c r="E61" s="22" t="n">
        <x:v>5.5</x:v>
      </x:c>
      <x:c r="F61" s="19" t="str">
        <x:v>本大陆</x:v>
      </x:c>
      <x:c r="G61" s="24" t="n">
        <x:v>228796444800</x:v>
      </x:c>
      <x:c r="H61" s="24" t="n">
        <x:v>3196420920</x:v>
      </x:c>
      <x:c r="I61" s="24" t="n">
        <x:v>2021.3578</x:v>
      </x:c>
    </x:row>
    <x:row r="62" ht="19" customHeight="1">
      <x:c r="A62" s="19" t="n">
        <x:v>9</x:v>
      </x:c>
      <x:c r="B62" s="19" t="n">
        <x:v>9</x:v>
      </x:c>
      <x:c r="C62" s="19" t="n">
        <x:v>2</x:v>
      </x:c>
      <x:c r="D62" s="19" t="str">
        <x:v>高原矿脉</x:v>
      </x:c>
      <x:c r="E62" s="22" t="n">
        <x:v>6.25</x:v>
      </x:c>
      <x:c r="F62" s="19" t="str">
        <x:v>本大陆</x:v>
      </x:c>
      <x:c r="G62" s="24" t="n">
        <x:v>228461204664</x:v>
      </x:c>
      <x:c r="H62" s="24" t="n">
        <x:v>3191737418.1</x:v>
      </x:c>
      <x:c r="I62" s="24" t="n">
        <x:v>2053.381205333333</x:v>
      </x:c>
    </x:row>
    <x:row r="63" ht="19" customHeight="1">
      <x:c r="A63" s="19" t="n">
        <x:v>9</x:v>
      </x:c>
      <x:c r="B63" s="19" t="n">
        <x:v>9</x:v>
      </x:c>
      <x:c r="C63" s="19" t="n">
        <x:v>3</x:v>
      </x:c>
      <x:c r="D63" s="19" t="str">
        <x:v>古王陵园</x:v>
      </x:c>
      <x:c r="E63" s="22" t="n">
        <x:v>4.25</x:v>
      </x:c>
      <x:c r="F63" s="19" t="str">
        <x:v>本大陆</x:v>
      </x:c>
      <x:c r="G63" s="24" t="n">
        <x:v>227521996416</x:v>
      </x:c>
      <x:c r="H63" s="24" t="n">
        <x:v>3178616126.4</x:v>
      </x:c>
      <x:c r="I63" s="24" t="n">
        <x:v>2010.0983759999997</x:v>
      </x:c>
    </x:row>
    <x:row r="64" ht="19" customHeight="1">
      <x:c r="A64" s="19" t="n">
        <x:v>9</x:v>
      </x:c>
      <x:c r="B64" s="19" t="n">
        <x:v>9</x:v>
      </x:c>
      <x:c r="C64" s="19" t="n">
        <x:v>4</x:v>
      </x:c>
      <x:c r="D64" s="19" t="str">
        <x:v>黄金圣堂</x:v>
      </x:c>
      <x:c r="E64" s="22" t="n">
        <x:v>5.5</x:v>
      </x:c>
      <x:c r="F64" s="19" t="str">
        <x:v>本大陆</x:v>
      </x:c>
      <x:c r="G64" s="24" t="n">
        <x:v>227791895760.00003</x:v>
      </x:c>
      <x:c r="H64" s="24" t="n">
        <x:v>3182386779.0000005</x:v>
      </x:c>
      <x:c r="I64" s="24" t="n">
        <x:v>2045.9261680000002</x:v>
      </x:c>
    </x:row>
    <x:row r="65" ht="19" customHeight="1">
      <x:c r="A65" s="19" t="n">
        <x:v>9</x:v>
      </x:c>
      <x:c r="B65" s="19" t="n">
        <x:v>9</x:v>
      </x:c>
      <x:c r="C65" s="19" t="n">
        <x:v>5</x:v>
      </x:c>
      <x:c r="D65" s="19" t="str">
        <x:v>王城前垒</x:v>
      </x:c>
      <x:c r="E65" s="22" t="n">
        <x:v>8.5</x:v>
      </x:c>
      <x:c r="F65" s="19" t="str">
        <x:v>本大陆</x:v>
      </x:c>
      <x:c r="G65" s="24" t="n">
        <x:v>222979321454.3658</x:v>
      </x:c>
      <x:c r="H65" s="24" t="n">
        <x:v>3115152285.0242286</x:v>
      </x:c>
      <x:c r="I65" s="24" t="n">
        <x:v>1956.566232808982</x:v>
      </x:c>
    </x:row>
    <x:row r="66" ht="19" customHeight="1">
      <x:c r="A66" s="19" t="n">
        <x:v>10</x:v>
      </x:c>
      <x:c r="B66" s="19" t="n">
        <x:v>2</x:v>
      </x:c>
      <x:c r="C66" s="19" t="n">
        <x:v>5</x:v>
      </x:c>
      <x:c r="D66" s="19" t="str">
        <x:v>史东薇尔王城</x:v>
      </x:c>
      <x:c r="E66" s="22" t="n">
        <x:v>1</x:v>
      </x:c>
      <x:c r="F66" s="19" t="str">
        <x:v>回访补料</x:v>
      </x:c>
      <x:c r="G66" s="24" t="n">
        <x:v>28707222297.6</x:v>
      </x:c>
      <x:c r="H66" s="24" t="n">
        <x:v>437097409.05600065</x:v>
      </x:c>
      <x:c r="I66" s="24" t="n">
        <x:v>3336.3580800000004</x:v>
      </x:c>
    </x:row>
    <x:row r="67" ht="19" customHeight="1">
      <x:c r="A67" s="19" t="n">
        <x:v>10</x:v>
      </x:c>
      <x:c r="B67" s="19" t="n">
        <x:v>8</x:v>
      </x:c>
      <x:c r="C67" s="19" t="n">
        <x:v>1</x:v>
      </x:c>
      <x:c r="D67" s="19" t="str">
        <x:v>寒霜山径</x:v>
      </x:c>
      <x:c r="E67" s="22" t="n">
        <x:v>1.25</x:v>
      </x:c>
      <x:c r="F67" s="19" t="str">
        <x:v>回访补料</x:v>
      </x:c>
      <x:c r="G67" s="24" t="n">
        <x:v>378321368040</x:v>
      </x:c>
      <x:c r="H67" s="24" t="n">
        <x:v>3288213759.6</x:v>
      </x:c>
      <x:c r="I67" s="24" t="n">
        <x:v>3817.6464480000004</x:v>
      </x:c>
    </x:row>
    <x:row r="68" ht="19" customHeight="1">
      <x:c r="A68" s="19" t="n">
        <x:v>10</x:v>
      </x:c>
      <x:c r="B68" s="19" t="n">
        <x:v>8</x:v>
      </x:c>
      <x:c r="C68" s="19" t="n">
        <x:v>4</x:v>
      </x:c>
      <x:c r="D68" s="19" t="str">
        <x:v>巨人王庭</x:v>
      </x:c>
      <x:c r="E68" s="22" t="n">
        <x:v>2.5</x:v>
      </x:c>
      <x:c r="F68" s="19" t="str">
        <x:v>回访补料</x:v>
      </x:c>
      <x:c r="G68" s="24" t="n">
        <x:v>302657094432</x:v>
      </x:c>
      <x:c r="H68" s="24" t="n">
        <x:v>2630571007.68</x:v>
      </x:c>
      <x:c r="I68" s="24" t="n">
        <x:v>3112.04432</x:v>
      </x:c>
    </x:row>
    <x:row r="69" ht="19" customHeight="1">
      <x:c r="A69" s="19" t="n">
        <x:v>10</x:v>
      </x:c>
      <x:c r="B69" s="19" t="n">
        <x:v>10</x:v>
      </x:c>
      <x:c r="C69" s="19" t="n">
        <x:v>1</x:v>
      </x:c>
      <x:c r="D69" s="19" t="str">
        <x:v>王城下城区</x:v>
      </x:c>
      <x:c r="E69" s="22" t="n">
        <x:v>10</x:v>
      </x:c>
      <x:c r="F69" s="19" t="str">
        <x:v>本大陆</x:v>
      </x:c>
      <x:c r="G69" s="24" t="n">
        <x:v>389558400000.00006</x:v>
      </x:c>
      <x:c r="H69" s="24" t="n">
        <x:v>4674700800</x:v>
      </x:c>
      <x:c r="I69" s="24" t="n">
        <x:v>2600.875200000001</x:v>
      </x:c>
    </x:row>
    <x:row r="70" ht="19" customHeight="1">
      <x:c r="A70" s="19" t="n">
        <x:v>10</x:v>
      </x:c>
      <x:c r="B70" s="19" t="n">
        <x:v>10</x:v>
      </x:c>
      <x:c r="C70" s="19" t="n">
        <x:v>2</x:v>
      </x:c>
      <x:c r="D70" s="19" t="str">
        <x:v>黄金排水道</x:v>
      </x:c>
      <x:c r="E70" s="22" t="n">
        <x:v>4.25</x:v>
      </x:c>
      <x:c r="F70" s="19" t="str">
        <x:v>本大陆</x:v>
      </x:c>
      <x:c r="G70" s="24" t="n">
        <x:v>389558400000.00006</x:v>
      </x:c>
      <x:c r="H70" s="24" t="n">
        <x:v>4674700800</x:v>
      </x:c>
      <x:c r="I70" s="24" t="n">
        <x:v>2600.875200000001</x:v>
      </x:c>
    </x:row>
    <x:row r="71" ht="19" customHeight="1">
      <x:c r="A71" s="19" t="n">
        <x:v>10</x:v>
      </x:c>
      <x:c r="B71" s="19" t="n">
        <x:v>10</x:v>
      </x:c>
      <x:c r="C71" s="19" t="n">
        <x:v>3</x:v>
      </x:c>
      <x:c r="D71" s="19" t="str">
        <x:v>王城矿井</x:v>
      </x:c>
      <x:c r="E71" s="22" t="n">
        <x:v>11.75</x:v>
      </x:c>
      <x:c r="F71" s="19" t="str">
        <x:v>本大陆</x:v>
      </x:c>
      <x:c r="G71" s="24" t="n">
        <x:v>418126016000</x:v>
      </x:c>
      <x:c r="H71" s="24" t="n">
        <x:v>5017512192.000001</x:v>
      </x:c>
      <x:c r="I71" s="24" t="n">
        <x:v>2275.09744</x:v>
      </x:c>
    </x:row>
    <x:row r="72" ht="19" customHeight="1">
      <x:c r="A72" s="19" t="n">
        <x:v>10</x:v>
      </x:c>
      <x:c r="B72" s="19" t="n">
        <x:v>10</x:v>
      </x:c>
      <x:c r="C72" s="19" t="n">
        <x:v>4</x:v>
      </x:c>
      <x:c r="D72" s="19" t="str">
        <x:v>王城地穴</x:v>
      </x:c>
      <x:c r="E72" s="22" t="n">
        <x:v>4.25</x:v>
      </x:c>
      <x:c r="F72" s="19" t="str">
        <x:v>本大陆</x:v>
      </x:c>
      <x:c r="G72" s="24" t="n">
        <x:v>412009567200</x:v>
      </x:c>
      <x:c r="H72" s="24" t="n">
        <x:v>4944114806.400001</x:v>
      </x:c>
      <x:c r="I72" s="24" t="n">
        <x:v>2585.980320000001</x:v>
      </x:c>
    </x:row>
    <x:row r="73" ht="19" customHeight="1">
      <x:c r="A73" s="19" t="n">
        <x:v>10</x:v>
      </x:c>
      <x:c r="B73" s="19" t="n">
        <x:v>10</x:v>
      </x:c>
      <x:c r="C73" s="19" t="n">
        <x:v>5</x:v>
      </x:c>
      <x:c r="D73" s="19" t="str">
        <x:v>黄金王宫</x:v>
      </x:c>
      <x:c r="E73" s="22" t="n">
        <x:v>7.5</x:v>
      </x:c>
      <x:c r="F73" s="19" t="str">
        <x:v>本大陆</x:v>
      </x:c>
      <x:c r="G73" s="24" t="n">
        <x:v>431813058600.00006</x:v>
      </x:c>
      <x:c r="H73" s="24" t="n">
        <x:v>5181756703.2</x:v>
      </x:c>
      <x:c r="I73" s="24" t="n">
        <x:v>2579.02876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7438f669beb4ae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22" hidden="0" customWidth="1"/>
    <x:col min="5" max="5" width="27" hidden="0" customWidth="1"/>
    <x:col min="6" max="6" width="27" hidden="0" customWidth="1"/>
    <x:col min="7" max="7" width="24" hidden="0" customWidth="1"/>
    <x:col min="8" max="8" width="22" hidden="0" customWidth="1"/>
  </x:cols>
  <x:sheetData>
    <x:row r="1" ht="30" customHeight="1">
      <x:c r="A1" s="4" t="str">
        <x:v>07 · 回刷与敏感性</x:v>
      </x:c>
      <x:c r="B1" s="4"/>
      <x:c r="C1" s="4"/>
      <x:c r="D1" s="4"/>
      <x:c r="E1" s="4"/>
      <x:c r="F1" s="4"/>
      <x:c r="G1" s="4"/>
      <x:c r="H1" s="4"/>
    </x:row>
    <x:row r="2" ht="34" customHeight="1">
      <x:c r="A2" s="9" t="str">
        <x:v>给定同一底板，分别改变效率、供给、爆率；概率先封顶后计鞭尸。C10回刷使用C10面板爆率，击杀仍受刷新供给上限约束。</x:v>
      </x:c>
      <x:c r="B2" s="9"/>
      <x:c r="C2" s="9"/>
      <x:c r="D2" s="9"/>
      <x:c r="E2" s="9"/>
      <x:c r="F2" s="9"/>
      <x:c r="G2" s="9"/>
      <x:c r="H2" s="9"/>
    </x:row>
    <x:row r="4" ht="30" customHeight="1">
      <x:c r="A4" s="14" t="str">
        <x:v>大陆</x:v>
      </x:c>
      <x:c r="B4" s="14" t="str">
        <x:v>组序</x:v>
      </x:c>
      <x:c r="C4" s="14" t="str">
        <x:v>情景</x:v>
      </x:c>
      <x:c r="D4" s="14" t="str">
        <x:v>击杀每小时</x:v>
      </x:c>
      <x:c r="E4" s="14" t="str">
        <x:v>金币毛额每小时</x:v>
      </x:c>
      <x:c r="F4" s="14" t="str">
        <x:v>元宝毛额每小时</x:v>
      </x:c>
      <x:c r="G4" s="14" t="str">
        <x:v>失色毛额每小时</x:v>
      </x:c>
      <x:c r="H4" s="14" t="str">
        <x:v>神器每小时</x:v>
      </x:c>
    </x:row>
    <x:row r="5" ht="19" customHeight="1">
      <x:c r="A5" s="19" t="n">
        <x:v>1</x:v>
      </x:c>
      <x:c r="B5" s="19" t="n">
        <x:v>1</x:v>
      </x:c>
      <x:c r="C5" s="19" t="str">
        <x:v>基础</x:v>
      </x:c>
      <x:c r="D5" s="34" t="n">
        <x:v>369.5526148544906</x:v>
      </x:c>
      <x:c r="E5" s="34" t="n">
        <x:v>1301698649.0726647</x:v>
      </x:c>
      <x:c r="F5" s="34" t="n">
        <x:v>16162621.796805505</x:v>
      </x:c>
      <x:c r="G5" s="34" t="n">
        <x:v>242.90320637634824</x:v>
      </x:c>
      <x:c r="H5" s="36" t="n">
        <x:v>0</x:v>
      </x:c>
    </x:row>
    <x:row r="6" ht="19" customHeight="1">
      <x:c r="A6" s="19" t="n">
        <x:v>1</x:v>
      </x:c>
      <x:c r="B6" s="19" t="n">
        <x:v>1</x:v>
      </x:c>
      <x:c r="C6" s="19" t="str">
        <x:v>效率70%</x:v>
      </x:c>
      <x:c r="D6" s="34" t="n">
        <x:v>258.68683039814334</x:v>
      </x:c>
      <x:c r="E6" s="34" t="n">
        <x:v>911189054.3508655</x:v>
      </x:c>
      <x:c r="F6" s="34" t="n">
        <x:v>11313835.257763855</x:v>
      </x:c>
      <x:c r="G6" s="34" t="n">
        <x:v>170.0322444634438</x:v>
      </x:c>
      <x:c r="H6" s="36" t="n">
        <x:v>0</x:v>
      </x:c>
    </x:row>
    <x:row r="7" ht="19" customHeight="1">
      <x:c r="A7" s="19" t="n">
        <x:v>1</x:v>
      </x:c>
      <x:c r="B7" s="19" t="n">
        <x:v>1</x:v>
      </x:c>
      <x:c r="C7" s="19" t="str">
        <x:v>效率130%</x:v>
      </x:c>
      <x:c r="D7" s="34" t="n">
        <x:v>400.55174127103027</x:v>
      </x:c>
      <x:c r="E7" s="34" t="n">
        <x:v>1428082019.055523</x:v>
      </x:c>
      <x:c r="F7" s="34" t="n">
        <x:v>17735777.398169108</x:v>
      </x:c>
      <x:c r="G7" s="34" t="n">
        <x:v>265.5575041028081</x:v>
      </x:c>
      <x:c r="H7" s="36" t="n">
        <x:v>0</x:v>
      </x:c>
    </x:row>
    <x:row r="8" ht="19" customHeight="1">
      <x:c r="A8" s="19" t="n">
        <x:v>1</x:v>
      </x:c>
      <x:c r="B8" s="19" t="n">
        <x:v>1</x:v>
      </x:c>
      <x:c r="C8" s="19" t="str">
        <x:v>抢怪可用50%</x:v>
      </x:c>
      <x:c r="D8" s="34" t="n">
        <x:v>206</x:v>
      </x:c>
      <x:c r="E8" s="34" t="n">
        <x:v>754969250</x:v>
      </x:c>
      <x:c r="F8" s="34" t="n">
        <x:v>9381096.25</x:v>
      </x:c>
      <x:c r="G8" s="34" t="n">
        <x:v>143.75</x:v>
      </x:c>
      <x:c r="H8" s="36" t="n">
        <x:v>0</x:v>
      </x:c>
    </x:row>
    <x:row r="9" ht="19" customHeight="1">
      <x:c r="A9" s="19" t="n">
        <x:v>1</x:v>
      </x:c>
      <x:c r="B9" s="19" t="n">
        <x:v>1</x:v>
      </x:c>
      <x:c r="C9" s="19" t="str">
        <x:v>爆率80%</x:v>
      </x:c>
      <x:c r="D9" s="34" t="n">
        <x:v>369.5526148544906</x:v>
      </x:c>
      <x:c r="E9" s="34" t="n">
        <x:v>1041358919.2581311</x:v>
      </x:c>
      <x:c r="F9" s="34" t="n">
        <x:v>12930097.4374444</x:v>
      </x:c>
      <x:c r="G9" s="34" t="n">
        <x:v>194.32256510107862</x:v>
      </x:c>
      <x:c r="H9" s="36" t="n">
        <x:v>0</x:v>
      </x:c>
    </x:row>
    <x:row r="10" ht="19" customHeight="1">
      <x:c r="A10" s="19" t="n">
        <x:v>1</x:v>
      </x:c>
      <x:c r="B10" s="19" t="n">
        <x:v>1</x:v>
      </x:c>
      <x:c r="C10" s="19" t="str">
        <x:v>爆率120%</x:v>
      </x:c>
      <x:c r="D10" s="34" t="n">
        <x:v>369.5526148544906</x:v>
      </x:c>
      <x:c r="E10" s="34" t="n">
        <x:v>1562038378.8871949</x:v>
      </x:c>
      <x:c r="F10" s="34" t="n">
        <x:v>19395146.15616658</x:v>
      </x:c>
      <x:c r="G10" s="34" t="n">
        <x:v>291.48384765161785</x:v>
      </x:c>
      <x:c r="H10" s="36" t="n">
        <x:v>0</x:v>
      </x:c>
    </x:row>
    <x:row r="11" ht="19" customHeight="1">
      <x:c r="A11" s="19" t="n">
        <x:v>1</x:v>
      </x:c>
      <x:c r="B11" s="19" t="n">
        <x:v>1</x:v>
      </x:c>
      <x:c r="C11" s="19" t="str">
        <x:v>C10回刷</x:v>
      </x:c>
      <x:c r="D11" s="34" t="n">
        <x:v>412</x:v>
      </x:c>
      <x:c r="E11" s="34" t="n">
        <x:v>15171100513.800064</x:v>
      </x:c>
      <x:c r="F11" s="34" t="n">
        <x:v>188513047.5689998</x:v>
      </x:c>
      <x:c r="G11" s="34" t="n">
        <x:v>2228.2854000000007</x:v>
      </x:c>
      <x:c r="H11" s="36" t="n">
        <x:v>0</x:v>
      </x:c>
    </x:row>
    <x:row r="12" ht="19" customHeight="1">
      <x:c r="A12" s="19" t="n">
        <x:v>1</x:v>
      </x:c>
      <x:c r="B12" s="19" t="n">
        <x:v>2</x:v>
      </x:c>
      <x:c r="C12" s="19" t="str">
        <x:v>基础</x:v>
      </x:c>
      <x:c r="D12" s="34" t="n">
        <x:v>406.13299046884794</x:v>
      </x:c>
      <x:c r="E12" s="34" t="n">
        <x:v>1510797160.327457</x:v>
      </x:c>
      <x:c r="F12" s="34" t="n">
        <x:v>18038901.87665194</x:v>
      </x:c>
      <x:c r="G12" s="34" t="n">
        <x:v>291.25549964559497</x:v>
      </x:c>
      <x:c r="H12" s="36" t="n">
        <x:v>0</x:v>
      </x:c>
    </x:row>
    <x:row r="13" ht="19" customHeight="1">
      <x:c r="A13" s="19" t="n">
        <x:v>1</x:v>
      </x:c>
      <x:c r="B13" s="19" t="n">
        <x:v>2</x:v>
      </x:c>
      <x:c r="C13" s="19" t="str">
        <x:v>效率70%</x:v>
      </x:c>
      <x:c r="D13" s="34" t="n">
        <x:v>284.29309332819355</x:v>
      </x:c>
      <x:c r="E13" s="34" t="n">
        <x:v>1057558012.2292198</x:v>
      </x:c>
      <x:c r="F13" s="34" t="n">
        <x:v>12627231.31365634</x:v>
      </x:c>
      <x:c r="G13" s="34" t="n">
        <x:v>203.87884975191653</x:v>
      </x:c>
      <x:c r="H13" s="36" t="n">
        <x:v>0</x:v>
      </x:c>
    </x:row>
    <x:row r="14" ht="19" customHeight="1">
      <x:c r="A14" s="19" t="n">
        <x:v>1</x:v>
      </x:c>
      <x:c r="B14" s="19" t="n">
        <x:v>2</x:v>
      </x:c>
      <x:c r="C14" s="19" t="str">
        <x:v>效率130%</x:v>
      </x:c>
      <x:c r="D14" s="34" t="n">
        <x:v>468.6785312217977</x:v>
      </x:c>
      <x:c r="E14" s="34" t="n">
        <x:v>1745573981.51368</x:v>
      </x:c>
      <x:c r="F14" s="34" t="n">
        <x:v>20846851.24547748</x:v>
      </x:c>
      <x:c r="G14" s="34" t="n">
        <x:v>328.76264625732006</x:v>
      </x:c>
      <x:c r="H14" s="36" t="n">
        <x:v>0</x:v>
      </x:c>
    </x:row>
    <x:row r="15" ht="19" customHeight="1">
      <x:c r="A15" s="19" t="n">
        <x:v>1</x:v>
      </x:c>
      <x:c r="B15" s="19" t="n">
        <x:v>2</x:v>
      </x:c>
      <x:c r="C15" s="19" t="str">
        <x:v>抢怪可用50%</x:v>
      </x:c>
      <x:c r="D15" s="34" t="n">
        <x:v>242</x:v>
      </x:c>
      <x:c r="E15" s="34" t="n">
        <x:v>917976000.0000001</x:v>
      </x:c>
      <x:c r="F15" s="34" t="n">
        <x:v>10972380</x:v>
      </x:c>
      <x:c r="G15" s="34" t="n">
        <x:v>174.79999999999995</x:v>
      </x:c>
      <x:c r="H15" s="36" t="n">
        <x:v>0</x:v>
      </x:c>
    </x:row>
    <x:row r="16" ht="19" customHeight="1">
      <x:c r="A16" s="19" t="n">
        <x:v>1</x:v>
      </x:c>
      <x:c r="B16" s="19" t="n">
        <x:v>2</x:v>
      </x:c>
      <x:c r="C16" s="19" t="str">
        <x:v>爆率80%</x:v>
      </x:c>
      <x:c r="D16" s="34" t="n">
        <x:v>406.13299046884794</x:v>
      </x:c>
      <x:c r="E16" s="34" t="n">
        <x:v>1208637728.2619636</x:v>
      </x:c>
      <x:c r="F16" s="34" t="n">
        <x:v>14431121.501321495</x:v>
      </x:c>
      <x:c r="G16" s="34" t="n">
        <x:v>233.00439971647597</x:v>
      </x:c>
      <x:c r="H16" s="36" t="n">
        <x:v>0</x:v>
      </x:c>
    </x:row>
    <x:row r="17" ht="19" customHeight="1">
      <x:c r="A17" s="19" t="n">
        <x:v>1</x:v>
      </x:c>
      <x:c r="B17" s="19" t="n">
        <x:v>2</x:v>
      </x:c>
      <x:c r="C17" s="19" t="str">
        <x:v>爆率120%</x:v>
      </x:c>
      <x:c r="D17" s="34" t="n">
        <x:v>406.13299046884794</x:v>
      </x:c>
      <x:c r="E17" s="34" t="n">
        <x:v>1812956592.3929484</x:v>
      </x:c>
      <x:c r="F17" s="34" t="n">
        <x:v>21646682.251982324</x:v>
      </x:c>
      <x:c r="G17" s="34" t="n">
        <x:v>349.5065995747144</x:v>
      </x:c>
      <x:c r="H17" s="36" t="n">
        <x:v>0</x:v>
      </x:c>
    </x:row>
    <x:row r="18" ht="19" customHeight="1">
      <x:c r="A18" s="19" t="n">
        <x:v>1</x:v>
      </x:c>
      <x:c r="B18" s="19" t="n">
        <x:v>2</x:v>
      </x:c>
      <x:c r="C18" s="19" t="str">
        <x:v>C10回刷</x:v>
      </x:c>
      <x:c r="D18" s="34" t="n">
        <x:v>484</x:v>
      </x:c>
      <x:c r="E18" s="34" t="n">
        <x:v>18446719737.600037</x:v>
      </x:c>
      <x:c r="F18" s="34" t="n">
        <x:v>220489880.68800002</x:v>
      </x:c>
      <x:c r="G18" s="34" t="n">
        <x:v>2852.234879999998</x:v>
      </x:c>
      <x:c r="H18" s="36" t="n">
        <x:v>0</x:v>
      </x:c>
    </x:row>
    <x:row r="19" ht="19" customHeight="1">
      <x:c r="A19" s="19" t="n">
        <x:v>1</x:v>
      </x:c>
      <x:c r="B19" s="19" t="n">
        <x:v>3</x:v>
      </x:c>
      <x:c r="C19" s="19" t="str">
        <x:v>基础</x:v>
      </x:c>
      <x:c r="D19" s="34" t="n">
        <x:v>394.4458922042672</x:v>
      </x:c>
      <x:c r="E19" s="34" t="n">
        <x:v>1463980561.1160028</x:v>
      </x:c>
      <x:c r="F19" s="34" t="n">
        <x:v>17553252.58051134</x:v>
      </x:c>
      <x:c r="G19" s="34" t="n">
        <x:v>286.7961507921655</x:v>
      </x:c>
      <x:c r="H19" s="36" t="n">
        <x:v>0</x:v>
      </x:c>
    </x:row>
    <x:row r="20" ht="19" customHeight="1">
      <x:c r="A20" s="19" t="n">
        <x:v>1</x:v>
      </x:c>
      <x:c r="B20" s="19" t="n">
        <x:v>3</x:v>
      </x:c>
      <x:c r="C20" s="19" t="str">
        <x:v>效率70%</x:v>
      </x:c>
      <x:c r="D20" s="34" t="n">
        <x:v>276.112124542987</x:v>
      </x:c>
      <x:c r="E20" s="34" t="n">
        <x:v>1024786392.7811986</x:v>
      </x:c>
      <x:c r="F20" s="34" t="n">
        <x:v>12287276.806357913</x:v>
      </x:c>
      <x:c r="G20" s="34" t="n">
        <x:v>200.75730555451588</x:v>
      </x:c>
      <x:c r="H20" s="36" t="n">
        <x:v>0</x:v>
      </x:c>
    </x:row>
    <x:row r="21" ht="19" customHeight="1">
      <x:c r="A21" s="19" t="n">
        <x:v>1</x:v>
      </x:c>
      <x:c r="B21" s="19" t="n">
        <x:v>3</x:v>
      </x:c>
      <x:c r="C21" s="19" t="str">
        <x:v>效率130%</x:v>
      </x:c>
      <x:c r="D21" s="34" t="n">
        <x:v>474.25834331392747</x:v>
      </x:c>
      <x:c r="E21" s="34" t="n">
        <x:v>1751780915.7751322</x:v>
      </x:c>
      <x:c r="F21" s="34" t="n">
        <x:v>20998768.39814206</x:v>
      </x:c>
      <x:c r="G21" s="34" t="n">
        <x:v>330.92849135169433</x:v>
      </x:c>
      <x:c r="H21" s="36" t="n">
        <x:v>0</x:v>
      </x:c>
    </x:row>
    <x:row r="22" ht="19" customHeight="1">
      <x:c r="A22" s="19" t="n">
        <x:v>1</x:v>
      </x:c>
      <x:c r="B22" s="19" t="n">
        <x:v>3</x:v>
      </x:c>
      <x:c r="C22" s="19" t="str">
        <x:v>抢怪可用50%</x:v>
      </x:c>
      <x:c r="D22" s="34" t="n">
        <x:v>242</x:v>
      </x:c>
      <x:c r="E22" s="34" t="n">
        <x:v>912565968.7500001</x:v>
      </x:c>
      <x:c r="F22" s="34" t="n">
        <x:v>10945329.84375</x:v>
      </x:c>
      <x:c r="G22" s="34" t="n">
        <x:v>174.80000000000004</x:v>
      </x:c>
      <x:c r="H22" s="36" t="n">
        <x:v>0</x:v>
      </x:c>
    </x:row>
    <x:row r="23" ht="19" customHeight="1">
      <x:c r="A23" s="19" t="n">
        <x:v>1</x:v>
      </x:c>
      <x:c r="B23" s="19" t="n">
        <x:v>3</x:v>
      </x:c>
      <x:c r="C23" s="19" t="str">
        <x:v>爆率80%</x:v>
      </x:c>
      <x:c r="D23" s="34" t="n">
        <x:v>394.4458922042672</x:v>
      </x:c>
      <x:c r="E23" s="34" t="n">
        <x:v>1171184448.8927953</x:v>
      </x:c>
      <x:c r="F23" s="34" t="n">
        <x:v>14042602.064409008</x:v>
      </x:c>
      <x:c r="G23" s="34" t="n">
        <x:v>229.43692063373237</x:v>
      </x:c>
      <x:c r="H23" s="36" t="n">
        <x:v>0</x:v>
      </x:c>
    </x:row>
    <x:row r="24" ht="19" customHeight="1">
      <x:c r="A24" s="19" t="n">
        <x:v>1</x:v>
      </x:c>
      <x:c r="B24" s="19" t="n">
        <x:v>3</x:v>
      </x:c>
      <x:c r="C24" s="19" t="str">
        <x:v>爆率120%</x:v>
      </x:c>
      <x:c r="D24" s="34" t="n">
        <x:v>394.4458922042672</x:v>
      </x:c>
      <x:c r="E24" s="34" t="n">
        <x:v>1756776673.3392031</x:v>
      </x:c>
      <x:c r="F24" s="34" t="n">
        <x:v>21063903.096613616</x:v>
      </x:c>
      <x:c r="G24" s="34" t="n">
        <x:v>344.1553809505987</x:v>
      </x:c>
      <x:c r="H24" s="36" t="n">
        <x:v>0</x:v>
      </x:c>
    </x:row>
    <x:row r="25" ht="19" customHeight="1">
      <x:c r="A25" s="19" t="n">
        <x:v>1</x:v>
      </x:c>
      <x:c r="B25" s="19" t="n">
        <x:v>3</x:v>
      </x:c>
      <x:c r="C25" s="19" t="str">
        <x:v>C10回刷</x:v>
      </x:c>
      <x:c r="D25" s="34" t="n">
        <x:v>484</x:v>
      </x:c>
      <x:c r="E25" s="34" t="n">
        <x:v>18338005206.67497</x:v>
      </x:c>
      <x:c r="F25" s="34" t="n">
        <x:v>219946308.03337467</x:v>
      </x:c>
      <x:c r="G25" s="34" t="n">
        <x:v>2852.2348799999995</x:v>
      </x:c>
      <x:c r="H25" s="36" t="n">
        <x:v>0</x:v>
      </x:c>
    </x:row>
    <x:row r="26" ht="19" customHeight="1">
      <x:c r="A26" s="19" t="n">
        <x:v>2</x:v>
      </x:c>
      <x:c r="B26" s="19" t="n">
        <x:v>1</x:v>
      </x:c>
      <x:c r="C26" s="19" t="str">
        <x:v>基础</x:v>
      </x:c>
      <x:c r="D26" s="34" t="n">
        <x:v>483.07895351678224</x:v>
      </x:c>
      <x:c r="E26" s="34" t="n">
        <x:v>3642308631.113095</x:v>
      </x:c>
      <x:c r="F26" s="34" t="n">
        <x:v>56602815.942523934</x:v>
      </x:c>
      <x:c r="G26" s="34" t="n">
        <x:v>579.8050031966121</x:v>
      </x:c>
      <x:c r="H26" s="36" t="n">
        <x:v>0.0007744197028769509</x:v>
      </x:c>
    </x:row>
    <x:row r="27" ht="19" customHeight="1">
      <x:c r="A27" s="19" t="n">
        <x:v>2</x:v>
      </x:c>
      <x:c r="B27" s="19" t="n">
        <x:v>1</x:v>
      </x:c>
      <x:c r="C27" s="19" t="str">
        <x:v>效率70%</x:v>
      </x:c>
      <x:c r="D27" s="34" t="n">
        <x:v>338.15526746174754</x:v>
      </x:c>
      <x:c r="E27" s="34" t="n">
        <x:v>2549616041.7791634</x:v>
      </x:c>
      <x:c r="F27" s="34" t="n">
        <x:v>39621971.15976673</x:v>
      </x:c>
      <x:c r="G27" s="34" t="n">
        <x:v>405.8635022376284</x:v>
      </x:c>
      <x:c r="H27" s="36" t="n">
        <x:v>0.0005420937920138656</x:v>
      </x:c>
    </x:row>
    <x:row r="28" ht="19" customHeight="1">
      <x:c r="A28" s="19" t="n">
        <x:v>2</x:v>
      </x:c>
      <x:c r="B28" s="19" t="n">
        <x:v>1</x:v>
      </x:c>
      <x:c r="C28" s="19" t="str">
        <x:v>效率130%</x:v>
      </x:c>
      <x:c r="D28" s="34" t="n">
        <x:v>484</x:v>
      </x:c>
      <x:c r="E28" s="34" t="n">
        <x:v>3658273740.0000005</x:v>
      </x:c>
      <x:c r="F28" s="34" t="n">
        <x:v>56858283.9</x:v>
      </x:c>
      <x:c r="G28" s="34" t="n">
        <x:v>582.9120000000001</x:v>
      </x:c>
      <x:c r="H28" s="36" t="n">
        <x:v>0.0007772160000000002</x:v>
      </x:c>
    </x:row>
    <x:row r="29" ht="19" customHeight="1">
      <x:c r="A29" s="19" t="n">
        <x:v>2</x:v>
      </x:c>
      <x:c r="B29" s="19" t="n">
        <x:v>1</x:v>
      </x:c>
      <x:c r="C29" s="19" t="str">
        <x:v>抢怪可用50%</x:v>
      </x:c>
      <x:c r="D29" s="34" t="n">
        <x:v>242</x:v>
      </x:c>
      <x:c r="E29" s="34" t="n">
        <x:v>1829136870.0000002</x:v>
      </x:c>
      <x:c r="F29" s="34" t="n">
        <x:v>28429141.95</x:v>
      </x:c>
      <x:c r="G29" s="34" t="n">
        <x:v>291.4560000000001</x:v>
      </x:c>
      <x:c r="H29" s="36" t="n">
        <x:v>0.0003886080000000001</x:v>
      </x:c>
    </x:row>
    <x:row r="30" ht="19" customHeight="1">
      <x:c r="A30" s="19" t="n">
        <x:v>2</x:v>
      </x:c>
      <x:c r="B30" s="19" t="n">
        <x:v>1</x:v>
      </x:c>
      <x:c r="C30" s="19" t="str">
        <x:v>爆率80%</x:v>
      </x:c>
      <x:c r="D30" s="34" t="n">
        <x:v>483.07895351678224</x:v>
      </x:c>
      <x:c r="E30" s="34" t="n">
        <x:v>2913846904.8904734</x:v>
      </x:c>
      <x:c r="F30" s="34" t="n">
        <x:v>45282252.75401913</x:v>
      </x:c>
      <x:c r="G30" s="34" t="n">
        <x:v>463.84400255728974</x:v>
      </x:c>
      <x:c r="H30" s="36" t="n">
        <x:v>0.0006195357623015606</x:v>
      </x:c>
    </x:row>
    <x:row r="31" ht="19" customHeight="1">
      <x:c r="A31" s="19" t="n">
        <x:v>2</x:v>
      </x:c>
      <x:c r="B31" s="19" t="n">
        <x:v>1</x:v>
      </x:c>
      <x:c r="C31" s="19" t="str">
        <x:v>爆率120%</x:v>
      </x:c>
      <x:c r="D31" s="34" t="n">
        <x:v>483.07895351678224</x:v>
      </x:c>
      <x:c r="E31" s="34" t="n">
        <x:v>4370770357.335707</x:v>
      </x:c>
      <x:c r="F31" s="34" t="n">
        <x:v>67923379.13102874</x:v>
      </x:c>
      <x:c r="G31" s="34" t="n">
        <x:v>695.7660038359345</x:v>
      </x:c>
      <x:c r="H31" s="36" t="n">
        <x:v>0.000929303643452341</x:v>
      </x:c>
    </x:row>
    <x:row r="32" ht="19" customHeight="1">
      <x:c r="A32" s="19" t="n">
        <x:v>2</x:v>
      </x:c>
      <x:c r="B32" s="19" t="n">
        <x:v>1</x:v>
      </x:c>
      <x:c r="C32" s="19" t="str">
        <x:v>C10回刷</x:v>
      </x:c>
      <x:c r="D32" s="34" t="n">
        <x:v>484</x:v>
      </x:c>
      <x:c r="E32" s="34" t="n">
        <x:v>27845825376.6</x:v>
      </x:c>
      <x:c r="F32" s="34" t="n">
        <x:v>432790424.4510009</x:v>
      </x:c>
      <x:c r="G32" s="34" t="n">
        <x:v>3336.3580800000004</x:v>
      </x:c>
      <x:c r="H32" s="36" t="n">
        <x:v>0.0059159654400000004</x:v>
      </x:c>
    </x:row>
    <x:row r="33" ht="19" customHeight="1">
      <x:c r="A33" s="19" t="n">
        <x:v>2</x:v>
      </x:c>
      <x:c r="B33" s="19" t="n">
        <x:v>2</x:v>
      </x:c>
      <x:c r="C33" s="19" t="str">
        <x:v>基础</x:v>
      </x:c>
      <x:c r="D33" s="34" t="n">
        <x:v>481.4943610314955</x:v>
      </x:c>
      <x:c r="E33" s="34" t="n">
        <x:v>3674982057.9567304</x:v>
      </x:c>
      <x:c r="F33" s="34" t="n">
        <x:v>56574406.43859865</x:v>
      </x:c>
      <x:c r="G33" s="34" t="n">
        <x:v>576.1247449652192</x:v>
      </x:c>
      <x:c r="H33" s="36" t="n">
        <x:v>0.0007718396304686973</x:v>
      </x:c>
    </x:row>
    <x:row r="34" ht="19" customHeight="1">
      <x:c r="A34" s="19" t="n">
        <x:v>2</x:v>
      </x:c>
      <x:c r="B34" s="19" t="n">
        <x:v>2</x:v>
      </x:c>
      <x:c r="C34" s="19" t="str">
        <x:v>效率70%</x:v>
      </x:c>
      <x:c r="D34" s="34" t="n">
        <x:v>337.0460527220468</x:v>
      </x:c>
      <x:c r="E34" s="34" t="n">
        <x:v>2572487440.5697083</x:v>
      </x:c>
      <x:c r="F34" s="34" t="n">
        <x:v>39602084.50701901</x:v>
      </x:c>
      <x:c r="G34" s="34" t="n">
        <x:v>403.2873214756536</x:v>
      </x:c>
      <x:c r="H34" s="36" t="n">
        <x:v>0.000540287741328088</x:v>
      </x:c>
    </x:row>
    <x:row r="35" ht="19" customHeight="1">
      <x:c r="A35" s="19" t="n">
        <x:v>2</x:v>
      </x:c>
      <x:c r="B35" s="19" t="n">
        <x:v>2</x:v>
      </x:c>
      <x:c r="C35" s="19" t="str">
        <x:v>效率130%</x:v>
      </x:c>
      <x:c r="D35" s="34" t="n">
        <x:v>484</x:v>
      </x:c>
      <x:c r="E35" s="34" t="n">
        <x:v>3719040512</x:v>
      </x:c>
      <x:c r="F35" s="34" t="n">
        <x:v>57273905.91999996</x:v>
      </x:c>
      <x:c r="G35" s="34" t="n">
        <x:v>584.6015999999998</x:v>
      </x:c>
      <x:c r="H35" s="36" t="n">
        <x:v>0.0007794687999999999</x:v>
      </x:c>
    </x:row>
    <x:row r="36" ht="19" customHeight="1">
      <x:c r="A36" s="19" t="n">
        <x:v>2</x:v>
      </x:c>
      <x:c r="B36" s="19" t="n">
        <x:v>2</x:v>
      </x:c>
      <x:c r="C36" s="19" t="str">
        <x:v>抢怪可用50%</x:v>
      </x:c>
      <x:c r="D36" s="34" t="n">
        <x:v>242</x:v>
      </x:c>
      <x:c r="E36" s="34" t="n">
        <x:v>1859520256</x:v>
      </x:c>
      <x:c r="F36" s="34" t="n">
        <x:v>28636952.95999998</x:v>
      </x:c>
      <x:c r="G36" s="34" t="n">
        <x:v>292.3007999999999</x:v>
      </x:c>
      <x:c r="H36" s="36" t="n">
        <x:v>0.00038973439999999995</x:v>
      </x:c>
    </x:row>
    <x:row r="37" ht="19" customHeight="1">
      <x:c r="A37" s="19" t="n">
        <x:v>2</x:v>
      </x:c>
      <x:c r="B37" s="19" t="n">
        <x:v>2</x:v>
      </x:c>
      <x:c r="C37" s="19" t="str">
        <x:v>爆率80%</x:v>
      </x:c>
      <x:c r="D37" s="34" t="n">
        <x:v>481.4943610314955</x:v>
      </x:c>
      <x:c r="E37" s="34" t="n">
        <x:v>2939985646.3653812</x:v>
      </x:c>
      <x:c r="F37" s="34" t="n">
        <x:v>45259525.150878996</x:v>
      </x:c>
      <x:c r="G37" s="34" t="n">
        <x:v>460.8997959721754</x:v>
      </x:c>
      <x:c r="H37" s="36" t="n">
        <x:v>0.000617471704374958</x:v>
      </x:c>
    </x:row>
    <x:row r="38" ht="19" customHeight="1">
      <x:c r="A38" s="19" t="n">
        <x:v>2</x:v>
      </x:c>
      <x:c r="B38" s="19" t="n">
        <x:v>2</x:v>
      </x:c>
      <x:c r="C38" s="19" t="str">
        <x:v>爆率120%</x:v>
      </x:c>
      <x:c r="D38" s="34" t="n">
        <x:v>481.4943610314955</x:v>
      </x:c>
      <x:c r="E38" s="34" t="n">
        <x:v>4409978469.548076</x:v>
      </x:c>
      <x:c r="F38" s="34" t="n">
        <x:v>67889287.72631843</x:v>
      </x:c>
      <x:c r="G38" s="34" t="n">
        <x:v>691.3496939582632</x:v>
      </x:c>
      <x:c r="H38" s="36" t="n">
        <x:v>0.0009262075565624368</x:v>
      </x:c>
    </x:row>
    <x:row r="39" ht="19" customHeight="1">
      <x:c r="A39" s="19" t="n">
        <x:v>2</x:v>
      </x:c>
      <x:c r="B39" s="19" t="n">
        <x:v>2</x:v>
      </x:c>
      <x:c r="C39" s="19" t="str">
        <x:v>C10回刷</x:v>
      </x:c>
      <x:c r="D39" s="34" t="n">
        <x:v>484</x:v>
      </x:c>
      <x:c r="E39" s="34" t="n">
        <x:v>28226550105.6</x:v>
      </x:c>
      <x:c r="F39" s="34" t="n">
        <x:v>434694048.0960006</x:v>
      </x:c>
      <x:c r="G39" s="34" t="n">
        <x:v>3336.3580800000004</x:v>
      </x:c>
      <x:c r="H39" s="36" t="n">
        <x:v>0.0059159654400000004</x:v>
      </x:c>
    </x:row>
    <x:row r="40" ht="19" customHeight="1">
      <x:c r="A40" s="19" t="n">
        <x:v>2</x:v>
      </x:c>
      <x:c r="B40" s="19" t="n">
        <x:v>3</x:v>
      </x:c>
      <x:c r="C40" s="19" t="str">
        <x:v>基础</x:v>
      </x:c>
      <x:c r="D40" s="34" t="n">
        <x:v>479.9923188055654</x:v>
      </x:c>
      <x:c r="E40" s="34" t="n">
        <x:v>3666688005.0665755</x:v>
      </x:c>
      <x:c r="F40" s="34" t="n">
        <x:v>56245668.34537546</x:v>
      </x:c>
      <x:c r="G40" s="34" t="n">
        <x:v>571.0431692213172</x:v>
      </x:c>
      <x:c r="H40" s="36" t="n">
        <x:v>0.0007672662122991855</x:v>
      </x:c>
    </x:row>
    <x:row r="41" ht="19" customHeight="1">
      <x:c r="A41" s="19" t="n">
        <x:v>2</x:v>
      </x:c>
      <x:c r="B41" s="19" t="n">
        <x:v>3</x:v>
      </x:c>
      <x:c r="C41" s="19" t="str">
        <x:v>效率70%</x:v>
      </x:c>
      <x:c r="D41" s="34" t="n">
        <x:v>335.99462316389577</x:v>
      </x:c>
      <x:c r="E41" s="34" t="n">
        <x:v>2566681603.546606</x:v>
      </x:c>
      <x:c r="F41" s="34" t="n">
        <x:v>39371967.84176282</x:v>
      </x:c>
      <x:c r="G41" s="34" t="n">
        <x:v>399.7302184549221</x:v>
      </x:c>
      <x:c r="H41" s="36" t="n">
        <x:v>0.0005370863486094298</x:v>
      </x:c>
    </x:row>
    <x:row r="42" ht="19" customHeight="1">
      <x:c r="A42" s="19" t="n">
        <x:v>2</x:v>
      </x:c>
      <x:c r="B42" s="19" t="n">
        <x:v>3</x:v>
      </x:c>
      <x:c r="C42" s="19" t="str">
        <x:v>效率130%</x:v>
      </x:c>
      <x:c r="D42" s="34" t="n">
        <x:v>484</x:v>
      </x:c>
      <x:c r="E42" s="34" t="n">
        <x:v>3736700352</x:v>
      </x:c>
      <x:c r="F42" s="34" t="n">
        <x:v>57362205.11999991</x:v>
      </x:c>
      <x:c r="G42" s="34" t="n">
        <x:v>584.6015999999998</x:v>
      </x:c>
      <x:c r="H42" s="36" t="n">
        <x:v>0.0007794687999999999</x:v>
      </x:c>
    </x:row>
    <x:row r="43" ht="19" customHeight="1">
      <x:c r="A43" s="19" t="n">
        <x:v>2</x:v>
      </x:c>
      <x:c r="B43" s="19" t="n">
        <x:v>3</x:v>
      </x:c>
      <x:c r="C43" s="19" t="str">
        <x:v>抢怪可用50%</x:v>
      </x:c>
      <x:c r="D43" s="34" t="n">
        <x:v>242</x:v>
      </x:c>
      <x:c r="E43" s="34" t="n">
        <x:v>1868350176</x:v>
      </x:c>
      <x:c r="F43" s="34" t="n">
        <x:v>28681102.559999954</x:v>
      </x:c>
      <x:c r="G43" s="34" t="n">
        <x:v>292.3007999999999</x:v>
      </x:c>
      <x:c r="H43" s="36" t="n">
        <x:v>0.00038973439999999995</x:v>
      </x:c>
    </x:row>
    <x:row r="44" ht="19" customHeight="1">
      <x:c r="A44" s="19" t="n">
        <x:v>2</x:v>
      </x:c>
      <x:c r="B44" s="19" t="n">
        <x:v>3</x:v>
      </x:c>
      <x:c r="C44" s="19" t="str">
        <x:v>爆率80%</x:v>
      </x:c>
      <x:c r="D44" s="34" t="n">
        <x:v>479.9923188055654</x:v>
      </x:c>
      <x:c r="E44" s="34" t="n">
        <x:v>2933350404.0532646</x:v>
      </x:c>
      <x:c r="F44" s="34" t="n">
        <x:v>44996534.67630028</x:v>
      </x:c>
      <x:c r="G44" s="34" t="n">
        <x:v>456.83453537705384</x:v>
      </x:c>
      <x:c r="H44" s="36" t="n">
        <x:v>0.0006138129698393485</x:v>
      </x:c>
    </x:row>
    <x:row r="45" ht="19" customHeight="1">
      <x:c r="A45" s="19" t="n">
        <x:v>2</x:v>
      </x:c>
      <x:c r="B45" s="19" t="n">
        <x:v>3</x:v>
      </x:c>
      <x:c r="C45" s="19" t="str">
        <x:v>爆率120%</x:v>
      </x:c>
      <x:c r="D45" s="34" t="n">
        <x:v>479.9923188055654</x:v>
      </x:c>
      <x:c r="E45" s="34" t="n">
        <x:v>4400025606.0798855</x:v>
      </x:c>
      <x:c r="F45" s="34" t="n">
        <x:v>67494802.01445062</x:v>
      </x:c>
      <x:c r="G45" s="34" t="n">
        <x:v>685.2518030655808</x:v>
      </x:c>
      <x:c r="H45" s="36" t="n">
        <x:v>0.0009207194547590225</x:v>
      </x:c>
    </x:row>
    <x:row r="46" ht="19" customHeight="1">
      <x:c r="A46" s="19" t="n">
        <x:v>2</x:v>
      </x:c>
      <x:c r="B46" s="19" t="n">
        <x:v>3</x:v>
      </x:c>
      <x:c r="C46" s="19" t="str">
        <x:v>C10回刷</x:v>
      </x:c>
      <x:c r="D46" s="34" t="n">
        <x:v>484</x:v>
      </x:c>
      <x:c r="E46" s="34" t="n">
        <x:v>28360583697.6</x:v>
      </x:c>
      <x:c r="F46" s="34" t="n">
        <x:v>435364216.0560016</x:v>
      </x:c>
      <x:c r="G46" s="34" t="n">
        <x:v>3336.3580800000004</x:v>
      </x:c>
      <x:c r="H46" s="36" t="n">
        <x:v>0.0059159654400000004</x:v>
      </x:c>
    </x:row>
    <x:row r="47" ht="19" customHeight="1">
      <x:c r="A47" s="19" t="n">
        <x:v>2</x:v>
      </x:c>
      <x:c r="B47" s="19" t="n">
        <x:v>4</x:v>
      </x:c>
      <x:c r="C47" s="19" t="str">
        <x:v>基础</x:v>
      </x:c>
      <x:c r="D47" s="34" t="n">
        <x:v>480.44993482569186</x:v>
      </x:c>
      <x:c r="E47" s="34" t="n">
        <x:v>3639200827.2787395</x:v>
      </x:c>
      <x:c r="F47" s="34" t="n">
        <x:v>56085926.34523464</x:v>
      </x:c>
      <x:c r="G47" s="34" t="n">
        <x:v>570.9364468120007</x:v>
      </x:c>
      <x:c r="H47" s="36" t="n">
        <x:v>0.0007664380021308007</x:v>
      </x:c>
    </x:row>
    <x:row r="48" ht="19" customHeight="1">
      <x:c r="A48" s="19" t="n">
        <x:v>2</x:v>
      </x:c>
      <x:c r="B48" s="19" t="n">
        <x:v>4</x:v>
      </x:c>
      <x:c r="C48" s="19" t="str">
        <x:v>效率70%</x:v>
      </x:c>
      <x:c r="D48" s="34" t="n">
        <x:v>336.3149543779843</x:v>
      </x:c>
      <x:c r="E48" s="34" t="n">
        <x:v>2547440579.0951166</x:v>
      </x:c>
      <x:c r="F48" s="34" t="n">
        <x:v>39260148.44166417</x:v>
      </x:c>
      <x:c r="G48" s="34" t="n">
        <x:v>399.6555127684004</x:v>
      </x:c>
      <x:c r="H48" s="36" t="n">
        <x:v>0.0005365066014915604</x:v>
      </x:c>
    </x:row>
    <x:row r="49" ht="19" customHeight="1">
      <x:c r="A49" s="19" t="n">
        <x:v>2</x:v>
      </x:c>
      <x:c r="B49" s="19" t="n">
        <x:v>4</x:v>
      </x:c>
      <x:c r="C49" s="19" t="str">
        <x:v>效率130%</x:v>
      </x:c>
      <x:c r="D49" s="34" t="n">
        <x:v>484</x:v>
      </x:c>
      <x:c r="E49" s="34" t="n">
        <x:v>3701309040.0000005</x:v>
      </x:c>
      <x:c r="F49" s="34" t="n">
        <x:v>57073460.4</x:v>
      </x:c>
      <x:c r="G49" s="34" t="n">
        <x:v>582.9120000000001</x:v>
      </x:c>
      <x:c r="H49" s="36" t="n">
        <x:v>0.0007772160000000002</x:v>
      </x:c>
    </x:row>
    <x:row r="50" ht="19" customHeight="1">
      <x:c r="A50" s="19" t="n">
        <x:v>2</x:v>
      </x:c>
      <x:c r="B50" s="19" t="n">
        <x:v>4</x:v>
      </x:c>
      <x:c r="C50" s="19" t="str">
        <x:v>抢怪可用50%</x:v>
      </x:c>
      <x:c r="D50" s="34" t="n">
        <x:v>242</x:v>
      </x:c>
      <x:c r="E50" s="34" t="n">
        <x:v>1850654520.0000002</x:v>
      </x:c>
      <x:c r="F50" s="34" t="n">
        <x:v>28536730.2</x:v>
      </x:c>
      <x:c r="G50" s="34" t="n">
        <x:v>291.4560000000001</x:v>
      </x:c>
      <x:c r="H50" s="36" t="n">
        <x:v>0.0003886080000000001</x:v>
      </x:c>
    </x:row>
    <x:row r="51" ht="19" customHeight="1">
      <x:c r="A51" s="19" t="n">
        <x:v>2</x:v>
      </x:c>
      <x:c r="B51" s="19" t="n">
        <x:v>4</x:v>
      </x:c>
      <x:c r="C51" s="19" t="str">
        <x:v>爆率80%</x:v>
      </x:c>
      <x:c r="D51" s="34" t="n">
        <x:v>480.44993482569186</x:v>
      </x:c>
      <x:c r="E51" s="34" t="n">
        <x:v>2911360661.8229866</x:v>
      </x:c>
      <x:c r="F51" s="34" t="n">
        <x:v>44868741.07618777</x:v>
      </x:c>
      <x:c r="G51" s="34" t="n">
        <x:v>456.7491574496005</x:v>
      </x:c>
      <x:c r="H51" s="36" t="n">
        <x:v>0.0006131504017046403</x:v>
      </x:c>
    </x:row>
    <x:row r="52" ht="19" customHeight="1">
      <x:c r="A52" s="19" t="n">
        <x:v>2</x:v>
      </x:c>
      <x:c r="B52" s="19" t="n">
        <x:v>4</x:v>
      </x:c>
      <x:c r="C52" s="19" t="str">
        <x:v>爆率120%</x:v>
      </x:c>
      <x:c r="D52" s="34" t="n">
        <x:v>480.44993482569186</x:v>
      </x:c>
      <x:c r="E52" s="34" t="n">
        <x:v>4367040992.734485</x:v>
      </x:c>
      <x:c r="F52" s="34" t="n">
        <x:v>67303111.61428152</x:v>
      </x:c>
      <x:c r="G52" s="34" t="n">
        <x:v>685.1237361744008</x:v>
      </x:c>
      <x:c r="H52" s="36" t="n">
        <x:v>0.0009197256025569606</x:v>
      </x:c>
    </x:row>
    <x:row r="53" ht="19" customHeight="1">
      <x:c r="A53" s="19" t="n">
        <x:v>2</x:v>
      </x:c>
      <x:c r="B53" s="19" t="n">
        <x:v>4</x:v>
      </x:c>
      <x:c r="C53" s="19" t="str">
        <x:v>C10回刷</x:v>
      </x:c>
      <x:c r="D53" s="34" t="n">
        <x:v>484</x:v>
      </x:c>
      <x:c r="E53" s="34" t="n">
        <x:v>28173398853.6</x:v>
      </x:c>
      <x:c r="F53" s="34" t="n">
        <x:v>434428291.8359999</x:v>
      </x:c>
      <x:c r="G53" s="34" t="n">
        <x:v>3336.3580800000004</x:v>
      </x:c>
      <x:c r="H53" s="36" t="n">
        <x:v>0.0059159654400000004</x:v>
      </x:c>
    </x:row>
    <x:row r="54" ht="19" customHeight="1">
      <x:c r="A54" s="19" t="n">
        <x:v>2</x:v>
      </x:c>
      <x:c r="B54" s="19" t="n">
        <x:v>5</x:v>
      </x:c>
      <x:c r="C54" s="19" t="str">
        <x:v>基础</x:v>
      </x:c>
      <x:c r="D54" s="34" t="n">
        <x:v>477.13705194745233</x:v>
      </x:c>
      <x:c r="E54" s="34" t="n">
        <x:v>3649550564.817919</x:v>
      </x:c>
      <x:c r="F54" s="34" t="n">
        <x:v>55505912.40915382</x:v>
      </x:c>
      <x:c r="G54" s="34" t="n">
        <x:v>559.7609885694061</x:v>
      </x:c>
      <x:c r="H54" s="36" t="n">
        <x:v>0.0007563800897124655</x:v>
      </x:c>
    </x:row>
    <x:row r="55" ht="19" customHeight="1">
      <x:c r="A55" s="19" t="n">
        <x:v>2</x:v>
      </x:c>
      <x:c r="B55" s="19" t="n">
        <x:v>5</x:v>
      </x:c>
      <x:c r="C55" s="19" t="str">
        <x:v>效率70%</x:v>
      </x:c>
      <x:c r="D55" s="34" t="n">
        <x:v>333.99593636321663</x:v>
      </x:c>
      <x:c r="E55" s="34" t="n">
        <x:v>2554685395.372547</x:v>
      </x:c>
      <x:c r="F55" s="34" t="n">
        <x:v>38854138.68640762</x:v>
      </x:c>
      <x:c r="G55" s="34" t="n">
        <x:v>391.8326919985842</x:v>
      </x:c>
      <x:c r="H55" s="36" t="n">
        <x:v>0.0005294660627987258</x:v>
      </x:c>
    </x:row>
    <x:row r="56" ht="19" customHeight="1">
      <x:c r="A56" s="19" t="n">
        <x:v>2</x:v>
      </x:c>
      <x:c r="B56" s="19" t="n">
        <x:v>5</x:v>
      </x:c>
      <x:c r="C56" s="19" t="str">
        <x:v>效率130%</x:v>
      </x:c>
      <x:c r="D56" s="34" t="n">
        <x:v>484</x:v>
      </x:c>
      <x:c r="E56" s="34" t="n">
        <x:v>3771440640</x:v>
      </x:c>
      <x:c r="F56" s="34" t="n">
        <x:v>57424118.4</x:v>
      </x:c>
      <x:c r="G56" s="34" t="n">
        <x:v>582.9120000000001</x:v>
      </x:c>
      <x:c r="H56" s="36" t="n">
        <x:v>0.0007772160000000002</x:v>
      </x:c>
    </x:row>
    <x:row r="57" ht="19" customHeight="1">
      <x:c r="A57" s="19" t="n">
        <x:v>2</x:v>
      </x:c>
      <x:c r="B57" s="19" t="n">
        <x:v>5</x:v>
      </x:c>
      <x:c r="C57" s="19" t="str">
        <x:v>抢怪可用50%</x:v>
      </x:c>
      <x:c r="D57" s="34" t="n">
        <x:v>242</x:v>
      </x:c>
      <x:c r="E57" s="34" t="n">
        <x:v>1885720320</x:v>
      </x:c>
      <x:c r="F57" s="34" t="n">
        <x:v>28712059.2</x:v>
      </x:c>
      <x:c r="G57" s="34" t="n">
        <x:v>291.4560000000001</x:v>
      </x:c>
      <x:c r="H57" s="36" t="n">
        <x:v>0.0003886080000000001</x:v>
      </x:c>
    </x:row>
    <x:row r="58" ht="19" customHeight="1">
      <x:c r="A58" s="19" t="n">
        <x:v>2</x:v>
      </x:c>
      <x:c r="B58" s="19" t="n">
        <x:v>5</x:v>
      </x:c>
      <x:c r="C58" s="19" t="str">
        <x:v>爆率80%</x:v>
      </x:c>
      <x:c r="D58" s="34" t="n">
        <x:v>477.13705194745233</x:v>
      </x:c>
      <x:c r="E58" s="34" t="n">
        <x:v>2919640451.854333</x:v>
      </x:c>
      <x:c r="F58" s="34" t="n">
        <x:v>44404729.92732303</x:v>
      </x:c>
      <x:c r="G58" s="34" t="n">
        <x:v>447.80879085552476</x:v>
      </x:c>
      <x:c r="H58" s="36" t="n">
        <x:v>0.0006051040717699722</x:v>
      </x:c>
    </x:row>
    <x:row r="59" ht="19" customHeight="1">
      <x:c r="A59" s="19" t="n">
        <x:v>2</x:v>
      </x:c>
      <x:c r="B59" s="19" t="n">
        <x:v>5</x:v>
      </x:c>
      <x:c r="C59" s="19" t="str">
        <x:v>爆率120%</x:v>
      </x:c>
      <x:c r="D59" s="34" t="n">
        <x:v>477.13705194745233</x:v>
      </x:c>
      <x:c r="E59" s="34" t="n">
        <x:v>4379460677.781506</x:v>
      </x:c>
      <x:c r="F59" s="34" t="n">
        <x:v>66607094.89098455</x:v>
      </x:c>
      <x:c r="G59" s="34" t="n">
        <x:v>671.7131862832873</x:v>
      </x:c>
      <x:c r="H59" s="36" t="n">
        <x:v>0.0009076561076549585</x:v>
      </x:c>
    </x:row>
    <x:row r="60" ht="19" customHeight="1">
      <x:c r="A60" s="19" t="n">
        <x:v>2</x:v>
      </x:c>
      <x:c r="B60" s="19" t="n">
        <x:v>5</x:v>
      </x:c>
      <x:c r="C60" s="19" t="str">
        <x:v>C10回刷</x:v>
      </x:c>
      <x:c r="D60" s="34" t="n">
        <x:v>484</x:v>
      </x:c>
      <x:c r="E60" s="34" t="n">
        <x:v>28707222297.6</x:v>
      </x:c>
      <x:c r="F60" s="34" t="n">
        <x:v>437097409.05600065</x:v>
      </x:c>
      <x:c r="G60" s="34" t="n">
        <x:v>3336.3580800000004</x:v>
      </x:c>
      <x:c r="H60" s="36" t="n">
        <x:v>0.0059159654400000004</x:v>
      </x:c>
    </x:row>
    <x:row r="61" ht="19" customHeight="1">
      <x:c r="A61" s="19" t="n">
        <x:v>3</x:v>
      </x:c>
      <x:c r="B61" s="19" t="n">
        <x:v>1</x:v>
      </x:c>
      <x:c r="C61" s="19" t="str">
        <x:v>基础</x:v>
      </x:c>
      <x:c r="D61" s="34" t="n">
        <x:v>481.8186559335626</x:v>
      </x:c>
      <x:c r="E61" s="34" t="n">
        <x:v>8645208427.257725</x:v>
      </x:c>
      <x:c r="F61" s="34" t="n">
        <x:v>76335351.00663736</x:v>
      </x:c>
      <x:c r="G61" s="34" t="n">
        <x:v>758.1741591214441</x:v>
      </x:c>
      <x:c r="H61" s="36" t="n">
        <x:v>0.000770593439414296</x:v>
      </x:c>
    </x:row>
    <x:row r="62" ht="19" customHeight="1">
      <x:c r="A62" s="19" t="n">
        <x:v>3</x:v>
      </x:c>
      <x:c r="B62" s="19" t="n">
        <x:v>1</x:v>
      </x:c>
      <x:c r="C62" s="19" t="str">
        <x:v>效率70%</x:v>
      </x:c>
      <x:c r="D62" s="34" t="n">
        <x:v>337.27305915349376</x:v>
      </x:c>
      <x:c r="E62" s="34" t="n">
        <x:v>6051645899.080407</x:v>
      </x:c>
      <x:c r="F62" s="34" t="n">
        <x:v>53434745.70464615</x:v>
      </x:c>
      <x:c r="G62" s="34" t="n">
        <x:v>530.7219113850108</x:v>
      </x:c>
      <x:c r="H62" s="36" t="n">
        <x:v>0.0005394154075900072</x:v>
      </x:c>
    </x:row>
    <x:row r="63" ht="19" customHeight="1">
      <x:c r="A63" s="19" t="n">
        <x:v>3</x:v>
      </x:c>
      <x:c r="B63" s="19" t="n">
        <x:v>1</x:v>
      </x:c>
      <x:c r="C63" s="19" t="str">
        <x:v>效率130%</x:v>
      </x:c>
      <x:c r="D63" s="34" t="n">
        <x:v>484</x:v>
      </x:c>
      <x:c r="E63" s="34" t="n">
        <x:v>8732750400</x:v>
      </x:c>
      <x:c r="F63" s="34" t="n">
        <x:v>77108328</x:v>
      </x:c>
      <x:c r="G63" s="34" t="n">
        <x:v>768.1080000000002</x:v>
      </x:c>
      <x:c r="H63" s="36" t="n">
        <x:v>0.0007772160000000002</x:v>
      </x:c>
    </x:row>
    <x:row r="64" ht="19" customHeight="1">
      <x:c r="A64" s="19" t="n">
        <x:v>3</x:v>
      </x:c>
      <x:c r="B64" s="19" t="n">
        <x:v>1</x:v>
      </x:c>
      <x:c r="C64" s="19" t="str">
        <x:v>抢怪可用50%</x:v>
      </x:c>
      <x:c r="D64" s="34" t="n">
        <x:v>242</x:v>
      </x:c>
      <x:c r="E64" s="34" t="n">
        <x:v>4366375200</x:v>
      </x:c>
      <x:c r="F64" s="34" t="n">
        <x:v>38554164</x:v>
      </x:c>
      <x:c r="G64" s="34" t="n">
        <x:v>384.0540000000001</x:v>
      </x:c>
      <x:c r="H64" s="36" t="n">
        <x:v>0.0003886080000000001</x:v>
      </x:c>
    </x:row>
    <x:row r="65" ht="19" customHeight="1">
      <x:c r="A65" s="19" t="n">
        <x:v>3</x:v>
      </x:c>
      <x:c r="B65" s="19" t="n">
        <x:v>1</x:v>
      </x:c>
      <x:c r="C65" s="19" t="str">
        <x:v>爆率80%</x:v>
      </x:c>
      <x:c r="D65" s="34" t="n">
        <x:v>481.8186559335626</x:v>
      </x:c>
      <x:c r="E65" s="34" t="n">
        <x:v>6916166741.80618</x:v>
      </x:c>
      <x:c r="F65" s="34" t="n">
        <x:v>61068280.805309884</x:v>
      </x:c>
      <x:c r="G65" s="34" t="n">
        <x:v>606.5393272971553</x:v>
      </x:c>
      <x:c r="H65" s="36" t="n">
        <x:v>0.0006164747515314368</x:v>
      </x:c>
    </x:row>
    <x:row r="66" ht="19" customHeight="1">
      <x:c r="A66" s="19" t="n">
        <x:v>3</x:v>
      </x:c>
      <x:c r="B66" s="19" t="n">
        <x:v>1</x:v>
      </x:c>
      <x:c r="C66" s="19" t="str">
        <x:v>爆率120%</x:v>
      </x:c>
      <x:c r="D66" s="34" t="n">
        <x:v>481.8186559335626</x:v>
      </x:c>
      <x:c r="E66" s="34" t="n">
        <x:v>10374250112.70927</x:v>
      </x:c>
      <x:c r="F66" s="34" t="n">
        <x:v>91602421.20796484</x:v>
      </x:c>
      <x:c r="G66" s="34" t="n">
        <x:v>909.8089909457328</x:v>
      </x:c>
      <x:c r="H66" s="36" t="n">
        <x:v>0.0009247121272971552</x:v>
      </x:c>
    </x:row>
    <x:row r="67" ht="19" customHeight="1">
      <x:c r="A67" s="19" t="n">
        <x:v>3</x:v>
      </x:c>
      <x:c r="B67" s="19" t="n">
        <x:v>1</x:v>
      </x:c>
      <x:c r="C67" s="19" t="str">
        <x:v>C10回刷</x:v>
      </x:c>
      <x:c r="D67" s="34" t="n">
        <x:v>484</x:v>
      </x:c>
      <x:c r="E67" s="34" t="n">
        <x:v>66471417936.00001</x:v>
      </x:c>
      <x:c r="F67" s="34" t="n">
        <x:v>586928477.52</x:v>
      </x:c>
      <x:c r="G67" s="34" t="n">
        <x:v>4459.71372</x:v>
      </x:c>
      <x:c r="H67" s="36" t="n">
        <x:v>0.0059159654400000004</x:v>
      </x:c>
    </x:row>
    <x:row r="68" ht="19" customHeight="1">
      <x:c r="A68" s="19" t="n">
        <x:v>3</x:v>
      </x:c>
      <x:c r="B68" s="19" t="n">
        <x:v>2</x:v>
      </x:c>
      <x:c r="C68" s="19" t="str">
        <x:v>基础</x:v>
      </x:c>
      <x:c r="D68" s="34" t="n">
        <x:v>481.9921446676014</x:v>
      </x:c>
      <x:c r="E68" s="34" t="n">
        <x:v>8677249655.04672</x:v>
      </x:c>
      <x:c r="F68" s="34" t="n">
        <x:v>76618268.23073168</x:v>
      </x:c>
      <x:c r="G68" s="34" t="n">
        <x:v>761.164123125869</x:v>
      </x:c>
      <x:c r="H68" s="36" t="n">
        <x:v>0.0007733552820839125</x:v>
      </x:c>
    </x:row>
    <x:row r="69" ht="19" customHeight="1">
      <x:c r="A69" s="19" t="n">
        <x:v>3</x:v>
      </x:c>
      <x:c r="B69" s="19" t="n">
        <x:v>2</x:v>
      </x:c>
      <x:c r="C69" s="19" t="str">
        <x:v>效率70%</x:v>
      </x:c>
      <x:c r="D69" s="34" t="n">
        <x:v>337.39450126732095</x:v>
      </x:c>
      <x:c r="E69" s="34" t="n">
        <x:v>6074074758.532705</x:v>
      </x:c>
      <x:c r="F69" s="34" t="n">
        <x:v>53632787.761512175</x:v>
      </x:c>
      <x:c r="G69" s="34" t="n">
        <x:v>532.8148861881084</x:v>
      </x:c>
      <x:c r="H69" s="36" t="n">
        <x:v>0.0005413486974587387</x:v>
      </x:c>
    </x:row>
    <x:row r="70" ht="19" customHeight="1">
      <x:c r="A70" s="19" t="n">
        <x:v>3</x:v>
      </x:c>
      <x:c r="B70" s="19" t="n">
        <x:v>2</x:v>
      </x:c>
      <x:c r="C70" s="19" t="str">
        <x:v>效率130%</x:v>
      </x:c>
      <x:c r="D70" s="34" t="n">
        <x:v>484</x:v>
      </x:c>
      <x:c r="E70" s="34" t="n">
        <x:v>8758062720</x:v>
      </x:c>
      <x:c r="F70" s="34" t="n">
        <x:v>77331830.39999999</x:v>
      </x:c>
      <x:c r="G70" s="34" t="n">
        <x:v>770.3343999999998</x:v>
      </x:c>
      <x:c r="H70" s="36" t="n">
        <x:v>0.0007794687999999999</x:v>
      </x:c>
    </x:row>
    <x:row r="71" ht="19" customHeight="1">
      <x:c r="A71" s="19" t="n">
        <x:v>3</x:v>
      </x:c>
      <x:c r="B71" s="19" t="n">
        <x:v>2</x:v>
      </x:c>
      <x:c r="C71" s="19" t="str">
        <x:v>抢怪可用50%</x:v>
      </x:c>
      <x:c r="D71" s="34" t="n">
        <x:v>242</x:v>
      </x:c>
      <x:c r="E71" s="34" t="n">
        <x:v>4379031360</x:v>
      </x:c>
      <x:c r="F71" s="34" t="n">
        <x:v>38665915.199999996</x:v>
      </x:c>
      <x:c r="G71" s="34" t="n">
        <x:v>385.1671999999999</x:v>
      </x:c>
      <x:c r="H71" s="36" t="n">
        <x:v>0.00038973439999999995</x:v>
      </x:c>
    </x:row>
    <x:row r="72" ht="19" customHeight="1">
      <x:c r="A72" s="19" t="n">
        <x:v>3</x:v>
      </x:c>
      <x:c r="B72" s="19" t="n">
        <x:v>2</x:v>
      </x:c>
      <x:c r="C72" s="19" t="str">
        <x:v>爆率80%</x:v>
      </x:c>
      <x:c r="D72" s="34" t="n">
        <x:v>481.9921446676014</x:v>
      </x:c>
      <x:c r="E72" s="34" t="n">
        <x:v>6941799724.037377</x:v>
      </x:c>
      <x:c r="F72" s="34" t="n">
        <x:v>61294614.58458535</x:v>
      </x:c>
      <x:c r="G72" s="34" t="n">
        <x:v>608.9312985006953</x:v>
      </x:c>
      <x:c r="H72" s="36" t="n">
        <x:v>0.0006186842256671303</x:v>
      </x:c>
    </x:row>
    <x:row r="73" ht="19" customHeight="1">
      <x:c r="A73" s="19" t="n">
        <x:v>3</x:v>
      </x:c>
      <x:c r="B73" s="19" t="n">
        <x:v>2</x:v>
      </x:c>
      <x:c r="C73" s="19" t="str">
        <x:v>爆率120%</x:v>
      </x:c>
      <x:c r="D73" s="34" t="n">
        <x:v>481.9921446676014</x:v>
      </x:c>
      <x:c r="E73" s="34" t="n">
        <x:v>10412699586.056065</x:v>
      </x:c>
      <x:c r="F73" s="34" t="n">
        <x:v>91941921.87687802</x:v>
      </x:c>
      <x:c r="G73" s="34" t="n">
        <x:v>913.396947751043</x:v>
      </x:c>
      <x:c r="H73" s="36" t="n">
        <x:v>0.0009280263385006952</x:v>
      </x:c>
    </x:row>
    <x:row r="74" ht="19" customHeight="1">
      <x:c r="A74" s="19" t="n">
        <x:v>3</x:v>
      </x:c>
      <x:c r="B74" s="19" t="n">
        <x:v>2</x:v>
      </x:c>
      <x:c r="C74" s="19" t="str">
        <x:v>C10回刷</x:v>
      </x:c>
      <x:c r="D74" s="34" t="n">
        <x:v>484</x:v>
      </x:c>
      <x:c r="E74" s="34" t="n">
        <x:v>66471417936.00001</x:v>
      </x:c>
      <x:c r="F74" s="34" t="n">
        <x:v>586928477.52</x:v>
      </x:c>
      <x:c r="G74" s="34" t="n">
        <x:v>4459.71372</x:v>
      </x:c>
      <x:c r="H74" s="36" t="n">
        <x:v>0.0059159654400000004</x:v>
      </x:c>
    </x:row>
    <x:row r="75" ht="19" customHeight="1">
      <x:c r="A75" s="19" t="n">
        <x:v>3</x:v>
      </x:c>
      <x:c r="B75" s="19" t="n">
        <x:v>3</x:v>
      </x:c>
      <x:c r="C75" s="19" t="str">
        <x:v>基础</x:v>
      </x:c>
      <x:c r="D75" s="34" t="n">
        <x:v>481.20385079997817</x:v>
      </x:c>
      <x:c r="E75" s="34" t="n">
        <x:v>7156327315.703376</x:v>
      </x:c>
      <x:c r="F75" s="34" t="n">
        <x:v>63188847.57482768</x:v>
      </x:c>
      <x:c r="G75" s="34" t="n">
        <x:v>693.3447110018017</x:v>
      </x:c>
      <x:c r="H75" s="36" t="n">
        <x:v>0.0008350156591681681</x:v>
      </x:c>
    </x:row>
    <x:row r="76" ht="19" customHeight="1">
      <x:c r="A76" s="19" t="n">
        <x:v>3</x:v>
      </x:c>
      <x:c r="B76" s="19" t="n">
        <x:v>3</x:v>
      </x:c>
      <x:c r="C76" s="19" t="str">
        <x:v>效率70%</x:v>
      </x:c>
      <x:c r="D76" s="34" t="n">
        <x:v>336.8426955599847</x:v>
      </x:c>
      <x:c r="E76" s="34" t="n">
        <x:v>5009429120.992363</x:v>
      </x:c>
      <x:c r="F76" s="34" t="n">
        <x:v>44232193.30237937</x:v>
      </x:c>
      <x:c r="G76" s="34" t="n">
        <x:v>485.34129770126106</x:v>
      </x:c>
      <x:c r="H76" s="36" t="n">
        <x:v>0.0005845109614177176</x:v>
      </x:c>
    </x:row>
    <x:row r="77" ht="19" customHeight="1">
      <x:c r="A77" s="19" t="n">
        <x:v>3</x:v>
      </x:c>
      <x:c r="B77" s="19" t="n">
        <x:v>3</x:v>
      </x:c>
      <x:c r="C77" s="19" t="str">
        <x:v>效率130%</x:v>
      </x:c>
      <x:c r="D77" s="34" t="n">
        <x:v>484</x:v>
      </x:c>
      <x:c r="E77" s="34" t="n">
        <x:v>7253840879.999999</x:v>
      </x:c>
      <x:c r="F77" s="34" t="n">
        <x:v>64049871.59999999</x:v>
      </x:c>
      <x:c r="G77" s="34" t="n">
        <x:v>704.41008</x:v>
      </x:c>
      <x:c r="H77" s="36" t="n">
        <x:v>0.0008442368</x:v>
      </x:c>
    </x:row>
    <x:row r="78" ht="19" customHeight="1">
      <x:c r="A78" s="19" t="n">
        <x:v>3</x:v>
      </x:c>
      <x:c r="B78" s="19" t="n">
        <x:v>3</x:v>
      </x:c>
      <x:c r="C78" s="19" t="str">
        <x:v>抢怪可用50%</x:v>
      </x:c>
      <x:c r="D78" s="34" t="n">
        <x:v>242</x:v>
      </x:c>
      <x:c r="E78" s="34" t="n">
        <x:v>3626920439.9999995</x:v>
      </x:c>
      <x:c r="F78" s="34" t="n">
        <x:v>32024935.799999993</x:v>
      </x:c>
      <x:c r="G78" s="34" t="n">
        <x:v>352.20504</x:v>
      </x:c>
      <x:c r="H78" s="36" t="n">
        <x:v>0.0004221184</x:v>
      </x:c>
    </x:row>
    <x:row r="79" ht="19" customHeight="1">
      <x:c r="A79" s="19" t="n">
        <x:v>3</x:v>
      </x:c>
      <x:c r="B79" s="19" t="n">
        <x:v>3</x:v>
      </x:c>
      <x:c r="C79" s="19" t="str">
        <x:v>爆率80%</x:v>
      </x:c>
      <x:c r="D79" s="34" t="n">
        <x:v>481.20385079997817</x:v>
      </x:c>
      <x:c r="E79" s="34" t="n">
        <x:v>5725061852.562702</x:v>
      </x:c>
      <x:c r="F79" s="34" t="n">
        <x:v>50551078.05986215</x:v>
      </x:c>
      <x:c r="G79" s="34" t="n">
        <x:v>554.6757688014414</x:v>
      </x:c>
      <x:c r="H79" s="36" t="n">
        <x:v>0.0006680125273345345</x:v>
      </x:c>
    </x:row>
    <x:row r="80" ht="19" customHeight="1">
      <x:c r="A80" s="19" t="n">
        <x:v>3</x:v>
      </x:c>
      <x:c r="B80" s="19" t="n">
        <x:v>3</x:v>
      </x:c>
      <x:c r="C80" s="19" t="str">
        <x:v>爆率120%</x:v>
      </x:c>
      <x:c r="D80" s="34" t="n">
        <x:v>481.20385079997817</x:v>
      </x:c>
      <x:c r="E80" s="34" t="n">
        <x:v>8587592778.844051</x:v>
      </x:c>
      <x:c r="F80" s="34" t="n">
        <x:v>75826617.08979322</x:v>
      </x:c>
      <x:c r="G80" s="34" t="n">
        <x:v>832.0136532021619</x:v>
      </x:c>
      <x:c r="H80" s="36" t="n">
        <x:v>0.0010020187910018015</x:v>
      </x:c>
    </x:row>
    <x:row r="81" ht="19" customHeight="1">
      <x:c r="A81" s="19" t="n">
        <x:v>3</x:v>
      </x:c>
      <x:c r="B81" s="19" t="n">
        <x:v>3</x:v>
      </x:c>
      <x:c r="C81" s="19" t="str">
        <x:v>C10回刷</x:v>
      </x:c>
      <x:c r="D81" s="34" t="n">
        <x:v>484</x:v>
      </x:c>
      <x:c r="E81" s="34" t="n">
        <x:v>50831084304</x:v>
      </x:c>
      <x:c r="F81" s="34" t="n">
        <x:v>448827659.2800001</x:v>
      </x:c>
      <x:c r="G81" s="34" t="n">
        <x:v>4126.940664</x:v>
      </x:c>
      <x:c r="H81" s="36" t="n">
        <x:v>0.0059159654400000004</x:v>
      </x:c>
    </x:row>
    <x:row r="82" ht="19" customHeight="1">
      <x:c r="A82" s="19" t="n">
        <x:v>3</x:v>
      </x:c>
      <x:c r="B82" s="19" t="n">
        <x:v>4</x:v>
      </x:c>
      <x:c r="C82" s="19" t="str">
        <x:v>基础</x:v>
      </x:c>
      <x:c r="D82" s="34" t="n">
        <x:v>481.4645282630643</x:v>
      </x:c>
      <x:c r="E82" s="34" t="n">
        <x:v>8138709131.31933</x:v>
      </x:c>
      <x:c r="F82" s="34" t="n">
        <x:v>71863069.98930898</x:v>
      </x:c>
      <x:c r="G82" s="34" t="n">
        <x:v>737.5864617099951</x:v>
      </x:c>
      <x:c r="H82" s="36" t="n">
        <x:v>0.0009618978847583293</x:v>
      </x:c>
    </x:row>
    <x:row r="83" ht="19" customHeight="1">
      <x:c r="A83" s="19" t="n">
        <x:v>3</x:v>
      </x:c>
      <x:c r="B83" s="19" t="n">
        <x:v>4</x:v>
      </x:c>
      <x:c r="C83" s="19" t="str">
        <x:v>效率70%</x:v>
      </x:c>
      <x:c r="D83" s="34" t="n">
        <x:v>337.02516978414496</x:v>
      </x:c>
      <x:c r="E83" s="34" t="n">
        <x:v>5697096391.923531</x:v>
      </x:c>
      <x:c r="F83" s="34" t="n">
        <x:v>50304148.99251629</x:v>
      </x:c>
      <x:c r="G83" s="34" t="n">
        <x:v>516.3105231969965</x:v>
      </x:c>
      <x:c r="H83" s="36" t="n">
        <x:v>0.0006733285193308305</x:v>
      </x:c>
    </x:row>
    <x:row r="84" ht="19" customHeight="1">
      <x:c r="A84" s="19" t="n">
        <x:v>3</x:v>
      </x:c>
      <x:c r="B84" s="19" t="n">
        <x:v>4</x:v>
      </x:c>
      <x:c r="C84" s="19" t="str">
        <x:v>效率130%</x:v>
      </x:c>
      <x:c r="D84" s="34" t="n">
        <x:v>484</x:v>
      </x:c>
      <x:c r="E84" s="34" t="n">
        <x:v>8240463000</x:v>
      </x:c>
      <x:c r="F84" s="34" t="n">
        <x:v>72761535</x:v>
      </x:c>
      <x:c r="G84" s="34" t="n">
        <x:v>749.1330000000003</x:v>
      </x:c>
      <x:c r="H84" s="36" t="n">
        <x:v>0.0009715200000000001</x:v>
      </x:c>
    </x:row>
    <x:row r="85" ht="19" customHeight="1">
      <x:c r="A85" s="19" t="n">
        <x:v>3</x:v>
      </x:c>
      <x:c r="B85" s="19" t="n">
        <x:v>4</x:v>
      </x:c>
      <x:c r="C85" s="19" t="str">
        <x:v>抢怪可用50%</x:v>
      </x:c>
      <x:c r="D85" s="34" t="n">
        <x:v>242</x:v>
      </x:c>
      <x:c r="E85" s="34" t="n">
        <x:v>4120231500</x:v>
      </x:c>
      <x:c r="F85" s="34" t="n">
        <x:v>36380767.5</x:v>
      </x:c>
      <x:c r="G85" s="34" t="n">
        <x:v>374.56650000000013</x:v>
      </x:c>
      <x:c r="H85" s="36" t="n">
        <x:v>0.00048576000000000007</x:v>
      </x:c>
    </x:row>
    <x:row r="86" ht="19" customHeight="1">
      <x:c r="A86" s="19" t="n">
        <x:v>3</x:v>
      </x:c>
      <x:c r="B86" s="19" t="n">
        <x:v>4</x:v>
      </x:c>
      <x:c r="C86" s="19" t="str">
        <x:v>爆率80%</x:v>
      </x:c>
      <x:c r="D86" s="34" t="n">
        <x:v>481.4645282630643</x:v>
      </x:c>
      <x:c r="E86" s="34" t="n">
        <x:v>6510967305.055466</x:v>
      </x:c>
      <x:c r="F86" s="34" t="n">
        <x:v>57490455.99144719</x:v>
      </x:c>
      <x:c r="G86" s="34" t="n">
        <x:v>590.069169367996</x:v>
      </x:c>
      <x:c r="H86" s="36" t="n">
        <x:v>0.0007695183078066635</x:v>
      </x:c>
    </x:row>
    <x:row r="87" ht="19" customHeight="1">
      <x:c r="A87" s="19" t="n">
        <x:v>3</x:v>
      </x:c>
      <x:c r="B87" s="19" t="n">
        <x:v>4</x:v>
      </x:c>
      <x:c r="C87" s="19" t="str">
        <x:v>爆率120%</x:v>
      </x:c>
      <x:c r="D87" s="34" t="n">
        <x:v>481.4645282630643</x:v>
      </x:c>
      <x:c r="E87" s="34" t="n">
        <x:v>9766450957.583195</x:v>
      </x:c>
      <x:c r="F87" s="34" t="n">
        <x:v>86235683.98717077</x:v>
      </x:c>
      <x:c r="G87" s="34" t="n">
        <x:v>885.103754051994</x:v>
      </x:c>
      <x:c r="H87" s="36" t="n">
        <x:v>0.001154277461709995</x:v>
      </x:c>
    </x:row>
    <x:row r="88" ht="19" customHeight="1">
      <x:c r="A88" s="19" t="n">
        <x:v>3</x:v>
      </x:c>
      <x:c r="B88" s="19" t="n">
        <x:v>4</x:v>
      </x:c>
      <x:c r="C88" s="19" t="str">
        <x:v>C10回刷</x:v>
      </x:c>
      <x:c r="D88" s="34" t="n">
        <x:v>484</x:v>
      </x:c>
      <x:c r="E88" s="34" t="n">
        <x:v>50179403736</x:v>
      </x:c>
      <x:c r="F88" s="34" t="n">
        <x:v>443073458.52000004</x:v>
      </x:c>
      <x:c r="G88" s="34" t="n">
        <x:v>3488.570976</x:v>
      </x:c>
      <x:c r="H88" s="36" t="n">
        <x:v>0.0059159654400000004</x:v>
      </x:c>
    </x:row>
    <x:row r="89" ht="19" customHeight="1">
      <x:c r="A89" s="19" t="n">
        <x:v>3</x:v>
      </x:c>
      <x:c r="B89" s="19" t="n">
        <x:v>5</x:v>
      </x:c>
      <x:c r="C89" s="19" t="str">
        <x:v>基础</x:v>
      </x:c>
      <x:c r="D89" s="34" t="n">
        <x:v>480.72383159931485</x:v>
      </x:c>
      <x:c r="E89" s="34" t="n">
        <x:v>8108983400.222654</x:v>
      </x:c>
      <x:c r="F89" s="34" t="n">
        <x:v>71600598.10834897</x:v>
      </x:c>
      <x:c r="G89" s="34" t="n">
        <x:v>734.2133291032801</x:v>
      </x:c>
      <x:c r="H89" s="36" t="n">
        <x:v>0.0009590869409194002</x:v>
      </x:c>
    </x:row>
    <x:row r="90" ht="19" customHeight="1">
      <x:c r="A90" s="19" t="n">
        <x:v>3</x:v>
      </x:c>
      <x:c r="B90" s="19" t="n">
        <x:v>5</x:v>
      </x:c>
      <x:c r="C90" s="19" t="str">
        <x:v>效率70%</x:v>
      </x:c>
      <x:c r="D90" s="34" t="n">
        <x:v>336.5066821195204</x:v>
      </x:c>
      <x:c r="E90" s="34" t="n">
        <x:v>5676288380.155857</x:v>
      </x:c>
      <x:c r="F90" s="34" t="n">
        <x:v>50120418.67584428</x:v>
      </x:c>
      <x:c r="G90" s="34" t="n">
        <x:v>513.949330372296</x:v>
      </x:c>
      <x:c r="H90" s="36" t="n">
        <x:v>0.0006713608586435799</x:v>
      </x:c>
    </x:row>
    <x:row r="91" ht="19" customHeight="1">
      <x:c r="A91" s="19" t="n">
        <x:v>3</x:v>
      </x:c>
      <x:c r="B91" s="19" t="n">
        <x:v>5</x:v>
      </x:c>
      <x:c r="C91" s="19" t="str">
        <x:v>效率130%</x:v>
      </x:c>
      <x:c r="D91" s="34" t="n">
        <x:v>484</x:v>
      </x:c>
      <x:c r="E91" s="34" t="n">
        <x:v>8240463000</x:v>
      </x:c>
      <x:c r="F91" s="34" t="n">
        <x:v>72761535</x:v>
      </x:c>
      <x:c r="G91" s="34" t="n">
        <x:v>749.1330000000003</x:v>
      </x:c>
      <x:c r="H91" s="36" t="n">
        <x:v>0.0009715200000000001</x:v>
      </x:c>
    </x:row>
    <x:row r="92" ht="19" customHeight="1">
      <x:c r="A92" s="19" t="n">
        <x:v>3</x:v>
      </x:c>
      <x:c r="B92" s="19" t="n">
        <x:v>5</x:v>
      </x:c>
      <x:c r="C92" s="19" t="str">
        <x:v>抢怪可用50%</x:v>
      </x:c>
      <x:c r="D92" s="34" t="n">
        <x:v>242</x:v>
      </x:c>
      <x:c r="E92" s="34" t="n">
        <x:v>4120231500</x:v>
      </x:c>
      <x:c r="F92" s="34" t="n">
        <x:v>36380767.5</x:v>
      </x:c>
      <x:c r="G92" s="34" t="n">
        <x:v>374.56650000000013</x:v>
      </x:c>
      <x:c r="H92" s="36" t="n">
        <x:v>0.00048576000000000007</x:v>
      </x:c>
    </x:row>
    <x:row r="93" ht="19" customHeight="1">
      <x:c r="A93" s="19" t="n">
        <x:v>3</x:v>
      </x:c>
      <x:c r="B93" s="19" t="n">
        <x:v>5</x:v>
      </x:c>
      <x:c r="C93" s="19" t="str">
        <x:v>爆率80%</x:v>
      </x:c>
      <x:c r="D93" s="34" t="n">
        <x:v>480.72383159931485</x:v>
      </x:c>
      <x:c r="E93" s="34" t="n">
        <x:v>6487186720.178124</x:v>
      </x:c>
      <x:c r="F93" s="34" t="n">
        <x:v>57280478.48667917</x:v>
      </x:c>
      <x:c r="G93" s="34" t="n">
        <x:v>587.370663282624</x:v>
      </x:c>
      <x:c r="H93" s="36" t="n">
        <x:v>0.00076726955273552</x:v>
      </x:c>
    </x:row>
    <x:row r="94" ht="19" customHeight="1">
      <x:c r="A94" s="19" t="n">
        <x:v>3</x:v>
      </x:c>
      <x:c r="B94" s="19" t="n">
        <x:v>5</x:v>
      </x:c>
      <x:c r="C94" s="19" t="str">
        <x:v>爆率120%</x:v>
      </x:c>
      <x:c r="D94" s="34" t="n">
        <x:v>480.72383159931485</x:v>
      </x:c>
      <x:c r="E94" s="34" t="n">
        <x:v>9730780080.267185</x:v>
      </x:c>
      <x:c r="F94" s="34" t="n">
        <x:v>85920717.73001876</x:v>
      </x:c>
      <x:c r="G94" s="34" t="n">
        <x:v>881.0559949239359</x:v>
      </x:c>
      <x:c r="H94" s="36" t="n">
        <x:v>0.00115090432910328</x:v>
      </x:c>
    </x:row>
    <x:row r="95" ht="19" customHeight="1">
      <x:c r="A95" s="19" t="n">
        <x:v>3</x:v>
      </x:c>
      <x:c r="B95" s="19" t="n">
        <x:v>5</x:v>
      </x:c>
      <x:c r="C95" s="19" t="str">
        <x:v>C10回刷</x:v>
      </x:c>
      <x:c r="D95" s="34" t="n">
        <x:v>484</x:v>
      </x:c>
      <x:c r="E95" s="34" t="n">
        <x:v>50179403736</x:v>
      </x:c>
      <x:c r="F95" s="34" t="n">
        <x:v>443073458.52000004</x:v>
      </x:c>
      <x:c r="G95" s="34" t="n">
        <x:v>3488.570976</x:v>
      </x:c>
      <x:c r="H95" s="36" t="n">
        <x:v>0.0059159654400000004</x:v>
      </x:c>
    </x:row>
    <x:row r="96" ht="19" customHeight="1">
      <x:c r="A96" s="19" t="n">
        <x:v>3</x:v>
      </x:c>
      <x:c r="B96" s="19" t="n">
        <x:v>6</x:v>
      </x:c>
      <x:c r="C96" s="19" t="str">
        <x:v>基础</x:v>
      </x:c>
      <x:c r="D96" s="34" t="n">
        <x:v>464.3762650510561</x:v>
      </x:c>
      <x:c r="E96" s="34" t="n">
        <x:v>7733633749.168052</x:v>
      </x:c>
      <x:c r="F96" s="34" t="n">
        <x:v>68286340.5511647</x:v>
      </x:c>
      <x:c r="G96" s="34" t="n">
        <x:v>701.5748202284999</x:v>
      </x:c>
      <x:c r="H96" s="36" t="n">
        <x:v>0.0009269110038587511</x:v>
      </x:c>
    </x:row>
    <x:row r="97" ht="19" customHeight="1">
      <x:c r="A97" s="19" t="n">
        <x:v>3</x:v>
      </x:c>
      <x:c r="B97" s="19" t="n">
        <x:v>6</x:v>
      </x:c>
      <x:c r="C97" s="19" t="str">
        <x:v>效率70%</x:v>
      </x:c>
      <x:c r="D97" s="34" t="n">
        <x:v>325.06338553573926</x:v>
      </x:c>
      <x:c r="E97" s="34" t="n">
        <x:v>5413543624.417635</x:v>
      </x:c>
      <x:c r="F97" s="34" t="n">
        <x:v>47800438.38581528</x:v>
      </x:c>
      <x:c r="G97" s="34" t="n">
        <x:v>491.10237415995005</x:v>
      </x:c>
      <x:c r="H97" s="36" t="n">
        <x:v>0.0006488377027011258</x:v>
      </x:c>
    </x:row>
    <x:row r="98" ht="19" customHeight="1">
      <x:c r="A98" s="19" t="n">
        <x:v>3</x:v>
      </x:c>
      <x:c r="B98" s="19" t="n">
        <x:v>6</x:v>
      </x:c>
      <x:c r="C98" s="19" t="str">
        <x:v>效率130%</x:v>
      </x:c>
      <x:c r="D98" s="34" t="n">
        <x:v>481.5912441045237</x:v>
      </x:c>
      <x:c r="E98" s="34" t="n">
        <x:v>8143794507.308259</x:v>
      </x:c>
      <x:c r="F98" s="34" t="n">
        <x:v>71907972.77729632</x:v>
      </x:c>
      <x:c r="G98" s="34" t="n">
        <x:v>738.1635256520011</x:v>
      </x:c>
      <x:c r="H98" s="36" t="n">
        <x:v>0.0009623787713766675</x:v>
      </x:c>
    </x:row>
    <x:row r="99" ht="19" customHeight="1">
      <x:c r="A99" s="19" t="n">
        <x:v>3</x:v>
      </x:c>
      <x:c r="B99" s="19" t="n">
        <x:v>6</x:v>
      </x:c>
      <x:c r="C99" s="19" t="str">
        <x:v>抢怪可用50%</x:v>
      </x:c>
      <x:c r="D99" s="34" t="n">
        <x:v>242</x:v>
      </x:c>
      <x:c r="E99" s="34" t="n">
        <x:v>4120231500</x:v>
      </x:c>
      <x:c r="F99" s="34" t="n">
        <x:v>36380767.5</x:v>
      </x:c>
      <x:c r="G99" s="34" t="n">
        <x:v>374.5665000000001</x:v>
      </x:c>
      <x:c r="H99" s="36" t="n">
        <x:v>0.00048576000000000007</x:v>
      </x:c>
    </x:row>
    <x:row r="100" ht="19" customHeight="1">
      <x:c r="A100" s="19" t="n">
        <x:v>3</x:v>
      </x:c>
      <x:c r="B100" s="19" t="n">
        <x:v>6</x:v>
      </x:c>
      <x:c r="C100" s="19" t="str">
        <x:v>爆率80%</x:v>
      </x:c>
      <x:c r="D100" s="34" t="n">
        <x:v>464.3762650510561</x:v>
      </x:c>
      <x:c r="E100" s="34" t="n">
        <x:v>6186906999.334442</x:v>
      </x:c>
      <x:c r="F100" s="34" t="n">
        <x:v>54629072.44093177</x:v>
      </x:c>
      <x:c r="G100" s="34" t="n">
        <x:v>561.2598561827999</x:v>
      </x:c>
      <x:c r="H100" s="36" t="n">
        <x:v>0.000741528803087001</x:v>
      </x:c>
    </x:row>
    <x:row r="101" ht="19" customHeight="1">
      <x:c r="A101" s="19" t="n">
        <x:v>3</x:v>
      </x:c>
      <x:c r="B101" s="19" t="n">
        <x:v>6</x:v>
      </x:c>
      <x:c r="C101" s="19" t="str">
        <x:v>爆率120%</x:v>
      </x:c>
      <x:c r="D101" s="34" t="n">
        <x:v>464.3762650510561</x:v>
      </x:c>
      <x:c r="E101" s="34" t="n">
        <x:v>9280360499.001661</x:v>
      </x:c>
      <x:c r="F101" s="34" t="n">
        <x:v>81943608.66139765</x:v>
      </x:c>
      <x:c r="G101" s="34" t="n">
        <x:v>841.8897842741997</x:v>
      </x:c>
      <x:c r="H101" s="36" t="n">
        <x:v>0.0011122932046305012</x:v>
      </x:c>
    </x:row>
    <x:row r="102" ht="19" customHeight="1">
      <x:c r="A102" s="19" t="n">
        <x:v>3</x:v>
      </x:c>
      <x:c r="B102" s="19" t="n">
        <x:v>6</x:v>
      </x:c>
      <x:c r="C102" s="19" t="str">
        <x:v>C10回刷</x:v>
      </x:c>
      <x:c r="D102" s="34" t="n">
        <x:v>484</x:v>
      </x:c>
      <x:c r="E102" s="34" t="n">
        <x:v>50179403736</x:v>
      </x:c>
      <x:c r="F102" s="34" t="n">
        <x:v>443073458.52000004</x:v>
      </x:c>
      <x:c r="G102" s="34" t="n">
        <x:v>4016.570976</x:v>
      </x:c>
      <x:c r="H102" s="36" t="n">
        <x:v>0.0059159654400000004</x:v>
      </x:c>
    </x:row>
    <x:row r="103" ht="19" customHeight="1">
      <x:c r="A103" s="19" t="n">
        <x:v>4</x:v>
      </x:c>
      <x:c r="B103" s="19" t="n">
        <x:v>1</x:v>
      </x:c>
      <x:c r="C103" s="19" t="str">
        <x:v>基础</x:v>
      </x:c>
      <x:c r="D103" s="34" t="n">
        <x:v>481.3552200356422</x:v>
      </x:c>
      <x:c r="E103" s="34" t="n">
        <x:v>21859807906.03142</x:v>
      </x:c>
      <x:c r="F103" s="34" t="n">
        <x:v>227005697.48571092</x:v>
      </x:c>
      <x:c r="G103" s="34" t="n">
        <x:v>882.2374133803496</x:v>
      </x:c>
      <x:c r="H103" s="36" t="n">
        <x:v>0.0009614830600352623</x:v>
      </x:c>
    </x:row>
    <x:row r="104" ht="19" customHeight="1">
      <x:c r="A104" s="19" t="n">
        <x:v>4</x:v>
      </x:c>
      <x:c r="B104" s="19" t="n">
        <x:v>1</x:v>
      </x:c>
      <x:c r="C104" s="19" t="str">
        <x:v>效率70%</x:v>
      </x:c>
      <x:c r="D104" s="34" t="n">
        <x:v>336.9486540249495</x:v>
      </x:c>
      <x:c r="E104" s="34" t="n">
        <x:v>15301865534.221996</x:v>
      </x:c>
      <x:c r="F104" s="34" t="n">
        <x:v>158903988.23999763</x:v>
      </x:c>
      <x:c r="G104" s="34" t="n">
        <x:v>617.566189366245</x:v>
      </x:c>
      <x:c r="H104" s="36" t="n">
        <x:v>0.0006730381420246836</x:v>
      </x:c>
    </x:row>
    <x:row r="105" ht="19" customHeight="1">
      <x:c r="A105" s="19" t="n">
        <x:v>4</x:v>
      </x:c>
      <x:c r="B105" s="19" t="n">
        <x:v>1</x:v>
      </x:c>
      <x:c r="C105" s="19" t="str">
        <x:v>效率130%</x:v>
      </x:c>
      <x:c r="D105" s="34" t="n">
        <x:v>484</x:v>
      </x:c>
      <x:c r="E105" s="34" t="n">
        <x:v>22153388400</x:v>
      </x:c>
      <x:c r="F105" s="34" t="n">
        <x:v>230054418</x:v>
      </x:c>
      <x:c r="G105" s="34" t="n">
        <x:v>895.6199999999999</x:v>
      </x:c>
      <x:c r="H105" s="36" t="n">
        <x:v>0.0009715200000000001</x:v>
      </x:c>
    </x:row>
    <x:row r="106" ht="19" customHeight="1">
      <x:c r="A106" s="19" t="n">
        <x:v>4</x:v>
      </x:c>
      <x:c r="B106" s="19" t="n">
        <x:v>1</x:v>
      </x:c>
      <x:c r="C106" s="19" t="str">
        <x:v>抢怪可用50%</x:v>
      </x:c>
      <x:c r="D106" s="34" t="n">
        <x:v>242</x:v>
      </x:c>
      <x:c r="E106" s="34" t="n">
        <x:v>11076694200</x:v>
      </x:c>
      <x:c r="F106" s="34" t="n">
        <x:v>115027209</x:v>
      </x:c>
      <x:c r="G106" s="34" t="n">
        <x:v>447.80999999999995</x:v>
      </x:c>
      <x:c r="H106" s="36" t="n">
        <x:v>0.00048576000000000007</x:v>
      </x:c>
    </x:row>
    <x:row r="107" ht="19" customHeight="1">
      <x:c r="A107" s="19" t="n">
        <x:v>4</x:v>
      </x:c>
      <x:c r="B107" s="19" t="n">
        <x:v>1</x:v>
      </x:c>
      <x:c r="C107" s="19" t="str">
        <x:v>爆率80%</x:v>
      </x:c>
      <x:c r="D107" s="34" t="n">
        <x:v>481.3552200356422</x:v>
      </x:c>
      <x:c r="E107" s="34" t="n">
        <x:v>17487846324.825138</x:v>
      </x:c>
      <x:c r="F107" s="34" t="n">
        <x:v>181604557.98856878</x:v>
      </x:c>
      <x:c r="G107" s="34" t="n">
        <x:v>705.7899307042799</x:v>
      </x:c>
      <x:c r="H107" s="36" t="n">
        <x:v>0.00076918644802821</x:v>
      </x:c>
    </x:row>
    <x:row r="108" ht="19" customHeight="1">
      <x:c r="A108" s="19" t="n">
        <x:v>4</x:v>
      </x:c>
      <x:c r="B108" s="19" t="n">
        <x:v>1</x:v>
      </x:c>
      <x:c r="C108" s="19" t="str">
        <x:v>爆率120%</x:v>
      </x:c>
      <x:c r="D108" s="34" t="n">
        <x:v>481.3552200356422</x:v>
      </x:c>
      <x:c r="E108" s="34" t="n">
        <x:v>26231769487.237705</x:v>
      </x:c>
      <x:c r="F108" s="34" t="n">
        <x:v>272406836.98285306</x:v>
      </x:c>
      <x:c r="G108" s="34" t="n">
        <x:v>1058.6848960564198</x:v>
      </x:c>
      <x:c r="H108" s="36" t="n">
        <x:v>0.0011537796720423146</x:v>
      </x:c>
    </x:row>
    <x:row r="109" ht="19" customHeight="1">
      <x:c r="A109" s="19" t="n">
        <x:v>4</x:v>
      </x:c>
      <x:c r="B109" s="19" t="n">
        <x:v>1</x:v>
      </x:c>
      <x:c r="C109" s="19" t="str">
        <x:v>C10回刷</x:v>
      </x:c>
      <x:c r="D109" s="34" t="n">
        <x:v>484</x:v>
      </x:c>
      <x:c r="E109" s="34" t="n">
        <x:v>134900650684.8</x:v>
      </x:c>
      <x:c r="F109" s="34" t="n">
        <x:v>1400891372.4959998</x:v>
      </x:c>
      <x:c r="G109" s="34" t="n">
        <x:v>4374.85664</x:v>
      </x:c>
      <x:c r="H109" s="36" t="n">
        <x:v>0.0059159654400000004</x:v>
      </x:c>
    </x:row>
    <x:row r="110" ht="19" customHeight="1">
      <x:c r="A110" s="19" t="n">
        <x:v>4</x:v>
      </x:c>
      <x:c r="B110" s="19" t="n">
        <x:v>2</x:v>
      </x:c>
      <x:c r="C110" s="19" t="str">
        <x:v>基础</x:v>
      </x:c>
      <x:c r="D110" s="34" t="n">
        <x:v>480.69452879145945</x:v>
      </x:c>
      <x:c r="E110" s="34" t="n">
        <x:v>21786468700.33497</x:v>
      </x:c>
      <x:c r="F110" s="34" t="n">
        <x:v>226244098.04194</x:v>
      </x:c>
      <x:c r="G110" s="34" t="n">
        <x:v>878.8943156847849</x:v>
      </x:c>
      <x:c r="H110" s="36" t="n">
        <x:v>0.0009589757367635887</x:v>
      </x:c>
    </x:row>
    <x:row r="111" ht="19" customHeight="1">
      <x:c r="A111" s="19" t="n">
        <x:v>4</x:v>
      </x:c>
      <x:c r="B111" s="19" t="n">
        <x:v>2</x:v>
      </x:c>
      <x:c r="C111" s="19" t="str">
        <x:v>效率70%</x:v>
      </x:c>
      <x:c r="D111" s="34" t="n">
        <x:v>336.4861701540216</x:v>
      </x:c>
      <x:c r="E111" s="34" t="n">
        <x:v>15250528090.234476</x:v>
      </x:c>
      <x:c r="F111" s="34" t="n">
        <x:v>158370868.629358</x:v>
      </x:c>
      <x:c r="G111" s="34" t="n">
        <x:v>615.2260209793495</x:v>
      </x:c>
      <x:c r="H111" s="36" t="n">
        <x:v>0.000671283015734512</x:v>
      </x:c>
    </x:row>
    <x:row r="112" ht="19" customHeight="1">
      <x:c r="A112" s="19" t="n">
        <x:v>4</x:v>
      </x:c>
      <x:c r="B112" s="19" t="n">
        <x:v>2</x:v>
      </x:c>
      <x:c r="C112" s="19" t="str">
        <x:v>效率130%</x:v>
      </x:c>
      <x:c r="D112" s="34" t="n">
        <x:v>484</x:v>
      </x:c>
      <x:c r="E112" s="34" t="n">
        <x:v>22153388400</x:v>
      </x:c>
      <x:c r="F112" s="34" t="n">
        <x:v>230054418</x:v>
      </x:c>
      <x:c r="G112" s="34" t="n">
        <x:v>895.6200000000001</x:v>
      </x:c>
      <x:c r="H112" s="36" t="n">
        <x:v>0.0009715200000000001</x:v>
      </x:c>
    </x:row>
    <x:row r="113" ht="19" customHeight="1">
      <x:c r="A113" s="19" t="n">
        <x:v>4</x:v>
      </x:c>
      <x:c r="B113" s="19" t="n">
        <x:v>2</x:v>
      </x:c>
      <x:c r="C113" s="19" t="str">
        <x:v>抢怪可用50%</x:v>
      </x:c>
      <x:c r="D113" s="34" t="n">
        <x:v>242</x:v>
      </x:c>
      <x:c r="E113" s="34" t="n">
        <x:v>11076694200</x:v>
      </x:c>
      <x:c r="F113" s="34" t="n">
        <x:v>115027209</x:v>
      </x:c>
      <x:c r="G113" s="34" t="n">
        <x:v>447.81000000000006</x:v>
      </x:c>
      <x:c r="H113" s="36" t="n">
        <x:v>0.00048576000000000007</x:v>
      </x:c>
    </x:row>
    <x:row r="114" ht="19" customHeight="1">
      <x:c r="A114" s="19" t="n">
        <x:v>4</x:v>
      </x:c>
      <x:c r="B114" s="19" t="n">
        <x:v>2</x:v>
      </x:c>
      <x:c r="C114" s="19" t="str">
        <x:v>爆率80%</x:v>
      </x:c>
      <x:c r="D114" s="34" t="n">
        <x:v>480.69452879145945</x:v>
      </x:c>
      <x:c r="E114" s="34" t="n">
        <x:v>17429174960.267975</x:v>
      </x:c>
      <x:c r="F114" s="34" t="n">
        <x:v>180995278.43355203</x:v>
      </x:c>
      <x:c r="G114" s="34" t="n">
        <x:v>703.1154525478278</x:v>
      </x:c>
      <x:c r="H114" s="36" t="n">
        <x:v>0.0007671805894108708</x:v>
      </x:c>
    </x:row>
    <x:row r="115" ht="19" customHeight="1">
      <x:c r="A115" s="19" t="n">
        <x:v>4</x:v>
      </x:c>
      <x:c r="B115" s="19" t="n">
        <x:v>2</x:v>
      </x:c>
      <x:c r="C115" s="19" t="str">
        <x:v>爆率120%</x:v>
      </x:c>
      <x:c r="D115" s="34" t="n">
        <x:v>480.69452879145945</x:v>
      </x:c>
      <x:c r="E115" s="34" t="n">
        <x:v>26143762440.40196</x:v>
      </x:c>
      <x:c r="F115" s="34" t="n">
        <x:v>271492917.650328</x:v>
      </x:c>
      <x:c r="G115" s="34" t="n">
        <x:v>1054.6731788217417</x:v>
      </x:c>
      <x:c r="H115" s="36" t="n">
        <x:v>0.0011507708841163062</x:v>
      </x:c>
    </x:row>
    <x:row r="116" ht="19" customHeight="1">
      <x:c r="A116" s="19" t="n">
        <x:v>4</x:v>
      </x:c>
      <x:c r="B116" s="19" t="n">
        <x:v>2</x:v>
      </x:c>
      <x:c r="C116" s="19" t="str">
        <x:v>C10回刷</x:v>
      </x:c>
      <x:c r="D116" s="34" t="n">
        <x:v>484</x:v>
      </x:c>
      <x:c r="E116" s="34" t="n">
        <x:v>134900650684.8</x:v>
      </x:c>
      <x:c r="F116" s="34" t="n">
        <x:v>1400891372.4959998</x:v>
      </x:c>
      <x:c r="G116" s="34" t="n">
        <x:v>4374.85664</x:v>
      </x:c>
      <x:c r="H116" s="36" t="n">
        <x:v>0.0059159654400000004</x:v>
      </x:c>
    </x:row>
    <x:row r="117" ht="19" customHeight="1">
      <x:c r="A117" s="19" t="n">
        <x:v>4</x:v>
      </x:c>
      <x:c r="B117" s="19" t="n">
        <x:v>3</x:v>
      </x:c>
      <x:c r="C117" s="19" t="str">
        <x:v>基础</x:v>
      </x:c>
      <x:c r="D117" s="34" t="n">
        <x:v>481.99304084343976</x:v>
      </x:c>
      <x:c r="E117" s="34" t="n">
        <x:v>19705330406.145393</x:v>
      </x:c>
      <x:c r="F117" s="34" t="n">
        <x:v>204632277.29458678</x:v>
      </x:c>
      <x:c r="G117" s="34" t="n">
        <x:v>881.5261010382765</x:v>
      </x:c>
      <x:c r="H117" s="36" t="n">
        <x:v>0.0010495839091120408</x:v>
      </x:c>
    </x:row>
    <x:row r="118" ht="19" customHeight="1">
      <x:c r="A118" s="19" t="n">
        <x:v>4</x:v>
      </x:c>
      <x:c r="B118" s="19" t="n">
        <x:v>3</x:v>
      </x:c>
      <x:c r="C118" s="19" t="str">
        <x:v>效率70%</x:v>
      </x:c>
      <x:c r="D118" s="34" t="n">
        <x:v>337.3951285904078</x:v>
      </x:c>
      <x:c r="E118" s="34" t="n">
        <x:v>13793731284.301777</x:v>
      </x:c>
      <x:c r="F118" s="34" t="n">
        <x:v>143242594.1062107</x:v>
      </x:c>
      <x:c r="G118" s="34" t="n">
        <x:v>617.0682707267936</x:v>
      </x:c>
      <x:c r="H118" s="36" t="n">
        <x:v>0.0007347087363784284</x:v>
      </x:c>
    </x:row>
    <x:row r="119" ht="19" customHeight="1">
      <x:c r="A119" s="19" t="n">
        <x:v>4</x:v>
      </x:c>
      <x:c r="B119" s="19" t="n">
        <x:v>3</x:v>
      </x:c>
      <x:c r="C119" s="19" t="str">
        <x:v>效率130%</x:v>
      </x:c>
      <x:c r="D119" s="34" t="n">
        <x:v>484</x:v>
      </x:c>
      <x:c r="E119" s="34" t="n">
        <x:v>19887267400</x:v>
      </x:c>
      <x:c r="F119" s="34" t="n">
        <x:v>206521623</x:v>
      </x:c>
      <x:c r="G119" s="34" t="n">
        <x:v>892.5840000000001</x:v>
      </x:c>
      <x:c r="H119" s="36" t="n">
        <x:v>0.0010578773333333332</x:v>
      </x:c>
    </x:row>
    <x:row r="120" ht="19" customHeight="1">
      <x:c r="A120" s="19" t="n">
        <x:v>4</x:v>
      </x:c>
      <x:c r="B120" s="19" t="n">
        <x:v>3</x:v>
      </x:c>
      <x:c r="C120" s="19" t="str">
        <x:v>抢怪可用50%</x:v>
      </x:c>
      <x:c r="D120" s="34" t="n">
        <x:v>242</x:v>
      </x:c>
      <x:c r="E120" s="34" t="n">
        <x:v>9943633700</x:v>
      </x:c>
      <x:c r="F120" s="34" t="n">
        <x:v>103260811.5</x:v>
      </x:c>
      <x:c r="G120" s="34" t="n">
        <x:v>446.29200000000003</x:v>
      </x:c>
      <x:c r="H120" s="36" t="n">
        <x:v>0.0005289386666666666</x:v>
      </x:c>
    </x:row>
    <x:row r="121" ht="19" customHeight="1">
      <x:c r="A121" s="19" t="n">
        <x:v>4</x:v>
      </x:c>
      <x:c r="B121" s="19" t="n">
        <x:v>3</x:v>
      </x:c>
      <x:c r="C121" s="19" t="str">
        <x:v>爆率80%</x:v>
      </x:c>
      <x:c r="D121" s="34" t="n">
        <x:v>481.99304084343976</x:v>
      </x:c>
      <x:c r="E121" s="34" t="n">
        <x:v>15764264324.916317</x:v>
      </x:c>
      <x:c r="F121" s="34" t="n">
        <x:v>163705821.83566946</x:v>
      </x:c>
      <x:c r="G121" s="34" t="n">
        <x:v>705.2208808306214</x:v>
      </x:c>
      <x:c r="H121" s="36" t="n">
        <x:v>0.0008396671272896325</x:v>
      </x:c>
    </x:row>
    <x:row r="122" ht="19" customHeight="1">
      <x:c r="A122" s="19" t="n">
        <x:v>4</x:v>
      </x:c>
      <x:c r="B122" s="19" t="n">
        <x:v>3</x:v>
      </x:c>
      <x:c r="C122" s="19" t="str">
        <x:v>爆率120%</x:v>
      </x:c>
      <x:c r="D122" s="34" t="n">
        <x:v>481.99304084343976</x:v>
      </x:c>
      <x:c r="E122" s="34" t="n">
        <x:v>23646396487.37447</x:v>
      </x:c>
      <x:c r="F122" s="34" t="n">
        <x:v>245558732.75350413</x:v>
      </x:c>
      <x:c r="G122" s="34" t="n">
        <x:v>1057.8313212459318</x:v>
      </x:c>
      <x:c r="H122" s="36" t="n">
        <x:v>0.0012595006909344487</x:v>
      </x:c>
    </x:row>
    <x:row r="123" ht="19" customHeight="1">
      <x:c r="A123" s="19" t="n">
        <x:v>4</x:v>
      </x:c>
      <x:c r="B123" s="19" t="n">
        <x:v>3</x:v>
      </x:c>
      <x:c r="C123" s="19" t="str">
        <x:v>C10回刷</x:v>
      </x:c>
      <x:c r="D123" s="34" t="n">
        <x:v>484</x:v>
      </x:c>
      <x:c r="E123" s="34" t="n">
        <x:v>111215528424.00002</x:v>
      </x:c>
      <x:c r="F123" s="34" t="n">
        <x:v>1154930487.4800003</x:v>
      </x:c>
      <x:c r="G123" s="34" t="n">
        <x:v>4374.85664</x:v>
      </x:c>
      <x:c r="H123" s="36" t="n">
        <x:v>0.0059159654400000004</x:v>
      </x:c>
    </x:row>
    <x:row r="124" ht="19" customHeight="1">
      <x:c r="A124" s="19" t="n">
        <x:v>4</x:v>
      </x:c>
      <x:c r="B124" s="19" t="n">
        <x:v>4</x:v>
      </x:c>
      <x:c r="C124" s="19" t="str">
        <x:v>基础</x:v>
      </x:c>
      <x:c r="D124" s="34" t="n">
        <x:v>483.64512048682434</x:v>
      </x:c>
      <x:c r="E124" s="34" t="n">
        <x:v>22909271891.077362</x:v>
      </x:c>
      <x:c r="F124" s="34" t="n">
        <x:v>237903977.33041874</x:v>
      </x:c>
      <x:c r="G124" s="34" t="n">
        <x:v>890.4732941801642</x:v>
      </x:c>
      <x:c r="H124" s="36" t="n">
        <x:v>0.0012288860941801645</x:v>
      </x:c>
    </x:row>
    <x:row r="125" ht="19" customHeight="1">
      <x:c r="A125" s="19" t="n">
        <x:v>4</x:v>
      </x:c>
      <x:c r="B125" s="19" t="n">
        <x:v>4</x:v>
      </x:c>
      <x:c r="C125" s="19" t="str">
        <x:v>效率70%</x:v>
      </x:c>
      <x:c r="D125" s="34" t="n">
        <x:v>338.551584340777</x:v>
      </x:c>
      <x:c r="E125" s="34" t="n">
        <x:v>16036490323.75415</x:v>
      </x:c>
      <x:c r="F125" s="34" t="n">
        <x:v>166532784.1312931</x:v>
      </x:c>
      <x:c r="G125" s="34" t="n">
        <x:v>623.3313059261152</x:v>
      </x:c>
      <x:c r="H125" s="36" t="n">
        <x:v>0.0008602202659261152</x:v>
      </x:c>
    </x:row>
    <x:row r="126" ht="19" customHeight="1">
      <x:c r="A126" s="19" t="n">
        <x:v>4</x:v>
      </x:c>
      <x:c r="B126" s="19" t="n">
        <x:v>4</x:v>
      </x:c>
      <x:c r="C126" s="19" t="str">
        <x:v>效率130%</x:v>
      </x:c>
      <x:c r="D126" s="34" t="n">
        <x:v>484</x:v>
      </x:c>
      <x:c r="E126" s="34" t="n">
        <x:v>22946695200</x:v>
      </x:c>
      <x:c r="F126" s="34" t="n">
        <x:v>238292603.99999997</x:v>
      </x:c>
      <x:c r="G126" s="34" t="n">
        <x:v>892.1791999999996</x:v>
      </x:c>
      <x:c r="H126" s="36" t="n">
        <x:v>0.0012305919999999998</x:v>
      </x:c>
    </x:row>
    <x:row r="127" ht="19" customHeight="1">
      <x:c r="A127" s="19" t="n">
        <x:v>4</x:v>
      </x:c>
      <x:c r="B127" s="19" t="n">
        <x:v>4</x:v>
      </x:c>
      <x:c r="C127" s="19" t="str">
        <x:v>抢怪可用50%</x:v>
      </x:c>
      <x:c r="D127" s="34" t="n">
        <x:v>242</x:v>
      </x:c>
      <x:c r="E127" s="34" t="n">
        <x:v>11473347600</x:v>
      </x:c>
      <x:c r="F127" s="34" t="n">
        <x:v>119146301.99999999</x:v>
      </x:c>
      <x:c r="G127" s="34" t="n">
        <x:v>446.0895999999998</x:v>
      </x:c>
      <x:c r="H127" s="36" t="n">
        <x:v>0.0006152959999999999</x:v>
      </x:c>
    </x:row>
    <x:row r="128" ht="19" customHeight="1">
      <x:c r="A128" s="19" t="n">
        <x:v>4</x:v>
      </x:c>
      <x:c r="B128" s="19" t="n">
        <x:v>4</x:v>
      </x:c>
      <x:c r="C128" s="19" t="str">
        <x:v>爆率80%</x:v>
      </x:c>
      <x:c r="D128" s="34" t="n">
        <x:v>483.64512048682434</x:v>
      </x:c>
      <x:c r="E128" s="34" t="n">
        <x:v>18327417512.86189</x:v>
      </x:c>
      <x:c r="F128" s="34" t="n">
        <x:v>190323181.86433503</x:v>
      </x:c>
      <x:c r="G128" s="34" t="n">
        <x:v>712.3786353441316</x:v>
      </x:c>
      <x:c r="H128" s="36" t="n">
        <x:v>0.0009831088753441317</x:v>
      </x:c>
    </x:row>
    <x:row r="129" ht="19" customHeight="1">
      <x:c r="A129" s="19" t="n">
        <x:v>4</x:v>
      </x:c>
      <x:c r="B129" s="19" t="n">
        <x:v>4</x:v>
      </x:c>
      <x:c r="C129" s="19" t="str">
        <x:v>爆率120%</x:v>
      </x:c>
      <x:c r="D129" s="34" t="n">
        <x:v>483.64512048682434</x:v>
      </x:c>
      <x:c r="E129" s="34" t="n">
        <x:v>27491126269.29283</x:v>
      </x:c>
      <x:c r="F129" s="34" t="n">
        <x:v>285484772.7965025</x:v>
      </x:c>
      <x:c r="G129" s="34" t="n">
        <x:v>1068.5679530161972</x:v>
      </x:c>
      <x:c r="H129" s="36" t="n">
        <x:v>0.0014746633130161976</x:v>
      </x:c>
    </x:row>
    <x:row r="130" ht="19" customHeight="1">
      <x:c r="A130" s="19" t="n">
        <x:v>4</x:v>
      </x:c>
      <x:c r="B130" s="19" t="n">
        <x:v>4</x:v>
      </x:c>
      <x:c r="C130" s="19" t="str">
        <x:v>C10回刷</x:v>
      </x:c>
      <x:c r="D130" s="34" t="n">
        <x:v>484</x:v>
      </x:c>
      <x:c r="E130" s="34" t="n">
        <x:v>110314268064.00002</x:v>
      </x:c>
      <x:c r="F130" s="34" t="n">
        <x:v>1145571245.2800004</x:v>
      </x:c>
      <x:c r="G130" s="34" t="n">
        <x:v>3320.335744</x:v>
      </x:c>
      <x:c r="H130" s="36" t="n">
        <x:v>0.0059159654400000004</x:v>
      </x:c>
    </x:row>
    <x:row r="131" ht="19" customHeight="1">
      <x:c r="A131" s="19" t="n">
        <x:v>4</x:v>
      </x:c>
      <x:c r="B131" s="19" t="n">
        <x:v>5</x:v>
      </x:c>
      <x:c r="C131" s="19" t="str">
        <x:v>基础</x:v>
      </x:c>
      <x:c r="D131" s="34" t="n">
        <x:v>482.6664793082343</x:v>
      </x:c>
      <x:c r="E131" s="34" t="n">
        <x:v>22806070692.385838</x:v>
      </x:c>
      <x:c r="F131" s="34" t="n">
        <x:v>236832272.57477602</x:v>
      </x:c>
      <x:c r="G131" s="34" t="n">
        <x:v>885.768966034682</x:v>
      </x:c>
      <x:c r="H131" s="36" t="n">
        <x:v>0.0012241817660346823</x:v>
      </x:c>
    </x:row>
    <x:row r="132" ht="19" customHeight="1">
      <x:c r="A132" s="19" t="n">
        <x:v>4</x:v>
      </x:c>
      <x:c r="B132" s="19" t="n">
        <x:v>5</x:v>
      </x:c>
      <x:c r="C132" s="19" t="str">
        <x:v>效率70%</x:v>
      </x:c>
      <x:c r="D132" s="34" t="n">
        <x:v>337.866535515764</x:v>
      </x:c>
      <x:c r="E132" s="34" t="n">
        <x:v>15964249484.670086</x:v>
      </x:c>
      <x:c r="F132" s="34" t="n">
        <x:v>165782590.80234322</x:v>
      </x:c>
      <x:c r="G132" s="34" t="n">
        <x:v>620.0382762242776</x:v>
      </x:c>
      <x:c r="H132" s="36" t="n">
        <x:v>0.0008569272362242775</x:v>
      </x:c>
    </x:row>
    <x:row r="133" ht="19" customHeight="1">
      <x:c r="A133" s="19" t="n">
        <x:v>4</x:v>
      </x:c>
      <x:c r="B133" s="19" t="n">
        <x:v>5</x:v>
      </x:c>
      <x:c r="C133" s="19" t="str">
        <x:v>效率130%</x:v>
      </x:c>
      <x:c r="D133" s="34" t="n">
        <x:v>484</x:v>
      </x:c>
      <x:c r="E133" s="34" t="n">
        <x:v>22946695200</x:v>
      </x:c>
      <x:c r="F133" s="34" t="n">
        <x:v>238292603.99999997</x:v>
      </x:c>
      <x:c r="G133" s="34" t="n">
        <x:v>892.1791999999996</x:v>
      </x:c>
      <x:c r="H133" s="36" t="n">
        <x:v>0.0012305919999999998</x:v>
      </x:c>
    </x:row>
    <x:row r="134" ht="19" customHeight="1">
      <x:c r="A134" s="19" t="n">
        <x:v>4</x:v>
      </x:c>
      <x:c r="B134" s="19" t="n">
        <x:v>5</x:v>
      </x:c>
      <x:c r="C134" s="19" t="str">
        <x:v>抢怪可用50%</x:v>
      </x:c>
      <x:c r="D134" s="34" t="n">
        <x:v>242</x:v>
      </x:c>
      <x:c r="E134" s="34" t="n">
        <x:v>11473347600</x:v>
      </x:c>
      <x:c r="F134" s="34" t="n">
        <x:v>119146301.99999999</x:v>
      </x:c>
      <x:c r="G134" s="34" t="n">
        <x:v>446.0895999999998</x:v>
      </x:c>
      <x:c r="H134" s="36" t="n">
        <x:v>0.0006152959999999999</x:v>
      </x:c>
    </x:row>
    <x:row r="135" ht="19" customHeight="1">
      <x:c r="A135" s="19" t="n">
        <x:v>4</x:v>
      </x:c>
      <x:c r="B135" s="19" t="n">
        <x:v>5</x:v>
      </x:c>
      <x:c r="C135" s="19" t="str">
        <x:v>爆率80%</x:v>
      </x:c>
      <x:c r="D135" s="34" t="n">
        <x:v>482.6664793082343</x:v>
      </x:c>
      <x:c r="E135" s="34" t="n">
        <x:v>18244856553.908676</x:v>
      </x:c>
      <x:c r="F135" s="34" t="n">
        <x:v>189465818.05982086</x:v>
      </x:c>
      <x:c r="G135" s="34" t="n">
        <x:v>708.6151728277457</x:v>
      </x:c>
      <x:c r="H135" s="36" t="n">
        <x:v>0.0009793454128277461</x:v>
      </x:c>
    </x:row>
    <x:row r="136" ht="19" customHeight="1">
      <x:c r="A136" s="19" t="n">
        <x:v>4</x:v>
      </x:c>
      <x:c r="B136" s="19" t="n">
        <x:v>5</x:v>
      </x:c>
      <x:c r="C136" s="19" t="str">
        <x:v>爆率120%</x:v>
      </x:c>
      <x:c r="D136" s="34" t="n">
        <x:v>482.6664793082343</x:v>
      </x:c>
      <x:c r="E136" s="34" t="n">
        <x:v>27367284830.863007</x:v>
      </x:c>
      <x:c r="F136" s="34" t="n">
        <x:v>284198727.0897312</x:v>
      </x:c>
      <x:c r="G136" s="34" t="n">
        <x:v>1062.9227592416185</x:v>
      </x:c>
      <x:c r="H136" s="36" t="n">
        <x:v>0.0014690181192416189</x:v>
      </x:c>
    </x:row>
    <x:row r="137" ht="19" customHeight="1">
      <x:c r="A137" s="19" t="n">
        <x:v>4</x:v>
      </x:c>
      <x:c r="B137" s="19" t="n">
        <x:v>5</x:v>
      </x:c>
      <x:c r="C137" s="19" t="str">
        <x:v>C10回刷</x:v>
      </x:c>
      <x:c r="D137" s="34" t="n">
        <x:v>484</x:v>
      </x:c>
      <x:c r="E137" s="34" t="n">
        <x:v>110314268064.00002</x:v>
      </x:c>
      <x:c r="F137" s="34" t="n">
        <x:v>1145571245.2800004</x:v>
      </x:c>
      <x:c r="G137" s="34" t="n">
        <x:v>3320.335744</x:v>
      </x:c>
      <x:c r="H137" s="36" t="n">
        <x:v>0.0059159654400000004</x:v>
      </x:c>
    </x:row>
    <x:row r="138" ht="19" customHeight="1">
      <x:c r="A138" s="19" t="n">
        <x:v>4</x:v>
      </x:c>
      <x:c r="B138" s="19" t="n">
        <x:v>6</x:v>
      </x:c>
      <x:c r="C138" s="19" t="str">
        <x:v>基础</x:v>
      </x:c>
      <x:c r="D138" s="34" t="n">
        <x:v>477.61615366608885</x:v>
      </x:c>
      <x:c r="E138" s="34" t="n">
        <x:v>22273495861.636505</x:v>
      </x:c>
      <x:c r="F138" s="34" t="n">
        <x:v>231301687.79391757</x:v>
      </x:c>
      <x:c r="G138" s="34" t="n">
        <x:v>861.492050672889</x:v>
      </x:c>
      <x:c r="H138" s="36" t="n">
        <x:v>0.001199904850672889</x:v>
      </x:c>
    </x:row>
    <x:row r="139" ht="19" customHeight="1">
      <x:c r="A139" s="19" t="n">
        <x:v>4</x:v>
      </x:c>
      <x:c r="B139" s="19" t="n">
        <x:v>6</x:v>
      </x:c>
      <x:c r="C139" s="19" t="str">
        <x:v>效率70%</x:v>
      </x:c>
      <x:c r="D139" s="34" t="n">
        <x:v>334.3313075662622</x:v>
      </x:c>
      <x:c r="E139" s="34" t="n">
        <x:v>15591447103.145552</x:v>
      </x:c>
      <x:c r="F139" s="34" t="n">
        <x:v>161911181.45574227</x:v>
      </x:c>
      <x:c r="G139" s="34" t="n">
        <x:v>603.0444354710224</x:v>
      </x:c>
      <x:c r="H139" s="36" t="n">
        <x:v>0.0008399333954710224</x:v>
      </x:c>
    </x:row>
    <x:row r="140" ht="19" customHeight="1">
      <x:c r="A140" s="19" t="n">
        <x:v>4</x:v>
      </x:c>
      <x:c r="B140" s="19" t="n">
        <x:v>6</x:v>
      </x:c>
      <x:c r="C140" s="19" t="str">
        <x:v>效率130%</x:v>
      </x:c>
      <x:c r="D140" s="34" t="n">
        <x:v>482.9009997659155</x:v>
      </x:c>
      <x:c r="E140" s="34" t="n">
        <x:v>22830801710.127457</x:v>
      </x:c>
      <x:c r="F140" s="34" t="n">
        <x:v>237089094.68209282</x:v>
      </x:c>
      <x:c r="G140" s="34" t="n">
        <x:v>886.8963058747559</x:v>
      </x:c>
      <x:c r="H140" s="36" t="n">
        <x:v>0.0012253091058747557</x:v>
      </x:c>
    </x:row>
    <x:row r="141" ht="19" customHeight="1">
      <x:c r="A141" s="19" t="n">
        <x:v>4</x:v>
      </x:c>
      <x:c r="B141" s="19" t="n">
        <x:v>6</x:v>
      </x:c>
      <x:c r="C141" s="19" t="str">
        <x:v>抢怪可用50%</x:v>
      </x:c>
      <x:c r="D141" s="34" t="n">
        <x:v>242</x:v>
      </x:c>
      <x:c r="E141" s="34" t="n">
        <x:v>11473347600</x:v>
      </x:c>
      <x:c r="F141" s="34" t="n">
        <x:v>119146301.99999999</x:v>
      </x:c>
      <x:c r="G141" s="34" t="n">
        <x:v>446.0895999999999</x:v>
      </x:c>
      <x:c r="H141" s="36" t="n">
        <x:v>0.0006152959999999999</x:v>
      </x:c>
    </x:row>
    <x:row r="142" ht="19" customHeight="1">
      <x:c r="A142" s="19" t="n">
        <x:v>4</x:v>
      </x:c>
      <x:c r="B142" s="19" t="n">
        <x:v>6</x:v>
      </x:c>
      <x:c r="C142" s="19" t="str">
        <x:v>爆率80%</x:v>
      </x:c>
      <x:c r="D142" s="34" t="n">
        <x:v>477.61615366608885</x:v>
      </x:c>
      <x:c r="E142" s="34" t="n">
        <x:v>17818796689.309204</x:v>
      </x:c>
      <x:c r="F142" s="34" t="n">
        <x:v>185041350.2351341</x:v>
      </x:c>
      <x:c r="G142" s="34" t="n">
        <x:v>689.1936405383112</x:v>
      </x:c>
      <x:c r="H142" s="36" t="n">
        <x:v>0.0009599238805383113</x:v>
      </x:c>
    </x:row>
    <x:row r="143" ht="19" customHeight="1">
      <x:c r="A143" s="19" t="n">
        <x:v>4</x:v>
      </x:c>
      <x:c r="B143" s="19" t="n">
        <x:v>6</x:v>
      </x:c>
      <x:c r="C143" s="19" t="str">
        <x:v>爆率120%</x:v>
      </x:c>
      <x:c r="D143" s="34" t="n">
        <x:v>477.61615366608885</x:v>
      </x:c>
      <x:c r="E143" s="34" t="n">
        <x:v>26728195033.963806</x:v>
      </x:c>
      <x:c r="F143" s="34" t="n">
        <x:v>277562025.35270107</x:v>
      </x:c>
      <x:c r="G143" s="34" t="n">
        <x:v>1033.7904608074668</x:v>
      </x:c>
      <x:c r="H143" s="36" t="n">
        <x:v>0.0014398858208074666</x:v>
      </x:c>
    </x:row>
    <x:row r="144" ht="19" customHeight="1">
      <x:c r="A144" s="19" t="n">
        <x:v>4</x:v>
      </x:c>
      <x:c r="B144" s="19" t="n">
        <x:v>6</x:v>
      </x:c>
      <x:c r="C144" s="19" t="str">
        <x:v>C10回刷</x:v>
      </x:c>
      <x:c r="D144" s="34" t="n">
        <x:v>484</x:v>
      </x:c>
      <x:c r="E144" s="34" t="n">
        <x:v>110314268064.00002</x:v>
      </x:c>
      <x:c r="F144" s="34" t="n">
        <x:v>1145571245.2800004</x:v>
      </x:c>
      <x:c r="G144" s="34" t="n">
        <x:v>4024.335744</x:v>
      </x:c>
      <x:c r="H144" s="36" t="n">
        <x:v>0.0059159654400000004</x:v>
      </x:c>
    </x:row>
    <x:row r="145" ht="19" customHeight="1">
      <x:c r="A145" s="19" t="n">
        <x:v>5</x:v>
      </x:c>
      <x:c r="B145" s="19" t="n">
        <x:v>1</x:v>
      </x:c>
      <x:c r="C145" s="19" t="str">
        <x:v>基础</x:v>
      </x:c>
      <x:c r="D145" s="34" t="n">
        <x:v>479.86141590404026</x:v>
      </x:c>
      <x:c r="E145" s="34" t="n">
        <x:v>38422992420.1008</x:v>
      </x:c>
      <x:c r="F145" s="34" t="n">
        <x:v>458781999.0459797</x:v>
      </x:c>
      <x:c r="G145" s="34" t="n">
        <x:v>960.8387084610547</x:v>
      </x:c>
      <x:c r="H145" s="36" t="n">
        <x:v>0.00122122563343551</x:v>
      </x:c>
    </x:row>
    <x:row r="146" ht="19" customHeight="1">
      <x:c r="A146" s="19" t="n">
        <x:v>5</x:v>
      </x:c>
      <x:c r="B146" s="19" t="n">
        <x:v>1</x:v>
      </x:c>
      <x:c r="C146" s="19" t="str">
        <x:v>效率70%</x:v>
      </x:c>
      <x:c r="D146" s="34" t="n">
        <x:v>335.90299113282816</x:v>
      </x:c>
      <x:c r="E146" s="34" t="n">
        <x:v>26896094694.070557</x:v>
      </x:c>
      <x:c r="F146" s="34" t="n">
        <x:v>321147399.3321858</x:v>
      </x:c>
      <x:c r="G146" s="34" t="n">
        <x:v>672.5870959227382</x:v>
      </x:c>
      <x:c r="H146" s="36" t="n">
        <x:v>0.0008548579434048573</x:v>
      </x:c>
    </x:row>
    <x:row r="147" ht="19" customHeight="1">
      <x:c r="A147" s="19" t="n">
        <x:v>5</x:v>
      </x:c>
      <x:c r="B147" s="19" t="n">
        <x:v>1</x:v>
      </x:c>
      <x:c r="C147" s="19" t="str">
        <x:v>效率130%</x:v>
      </x:c>
      <x:c r="D147" s="34" t="n">
        <x:v>484</x:v>
      </x:c>
      <x:c r="E147" s="34" t="n">
        <x:v>39179273760</x:v>
      </x:c>
      <x:c r="F147" s="34" t="n">
        <x:v>467812224</x:v>
      </x:c>
      <x:c r="G147" s="34" t="n">
        <x:v>985.9226666666668</x:v>
      </x:c>
      <x:c r="H147" s="36" t="n">
        <x:v>0.0012412927999999998</x:v>
      </x:c>
    </x:row>
    <x:row r="148" ht="19" customHeight="1">
      <x:c r="A148" s="19" t="n">
        <x:v>5</x:v>
      </x:c>
      <x:c r="B148" s="19" t="n">
        <x:v>1</x:v>
      </x:c>
      <x:c r="C148" s="19" t="str">
        <x:v>抢怪可用50%</x:v>
      </x:c>
      <x:c r="D148" s="34" t="n">
        <x:v>242</x:v>
      </x:c>
      <x:c r="E148" s="34" t="n">
        <x:v>19589636880</x:v>
      </x:c>
      <x:c r="F148" s="34" t="n">
        <x:v>233906112</x:v>
      </x:c>
      <x:c r="G148" s="34" t="n">
        <x:v>492.9613333333334</x:v>
      </x:c>
      <x:c r="H148" s="36" t="n">
        <x:v>0.0006206463999999999</x:v>
      </x:c>
    </x:row>
    <x:row r="149" ht="19" customHeight="1">
      <x:c r="A149" s="19" t="n">
        <x:v>5</x:v>
      </x:c>
      <x:c r="B149" s="19" t="n">
        <x:v>1</x:v>
      </x:c>
      <x:c r="C149" s="19" t="str">
        <x:v>爆率80%</x:v>
      </x:c>
      <x:c r="D149" s="34" t="n">
        <x:v>479.86141590404026</x:v>
      </x:c>
      <x:c r="E149" s="34" t="n">
        <x:v>30738393936.080635</x:v>
      </x:c>
      <x:c r="F149" s="34" t="n">
        <x:v>367025599.23678374</x:v>
      </x:c>
      <x:c r="G149" s="34" t="n">
        <x:v>768.6709667688435</x:v>
      </x:c>
      <x:c r="H149" s="36" t="n">
        <x:v>0.0009769805067484085</x:v>
      </x:c>
    </x:row>
    <x:row r="150" ht="19" customHeight="1">
      <x:c r="A150" s="19" t="n">
        <x:v>5</x:v>
      </x:c>
      <x:c r="B150" s="19" t="n">
        <x:v>1</x:v>
      </x:c>
      <x:c r="C150" s="19" t="str">
        <x:v>爆率120%</x:v>
      </x:c>
      <x:c r="D150" s="34" t="n">
        <x:v>479.86141590404026</x:v>
      </x:c>
      <x:c r="E150" s="34" t="n">
        <x:v>46107590904.12095</x:v>
      </x:c>
      <x:c r="F150" s="34" t="n">
        <x:v>550538398.8551756</x:v>
      </x:c>
      <x:c r="G150" s="34" t="n">
        <x:v>1153.0064501532654</x:v>
      </x:c>
      <x:c r="H150" s="36" t="n">
        <x:v>0.0014654707601226122</x:v>
      </x:c>
    </x:row>
    <x:row r="151" ht="19" customHeight="1">
      <x:c r="A151" s="19" t="n">
        <x:v>5</x:v>
      </x:c>
      <x:c r="B151" s="19" t="n">
        <x:v>1</x:v>
      </x:c>
      <x:c r="C151" s="19" t="str">
        <x:v>C10回刷</x:v>
      </x:c>
      <x:c r="D151" s="34" t="n">
        <x:v>484</x:v>
      </x:c>
      <x:c r="E151" s="34" t="n">
        <x:v>186727281048</x:v>
      </x:c>
      <x:c r="F151" s="34" t="n">
        <x:v>2229579475.2</x:v>
      </x:c>
      <x:c r="G151" s="34" t="n">
        <x:v>4203.4168</x:v>
      </x:c>
      <x:c r="H151" s="36" t="n">
        <x:v>0.0059159654400000004</x:v>
      </x:c>
    </x:row>
    <x:row r="152" ht="19" customHeight="1">
      <x:c r="A152" s="19" t="n">
        <x:v>5</x:v>
      </x:c>
      <x:c r="B152" s="19" t="n">
        <x:v>2</x:v>
      </x:c>
      <x:c r="C152" s="19" t="str">
        <x:v>基础</x:v>
      </x:c>
      <x:c r="D152" s="34" t="n">
        <x:v>479.86141590404026</x:v>
      </x:c>
      <x:c r="E152" s="34" t="n">
        <x:v>38422992420.1008</x:v>
      </x:c>
      <x:c r="F152" s="34" t="n">
        <x:v>458781999.0459797</x:v>
      </x:c>
      <x:c r="G152" s="34" t="n">
        <x:v>960.8387084610546</x:v>
      </x:c>
      <x:c r="H152" s="36" t="n">
        <x:v>0.00122122563343551</x:v>
      </x:c>
    </x:row>
    <x:row r="153" ht="19" customHeight="1">
      <x:c r="A153" s="19" t="n">
        <x:v>5</x:v>
      </x:c>
      <x:c r="B153" s="19" t="n">
        <x:v>2</x:v>
      </x:c>
      <x:c r="C153" s="19" t="str">
        <x:v>效率70%</x:v>
      </x:c>
      <x:c r="D153" s="34" t="n">
        <x:v>335.90299113282816</x:v>
      </x:c>
      <x:c r="E153" s="34" t="n">
        <x:v>26896094694.070557</x:v>
      </x:c>
      <x:c r="F153" s="34" t="n">
        <x:v>321147399.33218575</x:v>
      </x:c>
      <x:c r="G153" s="34" t="n">
        <x:v>672.5870959227382</x:v>
      </x:c>
      <x:c r="H153" s="36" t="n">
        <x:v>0.0008548579434048573</x:v>
      </x:c>
    </x:row>
    <x:row r="154" ht="19" customHeight="1">
      <x:c r="A154" s="19" t="n">
        <x:v>5</x:v>
      </x:c>
      <x:c r="B154" s="19" t="n">
        <x:v>2</x:v>
      </x:c>
      <x:c r="C154" s="19" t="str">
        <x:v>效率130%</x:v>
      </x:c>
      <x:c r="D154" s="34" t="n">
        <x:v>484</x:v>
      </x:c>
      <x:c r="E154" s="34" t="n">
        <x:v>39179273760</x:v>
      </x:c>
      <x:c r="F154" s="34" t="n">
        <x:v>467812224</x:v>
      </x:c>
      <x:c r="G154" s="34" t="n">
        <x:v>985.9226666666667</x:v>
      </x:c>
      <x:c r="H154" s="36" t="n">
        <x:v>0.0012412927999999998</x:v>
      </x:c>
    </x:row>
    <x:row r="155" ht="19" customHeight="1">
      <x:c r="A155" s="19" t="n">
        <x:v>5</x:v>
      </x:c>
      <x:c r="B155" s="19" t="n">
        <x:v>2</x:v>
      </x:c>
      <x:c r="C155" s="19" t="str">
        <x:v>抢怪可用50%</x:v>
      </x:c>
      <x:c r="D155" s="34" t="n">
        <x:v>242</x:v>
      </x:c>
      <x:c r="E155" s="34" t="n">
        <x:v>19589636880</x:v>
      </x:c>
      <x:c r="F155" s="34" t="n">
        <x:v>233906112</x:v>
      </x:c>
      <x:c r="G155" s="34" t="n">
        <x:v>492.96133333333336</x:v>
      </x:c>
      <x:c r="H155" s="36" t="n">
        <x:v>0.0006206463999999999</x:v>
      </x:c>
    </x:row>
    <x:row r="156" ht="19" customHeight="1">
      <x:c r="A156" s="19" t="n">
        <x:v>5</x:v>
      </x:c>
      <x:c r="B156" s="19" t="n">
        <x:v>2</x:v>
      </x:c>
      <x:c r="C156" s="19" t="str">
        <x:v>爆率80%</x:v>
      </x:c>
      <x:c r="D156" s="34" t="n">
        <x:v>479.86141590404026</x:v>
      </x:c>
      <x:c r="E156" s="34" t="n">
        <x:v>30738393936.080635</x:v>
      </x:c>
      <x:c r="F156" s="34" t="n">
        <x:v>367025599.2367837</x:v>
      </x:c>
      <x:c r="G156" s="34" t="n">
        <x:v>768.6709667688438</x:v>
      </x:c>
      <x:c r="H156" s="36" t="n">
        <x:v>0.0009769805067484085</x:v>
      </x:c>
    </x:row>
    <x:row r="157" ht="19" customHeight="1">
      <x:c r="A157" s="19" t="n">
        <x:v>5</x:v>
      </x:c>
      <x:c r="B157" s="19" t="n">
        <x:v>2</x:v>
      </x:c>
      <x:c r="C157" s="19" t="str">
        <x:v>爆率120%</x:v>
      </x:c>
      <x:c r="D157" s="34" t="n">
        <x:v>479.86141590404026</x:v>
      </x:c>
      <x:c r="E157" s="34" t="n">
        <x:v>46107590904.12095</x:v>
      </x:c>
      <x:c r="F157" s="34" t="n">
        <x:v>550538398.8551756</x:v>
      </x:c>
      <x:c r="G157" s="34" t="n">
        <x:v>1153.0064501532656</x:v>
      </x:c>
      <x:c r="H157" s="36" t="n">
        <x:v>0.0014654707601226124</x:v>
      </x:c>
    </x:row>
    <x:row r="158" ht="19" customHeight="1">
      <x:c r="A158" s="19" t="n">
        <x:v>5</x:v>
      </x:c>
      <x:c r="B158" s="19" t="n">
        <x:v>2</x:v>
      </x:c>
      <x:c r="C158" s="19" t="str">
        <x:v>C10回刷</x:v>
      </x:c>
      <x:c r="D158" s="34" t="n">
        <x:v>484</x:v>
      </x:c>
      <x:c r="E158" s="34" t="n">
        <x:v>186727281048</x:v>
      </x:c>
      <x:c r="F158" s="34" t="n">
        <x:v>2229579475.2</x:v>
      </x:c>
      <x:c r="G158" s="34" t="n">
        <x:v>4203.4168</x:v>
      </x:c>
      <x:c r="H158" s="36" t="n">
        <x:v>0.0059159654400000004</x:v>
      </x:c>
    </x:row>
    <x:row r="159" ht="19" customHeight="1">
      <x:c r="A159" s="19" t="n">
        <x:v>5</x:v>
      </x:c>
      <x:c r="B159" s="19" t="n">
        <x:v>3</x:v>
      </x:c>
      <x:c r="C159" s="19" t="str">
        <x:v>基础</x:v>
      </x:c>
      <x:c r="D159" s="34" t="n">
        <x:v>483.41833737625785</x:v>
      </x:c>
      <x:c r="E159" s="34" t="n">
        <x:v>32982651808.086136</x:v>
      </x:c>
      <x:c r="F159" s="34" t="n">
        <x:v>393822708.1562524</x:v>
      </x:c>
      <x:c r="G159" s="34" t="n">
        <x:v>1068.5724033203203</x:v>
      </x:c>
      <x:c r="H159" s="36" t="n">
        <x:v>0.0013471103671007009</x:v>
      </x:c>
    </x:row>
    <x:row r="160" ht="19" customHeight="1">
      <x:c r="A160" s="19" t="n">
        <x:v>5</x:v>
      </x:c>
      <x:c r="B160" s="19" t="n">
        <x:v>3</x:v>
      </x:c>
      <x:c r="C160" s="19" t="str">
        <x:v>效率70%</x:v>
      </x:c>
      <x:c r="D160" s="34" t="n">
        <x:v>338.3928361633805</x:v>
      </x:c>
      <x:c r="E160" s="34" t="n">
        <x:v>23087856265.66029</x:v>
      </x:c>
      <x:c r="F160" s="34" t="n">
        <x:v>275675895.7093766</x:v>
      </x:c>
      <x:c r="G160" s="34" t="n">
        <x:v>748.0006823242245</x:v>
      </x:c>
      <x:c r="H160" s="36" t="n">
        <x:v>0.0009429772569704906</x:v>
      </x:c>
    </x:row>
    <x:row r="161" ht="19" customHeight="1">
      <x:c r="A161" s="19" t="n">
        <x:v>5</x:v>
      </x:c>
      <x:c r="B161" s="19" t="n">
        <x:v>3</x:v>
      </x:c>
      <x:c r="C161" s="19" t="str">
        <x:v>效率130%</x:v>
      </x:c>
      <x:c r="D161" s="34" t="n">
        <x:v>484</x:v>
      </x:c>
      <x:c r="E161" s="34" t="n">
        <x:v>33075144960.000004</x:v>
      </x:c>
      <x:c r="F161" s="34" t="n">
        <x:v>394927104.00000006</x:v>
      </x:c>
      <x:c r="G161" s="34" t="n">
        <x:v>1072.407111111111</x:v>
      </x:c>
      <x:c r="H161" s="36" t="n">
        <x:v>0.0013501781333333334</x:v>
      </x:c>
    </x:row>
    <x:row r="162" ht="19" customHeight="1">
      <x:c r="A162" s="19" t="n">
        <x:v>5</x:v>
      </x:c>
      <x:c r="B162" s="19" t="n">
        <x:v>3</x:v>
      </x:c>
      <x:c r="C162" s="19" t="str">
        <x:v>抢怪可用50%</x:v>
      </x:c>
      <x:c r="D162" s="34" t="n">
        <x:v>242</x:v>
      </x:c>
      <x:c r="E162" s="34" t="n">
        <x:v>16537572480.000002</x:v>
      </x:c>
      <x:c r="F162" s="34" t="n">
        <x:v>197463552.00000003</x:v>
      </x:c>
      <x:c r="G162" s="34" t="n">
        <x:v>536.2035555555555</x:v>
      </x:c>
      <x:c r="H162" s="36" t="n">
        <x:v>0.0006750890666666667</x:v>
      </x:c>
    </x:row>
    <x:row r="163" ht="19" customHeight="1">
      <x:c r="A163" s="19" t="n">
        <x:v>5</x:v>
      </x:c>
      <x:c r="B163" s="19" t="n">
        <x:v>3</x:v>
      </x:c>
      <x:c r="C163" s="19" t="str">
        <x:v>爆率80%</x:v>
      </x:c>
      <x:c r="D163" s="34" t="n">
        <x:v>483.41833737625785</x:v>
      </x:c>
      <x:c r="E163" s="34" t="n">
        <x:v>26386121446.46891</x:v>
      </x:c>
      <x:c r="F163" s="34" t="n">
        <x:v>315058166.52500194</x:v>
      </x:c>
      <x:c r="G163" s="34" t="n">
        <x:v>854.8579226562565</x:v>
      </x:c>
      <x:c r="H163" s="36" t="n">
        <x:v>0.0010776882936805606</x:v>
      </x:c>
    </x:row>
    <x:row r="164" ht="19" customHeight="1">
      <x:c r="A164" s="19" t="n">
        <x:v>5</x:v>
      </x:c>
      <x:c r="B164" s="19" t="n">
        <x:v>3</x:v>
      </x:c>
      <x:c r="C164" s="19" t="str">
        <x:v>爆率120%</x:v>
      </x:c>
      <x:c r="D164" s="34" t="n">
        <x:v>483.41833737625785</x:v>
      </x:c>
      <x:c r="E164" s="34" t="n">
        <x:v>39579182169.703354</x:v>
      </x:c>
      <x:c r="F164" s="34" t="n">
        <x:v>472587249.7875027</x:v>
      </x:c>
      <x:c r="G164" s="34" t="n">
        <x:v>1282.2868839843845</x:v>
      </x:c>
      <x:c r="H164" s="36" t="n">
        <x:v>0.001616532440520841</x:v>
      </x:c>
    </x:row>
    <x:row r="165" ht="19" customHeight="1">
      <x:c r="A165" s="19" t="n">
        <x:v>5</x:v>
      </x:c>
      <x:c r="B165" s="19" t="n">
        <x:v>3</x:v>
      </x:c>
      <x:c r="C165" s="19" t="str">
        <x:v>C10回刷</x:v>
      </x:c>
      <x:c r="D165" s="34" t="n">
        <x:v>484</x:v>
      </x:c>
      <x:c r="E165" s="34" t="n">
        <x:v>144922665888</x:v>
      </x:c>
      <x:c r="F165" s="34" t="n">
        <x:v>1730419891.2</x:v>
      </x:c>
      <x:c r="G165" s="34" t="n">
        <x:v>4203.4168</x:v>
      </x:c>
      <x:c r="H165" s="36" t="n">
        <x:v>0.0059159654400000004</x:v>
      </x:c>
    </x:row>
    <x:row r="166" ht="19" customHeight="1">
      <x:c r="A166" s="19" t="n">
        <x:v>5</x:v>
      </x:c>
      <x:c r="B166" s="19" t="n">
        <x:v>4</x:v>
      </x:c>
      <x:c r="C166" s="19" t="str">
        <x:v>基础</x:v>
      </x:c>
      <x:c r="D166" s="34" t="n">
        <x:v>479.0285139761641</x:v>
      </x:c>
      <x:c r="E166" s="34" t="n">
        <x:v>36999363708.396484</x:v>
      </x:c>
      <x:c r="F166" s="34" t="n">
        <x:v>441783447.2644355</x:v>
      </x:c>
      <x:c r="G166" s="34" t="n">
        <x:v>977.0802424012098</x:v>
      </x:c>
      <x:c r="H166" s="36" t="n">
        <x:v>0.0015374994424012097</x:v>
      </x:c>
    </x:row>
    <x:row r="167" ht="19" customHeight="1">
      <x:c r="A167" s="19" t="n">
        <x:v>5</x:v>
      </x:c>
      <x:c r="B167" s="19" t="n">
        <x:v>4</x:v>
      </x:c>
      <x:c r="C167" s="19" t="str">
        <x:v>效率70%</x:v>
      </x:c>
      <x:c r="D167" s="34" t="n">
        <x:v>335.31995978331486</x:v>
      </x:c>
      <x:c r="E167" s="34" t="n">
        <x:v>25899554595.877533</x:v>
      </x:c>
      <x:c r="F167" s="34" t="n">
        <x:v>309248413.0851049</x:v>
      </x:c>
      <x:c r="G167" s="34" t="n">
        <x:v>683.956169680847</x:v>
      </x:c>
      <x:c r="H167" s="36" t="n">
        <x:v>0.0010762496096808466</x:v>
      </x:c>
    </x:row>
    <x:row r="168" ht="19" customHeight="1">
      <x:c r="A168" s="19" t="n">
        <x:v>5</x:v>
      </x:c>
      <x:c r="B168" s="19" t="n">
        <x:v>4</x:v>
      </x:c>
      <x:c r="C168" s="19" t="str">
        <x:v>效率130%</x:v>
      </x:c>
      <x:c r="D168" s="34" t="n">
        <x:v>484</x:v>
      </x:c>
      <x:c r="E168" s="34" t="n">
        <x:v>37917411840</x:v>
      </x:c>
      <x:c r="F168" s="34" t="n">
        <x:v>452745216</x:v>
      </x:c>
      <x:c r="G168" s="34" t="n">
        <x:v>1007.5296</x:v>
      </x:c>
      <x:c r="H168" s="36" t="n">
        <x:v>0.0015679487999999998</x:v>
      </x:c>
    </x:row>
    <x:row r="169" ht="19" customHeight="1">
      <x:c r="A169" s="19" t="n">
        <x:v>5</x:v>
      </x:c>
      <x:c r="B169" s="19" t="n">
        <x:v>4</x:v>
      </x:c>
      <x:c r="C169" s="19" t="str">
        <x:v>抢怪可用50%</x:v>
      </x:c>
      <x:c r="D169" s="34" t="n">
        <x:v>242</x:v>
      </x:c>
      <x:c r="E169" s="34" t="n">
        <x:v>18958705920</x:v>
      </x:c>
      <x:c r="F169" s="34" t="n">
        <x:v>226372608</x:v>
      </x:c>
      <x:c r="G169" s="34" t="n">
        <x:v>503.7648</x:v>
      </x:c>
      <x:c r="H169" s="36" t="n">
        <x:v>0.0007839743999999999</x:v>
      </x:c>
    </x:row>
    <x:row r="170" ht="19" customHeight="1">
      <x:c r="A170" s="19" t="n">
        <x:v>5</x:v>
      </x:c>
      <x:c r="B170" s="19" t="n">
        <x:v>4</x:v>
      </x:c>
      <x:c r="C170" s="19" t="str">
        <x:v>爆率80%</x:v>
      </x:c>
      <x:c r="D170" s="34" t="n">
        <x:v>479.0285139761641</x:v>
      </x:c>
      <x:c r="E170" s="34" t="n">
        <x:v>29599490966.717175</x:v>
      </x:c>
      <x:c r="F170" s="34" t="n">
        <x:v>353426757.81154853</x:v>
      </x:c>
      <x:c r="G170" s="34" t="n">
        <x:v>781.664193920968</x:v>
      </x:c>
      <x:c r="H170" s="36" t="n">
        <x:v>0.001229999553920968</x:v>
      </x:c>
    </x:row>
    <x:row r="171" ht="19" customHeight="1">
      <x:c r="A171" s="19" t="n">
        <x:v>5</x:v>
      </x:c>
      <x:c r="B171" s="19" t="n">
        <x:v>4</x:v>
      </x:c>
      <x:c r="C171" s="19" t="str">
        <x:v>爆率120%</x:v>
      </x:c>
      <x:c r="D171" s="34" t="n">
        <x:v>479.0285139761641</x:v>
      </x:c>
      <x:c r="E171" s="34" t="n">
        <x:v>44399236450.075775</x:v>
      </x:c>
      <x:c r="F171" s="34" t="n">
        <x:v>530140136.71732265</x:v>
      </x:c>
      <x:c r="G171" s="34" t="n">
        <x:v>1172.4962908814518</x:v>
      </x:c>
      <x:c r="H171" s="36" t="n">
        <x:v>0.001844999330881452</x:v>
      </x:c>
    </x:row>
    <x:row r="172" ht="19" customHeight="1">
      <x:c r="A172" s="19" t="n">
        <x:v>5</x:v>
      </x:c>
      <x:c r="B172" s="19" t="n">
        <x:v>4</x:v>
      </x:c>
      <x:c r="C172" s="19" t="str">
        <x:v>C10回刷</x:v>
      </x:c>
      <x:c r="D172" s="34" t="n">
        <x:v>484</x:v>
      </x:c>
      <x:c r="E172" s="34" t="n">
        <x:v>143064682992</x:v>
      </x:c>
      <x:c r="F172" s="34" t="n">
        <x:v>1708235020.8</x:v>
      </x:c>
      <x:c r="G172" s="34" t="n">
        <x:v>3457.14248</x:v>
      </x:c>
      <x:c r="H172" s="36" t="n">
        <x:v>0.0059159654400000004</x:v>
      </x:c>
    </x:row>
    <x:row r="173" ht="19" customHeight="1">
      <x:c r="A173" s="19" t="n">
        <x:v>5</x:v>
      </x:c>
      <x:c r="B173" s="19" t="n">
        <x:v>5</x:v>
      </x:c>
      <x:c r="C173" s="19" t="str">
        <x:v>基础</x:v>
      </x:c>
      <x:c r="D173" s="34" t="n">
        <x:v>481.3760847341175</x:v>
      </x:c>
      <x:c r="E173" s="34" t="n">
        <x:v>37432872509.952614</x:v>
      </x:c>
      <x:c r="F173" s="34" t="n">
        <x:v>446959671.7606282</x:v>
      </x:c>
      <x:c r="G173" s="34" t="n">
        <x:v>991.4586437795227</x:v>
      </x:c>
      <x:c r="H173" s="36" t="n">
        <x:v>0.0015518778437795225</x:v>
      </x:c>
    </x:row>
    <x:row r="174" ht="19" customHeight="1">
      <x:c r="A174" s="19" t="n">
        <x:v>5</x:v>
      </x:c>
      <x:c r="B174" s="19" t="n">
        <x:v>5</x:v>
      </x:c>
      <x:c r="C174" s="19" t="str">
        <x:v>效率70%</x:v>
      </x:c>
      <x:c r="D174" s="34" t="n">
        <x:v>336.9632593138822</x:v>
      </x:c>
      <x:c r="E174" s="34" t="n">
        <x:v>26203010756.966827</x:v>
      </x:c>
      <x:c r="F174" s="34" t="n">
        <x:v>312871770.2324397</x:v>
      </x:c>
      <x:c r="G174" s="34" t="n">
        <x:v>694.021050645666</x:v>
      </x:c>
      <x:c r="H174" s="36" t="n">
        <x:v>0.0010863144906456655</x:v>
      </x:c>
    </x:row>
    <x:row r="175" ht="19" customHeight="1">
      <x:c r="A175" s="19" t="n">
        <x:v>5</x:v>
      </x:c>
      <x:c r="B175" s="19" t="n">
        <x:v>5</x:v>
      </x:c>
      <x:c r="C175" s="19" t="str">
        <x:v>效率130%</x:v>
      </x:c>
      <x:c r="D175" s="34" t="n">
        <x:v>484</x:v>
      </x:c>
      <x:c r="E175" s="34" t="n">
        <x:v>37917411840</x:v>
      </x:c>
      <x:c r="F175" s="34" t="n">
        <x:v>452745216</x:v>
      </x:c>
      <x:c r="G175" s="34" t="n">
        <x:v>1007.5296</x:v>
      </x:c>
      <x:c r="H175" s="36" t="n">
        <x:v>0.0015679487999999998</x:v>
      </x:c>
    </x:row>
    <x:row r="176" ht="19" customHeight="1">
      <x:c r="A176" s="19" t="n">
        <x:v>5</x:v>
      </x:c>
      <x:c r="B176" s="19" t="n">
        <x:v>5</x:v>
      </x:c>
      <x:c r="C176" s="19" t="str">
        <x:v>抢怪可用50%</x:v>
      </x:c>
      <x:c r="D176" s="34" t="n">
        <x:v>242</x:v>
      </x:c>
      <x:c r="E176" s="34" t="n">
        <x:v>18958705920</x:v>
      </x:c>
      <x:c r="F176" s="34" t="n">
        <x:v>226372608</x:v>
      </x:c>
      <x:c r="G176" s="34" t="n">
        <x:v>503.7648</x:v>
      </x:c>
      <x:c r="H176" s="36" t="n">
        <x:v>0.0007839743999999999</x:v>
      </x:c>
    </x:row>
    <x:row r="177" ht="19" customHeight="1">
      <x:c r="A177" s="19" t="n">
        <x:v>5</x:v>
      </x:c>
      <x:c r="B177" s="19" t="n">
        <x:v>5</x:v>
      </x:c>
      <x:c r="C177" s="19" t="str">
        <x:v>爆率80%</x:v>
      </x:c>
      <x:c r="D177" s="34" t="n">
        <x:v>481.3760847341175</x:v>
      </x:c>
      <x:c r="E177" s="34" t="n">
        <x:v>29946298007.962086</x:v>
      </x:c>
      <x:c r="F177" s="34" t="n">
        <x:v>357567737.4085025</x:v>
      </x:c>
      <x:c r="G177" s="34" t="n">
        <x:v>793.1669150236183</x:v>
      </x:c>
      <x:c r="H177" s="36" t="n">
        <x:v>0.0012415022750236183</x:v>
      </x:c>
    </x:row>
    <x:row r="178" ht="19" customHeight="1">
      <x:c r="A178" s="19" t="n">
        <x:v>5</x:v>
      </x:c>
      <x:c r="B178" s="19" t="n">
        <x:v>5</x:v>
      </x:c>
      <x:c r="C178" s="19" t="str">
        <x:v>爆率120%</x:v>
      </x:c>
      <x:c r="D178" s="34" t="n">
        <x:v>481.3760847341175</x:v>
      </x:c>
      <x:c r="E178" s="34" t="n">
        <x:v>44919447011.94312</x:v>
      </x:c>
      <x:c r="F178" s="34" t="n">
        <x:v>536351606.1127537</x:v>
      </x:c>
      <x:c r="G178" s="34" t="n">
        <x:v>1189.7503725354272</x:v>
      </x:c>
      <x:c r="H178" s="36" t="n">
        <x:v>0.0018622534125354267</x:v>
      </x:c>
    </x:row>
    <x:row r="179" ht="19" customHeight="1">
      <x:c r="A179" s="19" t="n">
        <x:v>5</x:v>
      </x:c>
      <x:c r="B179" s="19" t="n">
        <x:v>5</x:v>
      </x:c>
      <x:c r="C179" s="19" t="str">
        <x:v>C10回刷</x:v>
      </x:c>
      <x:c r="D179" s="34" t="n">
        <x:v>484</x:v>
      </x:c>
      <x:c r="E179" s="34" t="n">
        <x:v>143064682992</x:v>
      </x:c>
      <x:c r="F179" s="34" t="n">
        <x:v>1708235020.8</x:v>
      </x:c>
      <x:c r="G179" s="34" t="n">
        <x:v>3457.14248</x:v>
      </x:c>
      <x:c r="H179" s="36" t="n">
        <x:v>0.0059159654400000004</x:v>
      </x:c>
    </x:row>
    <x:row r="180" ht="19" customHeight="1">
      <x:c r="A180" s="19" t="n">
        <x:v>5</x:v>
      </x:c>
      <x:c r="B180" s="19" t="n">
        <x:v>6</x:v>
      </x:c>
      <x:c r="C180" s="19" t="str">
        <x:v>基础</x:v>
      </x:c>
      <x:c r="D180" s="34" t="n">
        <x:v>470.96810217321206</x:v>
      </x:c>
      <x:c r="E180" s="34" t="n">
        <x:v>31899273224.645046</x:v>
      </x:c>
      <x:c r="F180" s="34" t="n">
        <x:v>380886844.47337365</x:v>
      </x:c>
      <x:c r="G180" s="34" t="n">
        <x:v>1061.4438261300866</x:v>
      </x:c>
      <x:c r="H180" s="36" t="n">
        <x:v>0.0016215871106764132</x:v>
      </x:c>
    </x:row>
    <x:row r="181" ht="19" customHeight="1">
      <x:c r="A181" s="19" t="n">
        <x:v>5</x:v>
      </x:c>
      <x:c r="B181" s="19" t="n">
        <x:v>6</x:v>
      </x:c>
      <x:c r="C181" s="19" t="str">
        <x:v>效率70%</x:v>
      </x:c>
      <x:c r="D181" s="34" t="n">
        <x:v>329.67767152124844</x:v>
      </x:c>
      <x:c r="E181" s="34" t="n">
        <x:v>22329491257.251526</x:v>
      </x:c>
      <x:c r="F181" s="34" t="n">
        <x:v>266620791.1313615</x:v>
      </x:c>
      <x:c r="G181" s="34" t="n">
        <x:v>743.0106782910606</x:v>
      </x:c>
      <x:c r="H181" s="36" t="n">
        <x:v>0.0011351109774734892</x:v>
      </x:c>
    </x:row>
    <x:row r="182" ht="19" customHeight="1">
      <x:c r="A182" s="19" t="n">
        <x:v>5</x:v>
      </x:c>
      <x:c r="B182" s="19" t="n">
        <x:v>6</x:v>
      </x:c>
      <x:c r="C182" s="19" t="str">
        <x:v>效率130%</x:v>
      </x:c>
      <x:c r="D182" s="34" t="n">
        <x:v>484</x:v>
      </x:c>
      <x:c r="E182" s="34" t="n">
        <x:v>32795665126.400005</x:v>
      </x:c>
      <x:c r="F182" s="34" t="n">
        <x:v>391590031.36</x:v>
      </x:c>
      <x:c r="G182" s="34" t="n">
        <x:v>1083.2321377777778</x:v>
      </x:c>
      <x:c r="H182" s="36" t="n">
        <x:v>0.001652278613333333</x:v>
      </x:c>
    </x:row>
    <x:row r="183" ht="19" customHeight="1">
      <x:c r="A183" s="19" t="n">
        <x:v>5</x:v>
      </x:c>
      <x:c r="B183" s="19" t="n">
        <x:v>6</x:v>
      </x:c>
      <x:c r="C183" s="19" t="str">
        <x:v>抢怪可用50%</x:v>
      </x:c>
      <x:c r="D183" s="34" t="n">
        <x:v>242</x:v>
      </x:c>
      <x:c r="E183" s="34" t="n">
        <x:v>16397832563.200003</x:v>
      </x:c>
      <x:c r="F183" s="34" t="n">
        <x:v>195795015.68</x:v>
      </x:c>
      <x:c r="G183" s="34" t="n">
        <x:v>541.6160688888889</x:v>
      </x:c>
      <x:c r="H183" s="36" t="n">
        <x:v>0.0008261393066666665</x:v>
      </x:c>
    </x:row>
    <x:row r="184" ht="19" customHeight="1">
      <x:c r="A184" s="19" t="n">
        <x:v>5</x:v>
      </x:c>
      <x:c r="B184" s="19" t="n">
        <x:v>6</x:v>
      </x:c>
      <x:c r="C184" s="19" t="str">
        <x:v>爆率80%</x:v>
      </x:c>
      <x:c r="D184" s="34" t="n">
        <x:v>470.96810217321206</x:v>
      </x:c>
      <x:c r="E184" s="34" t="n">
        <x:v>25519418579.716034</x:v>
      </x:c>
      <x:c r="F184" s="34" t="n">
        <x:v>304709475.578699</x:v>
      </x:c>
      <x:c r="G184" s="34" t="n">
        <x:v>849.1550609040694</x:v>
      </x:c>
      <x:c r="H184" s="36" t="n">
        <x:v>0.0012972696885411308</x:v>
      </x:c>
    </x:row>
    <x:row r="185" ht="19" customHeight="1">
      <x:c r="A185" s="19" t="n">
        <x:v>5</x:v>
      </x:c>
      <x:c r="B185" s="19" t="n">
        <x:v>6</x:v>
      </x:c>
      <x:c r="C185" s="19" t="str">
        <x:v>爆率120%</x:v>
      </x:c>
      <x:c r="D185" s="34" t="n">
        <x:v>470.96810217321206</x:v>
      </x:c>
      <x:c r="E185" s="34" t="n">
        <x:v>38279127869.57404</x:v>
      </x:c>
      <x:c r="F185" s="34" t="n">
        <x:v>457064213.3680483</x:v>
      </x:c>
      <x:c r="G185" s="34" t="n">
        <x:v>1273.7325913561035</x:v>
      </x:c>
      <x:c r="H185" s="36" t="n">
        <x:v>0.0019459045328116954</x:v>
      </x:c>
    </x:row>
    <x:row r="186" ht="19" customHeight="1">
      <x:c r="A186" s="19" t="n">
        <x:v>5</x:v>
      </x:c>
      <x:c r="B186" s="19" t="n">
        <x:v>6</x:v>
      </x:c>
      <x:c r="C186" s="19" t="str">
        <x:v>C10回刷</x:v>
      </x:c>
      <x:c r="D186" s="34" t="n">
        <x:v>484</x:v>
      </x:c>
      <x:c r="E186" s="34" t="n">
        <x:v>117424519027.2</x:v>
      </x:c>
      <x:c r="F186" s="34" t="n">
        <x:v>1402083809.28</x:v>
      </x:c>
      <x:c r="G186" s="34" t="n">
        <x:v>3809.63528</x:v>
      </x:c>
      <x:c r="H186" s="36" t="n">
        <x:v>0.0059159654400000004</x:v>
      </x:c>
    </x:row>
    <x:row r="187" ht="19" customHeight="1">
      <x:c r="A187" s="19" t="n">
        <x:v>6</x:v>
      </x:c>
      <x:c r="B187" s="19" t="n">
        <x:v>1</x:v>
      </x:c>
      <x:c r="C187" s="19" t="str">
        <x:v>基础</x:v>
      </x:c>
      <x:c r="D187" s="34" t="n">
        <x:v>484</x:v>
      </x:c>
      <x:c r="E187" s="34" t="n">
        <x:v>101796584120</x:v>
      </x:c>
      <x:c r="F187" s="34" t="n">
        <x:v>885187688</x:v>
      </x:c>
      <x:c r="G187" s="34" t="n">
        <x:v>1287.0609854666664</x:v>
      </x:c>
      <x:c r="H187" s="36" t="n">
        <x:v>0.00183636992</x:v>
      </x:c>
    </x:row>
    <x:row r="188" ht="19" customHeight="1">
      <x:c r="A188" s="19" t="n">
        <x:v>6</x:v>
      </x:c>
      <x:c r="B188" s="19" t="n">
        <x:v>1</x:v>
      </x:c>
      <x:c r="C188" s="19" t="str">
        <x:v>效率70%</x:v>
      </x:c>
      <x:c r="D188" s="34" t="n">
        <x:v>338.79999999999995</x:v>
      </x:c>
      <x:c r="E188" s="34" t="n">
        <x:v>71257608884</x:v>
      </x:c>
      <x:c r="F188" s="34" t="n">
        <x:v>619631381.6</x:v>
      </x:c>
      <x:c r="G188" s="34" t="n">
        <x:v>900.9426898266664</x:v>
      </x:c>
      <x:c r="H188" s="36" t="n">
        <x:v>0.0012854589439999997</x:v>
      </x:c>
    </x:row>
    <x:row r="189" ht="19" customHeight="1">
      <x:c r="A189" s="19" t="n">
        <x:v>6</x:v>
      </x:c>
      <x:c r="B189" s="19" t="n">
        <x:v>1</x:v>
      </x:c>
      <x:c r="C189" s="19" t="str">
        <x:v>效率130%</x:v>
      </x:c>
      <x:c r="D189" s="34" t="n">
        <x:v>484</x:v>
      </x:c>
      <x:c r="E189" s="34" t="n">
        <x:v>101796584120</x:v>
      </x:c>
      <x:c r="F189" s="34" t="n">
        <x:v>885187688</x:v>
      </x:c>
      <x:c r="G189" s="34" t="n">
        <x:v>1287.0609854666664</x:v>
      </x:c>
      <x:c r="H189" s="36" t="n">
        <x:v>0.00183636992</x:v>
      </x:c>
    </x:row>
    <x:row r="190" ht="19" customHeight="1">
      <x:c r="A190" s="19" t="n">
        <x:v>6</x:v>
      </x:c>
      <x:c r="B190" s="19" t="n">
        <x:v>1</x:v>
      </x:c>
      <x:c r="C190" s="19" t="str">
        <x:v>抢怪可用50%</x:v>
      </x:c>
      <x:c r="D190" s="34" t="n">
        <x:v>242</x:v>
      </x:c>
      <x:c r="E190" s="34" t="n">
        <x:v>50898292060</x:v>
      </x:c>
      <x:c r="F190" s="34" t="n">
        <x:v>442593844</x:v>
      </x:c>
      <x:c r="G190" s="34" t="n">
        <x:v>643.5304927333332</x:v>
      </x:c>
      <x:c r="H190" s="36" t="n">
        <x:v>0.00091818496</x:v>
      </x:c>
    </x:row>
    <x:row r="191" ht="19" customHeight="1">
      <x:c r="A191" s="19" t="n">
        <x:v>6</x:v>
      </x:c>
      <x:c r="B191" s="19" t="n">
        <x:v>1</x:v>
      </x:c>
      <x:c r="C191" s="19" t="str">
        <x:v>爆率80%</x:v>
      </x:c>
      <x:c r="D191" s="34" t="n">
        <x:v>484</x:v>
      </x:c>
      <x:c r="E191" s="34" t="n">
        <x:v>81437267296</x:v>
      </x:c>
      <x:c r="F191" s="34" t="n">
        <x:v>708150150.3999999</x:v>
      </x:c>
      <x:c r="G191" s="34" t="n">
        <x:v>1029.6487883733332</x:v>
      </x:c>
      <x:c r="H191" s="36" t="n">
        <x:v>0.0014690959359999999</x:v>
      </x:c>
    </x:row>
    <x:row r="192" ht="19" customHeight="1">
      <x:c r="A192" s="19" t="n">
        <x:v>6</x:v>
      </x:c>
      <x:c r="B192" s="19" t="n">
        <x:v>1</x:v>
      </x:c>
      <x:c r="C192" s="19" t="str">
        <x:v>爆率120%</x:v>
      </x:c>
      <x:c r="D192" s="34" t="n">
        <x:v>484</x:v>
      </x:c>
      <x:c r="E192" s="34" t="n">
        <x:v>122155900943.99998</x:v>
      </x:c>
      <x:c r="F192" s="34" t="n">
        <x:v>1062225225.6</x:v>
      </x:c>
      <x:c r="G192" s="34" t="n">
        <x:v>1544.47318256</x:v>
      </x:c>
      <x:c r="H192" s="36" t="n">
        <x:v>0.0022036439039999993</x:v>
      </x:c>
    </x:row>
    <x:row r="193" ht="19" customHeight="1">
      <x:c r="A193" s="19" t="n">
        <x:v>6</x:v>
      </x:c>
      <x:c r="B193" s="19" t="n">
        <x:v>1</x:v>
      </x:c>
      <x:c r="C193" s="19" t="str">
        <x:v>C10回刷</x:v>
      </x:c>
      <x:c r="D193" s="34" t="n">
        <x:v>484</x:v>
      </x:c>
      <x:c r="E193" s="34" t="n">
        <x:v>327943224840</x:v>
      </x:c>
      <x:c r="F193" s="34" t="n">
        <x:v>2851680216</x:v>
      </x:c>
      <x:c r="G193" s="34" t="n">
        <x:v>3891.5345216000005</x:v>
      </x:c>
      <x:c r="H193" s="36" t="n">
        <x:v>0.0059159654400000004</x:v>
      </x:c>
    </x:row>
    <x:row r="194" ht="19" customHeight="1">
      <x:c r="A194" s="19" t="n">
        <x:v>6</x:v>
      </x:c>
      <x:c r="B194" s="19" t="n">
        <x:v>2</x:v>
      </x:c>
      <x:c r="C194" s="19" t="str">
        <x:v>基础</x:v>
      </x:c>
      <x:c r="D194" s="34" t="n">
        <x:v>484</x:v>
      </x:c>
      <x:c r="E194" s="34" t="n">
        <x:v>108341845920</x:v>
      </x:c>
      <x:c r="F194" s="34" t="n">
        <x:v>942103008</x:v>
      </x:c>
      <x:c r="G194" s="34" t="n">
        <x:v>1179.3819473333333</x:v>
      </x:c>
      <x:c r="H194" s="36" t="n">
        <x:v>0.0019704115199999997</x:v>
      </x:c>
    </x:row>
    <x:row r="195" ht="19" customHeight="1">
      <x:c r="A195" s="19" t="n">
        <x:v>6</x:v>
      </x:c>
      <x:c r="B195" s="19" t="n">
        <x:v>2</x:v>
      </x:c>
      <x:c r="C195" s="19" t="str">
        <x:v>效率70%</x:v>
      </x:c>
      <x:c r="D195" s="34" t="n">
        <x:v>338.79999999999995</x:v>
      </x:c>
      <x:c r="E195" s="34" t="n">
        <x:v>75839292144</x:v>
      </x:c>
      <x:c r="F195" s="34" t="n">
        <x:v>659472105.6</x:v>
      </x:c>
      <x:c r="G195" s="34" t="n">
        <x:v>825.5673631333333</x:v>
      </x:c>
      <x:c r="H195" s="36" t="n">
        <x:v>0.001379288064</x:v>
      </x:c>
    </x:row>
    <x:row r="196" ht="19" customHeight="1">
      <x:c r="A196" s="19" t="n">
        <x:v>6</x:v>
      </x:c>
      <x:c r="B196" s="19" t="n">
        <x:v>2</x:v>
      </x:c>
      <x:c r="C196" s="19" t="str">
        <x:v>效率130%</x:v>
      </x:c>
      <x:c r="D196" s="34" t="n">
        <x:v>484</x:v>
      </x:c>
      <x:c r="E196" s="34" t="n">
        <x:v>108341845920</x:v>
      </x:c>
      <x:c r="F196" s="34" t="n">
        <x:v>942103008</x:v>
      </x:c>
      <x:c r="G196" s="34" t="n">
        <x:v>1179.3819473333333</x:v>
      </x:c>
      <x:c r="H196" s="36" t="n">
        <x:v>0.0019704115199999997</x:v>
      </x:c>
    </x:row>
    <x:row r="197" ht="19" customHeight="1">
      <x:c r="A197" s="19" t="n">
        <x:v>6</x:v>
      </x:c>
      <x:c r="B197" s="19" t="n">
        <x:v>2</x:v>
      </x:c>
      <x:c r="C197" s="19" t="str">
        <x:v>抢怪可用50%</x:v>
      </x:c>
      <x:c r="D197" s="34" t="n">
        <x:v>242</x:v>
      </x:c>
      <x:c r="E197" s="34" t="n">
        <x:v>54170922960</x:v>
      </x:c>
      <x:c r="F197" s="34" t="n">
        <x:v>471051504</x:v>
      </x:c>
      <x:c r="G197" s="34" t="n">
        <x:v>589.6909736666667</x:v>
      </x:c>
      <x:c r="H197" s="36" t="n">
        <x:v>0.0009852057599999998</x:v>
      </x:c>
    </x:row>
    <x:row r="198" ht="19" customHeight="1">
      <x:c r="A198" s="19" t="n">
        <x:v>6</x:v>
      </x:c>
      <x:c r="B198" s="19" t="n">
        <x:v>2</x:v>
      </x:c>
      <x:c r="C198" s="19" t="str">
        <x:v>爆率80%</x:v>
      </x:c>
      <x:c r="D198" s="34" t="n">
        <x:v>484</x:v>
      </x:c>
      <x:c r="E198" s="34" t="n">
        <x:v>86673476736</x:v>
      </x:c>
      <x:c r="F198" s="34" t="n">
        <x:v>753682406.3999999</x:v>
      </x:c>
      <x:c r="G198" s="34" t="n">
        <x:v>943.5055578666667</x:v>
      </x:c>
      <x:c r="H198" s="36" t="n">
        <x:v>0.001576329216</x:v>
      </x:c>
    </x:row>
    <x:row r="199" ht="19" customHeight="1">
      <x:c r="A199" s="19" t="n">
        <x:v>6</x:v>
      </x:c>
      <x:c r="B199" s="19" t="n">
        <x:v>2</x:v>
      </x:c>
      <x:c r="C199" s="19" t="str">
        <x:v>爆率120%</x:v>
      </x:c>
      <x:c r="D199" s="34" t="n">
        <x:v>484</x:v>
      </x:c>
      <x:c r="E199" s="34" t="n">
        <x:v>130010215104</x:v>
      </x:c>
      <x:c r="F199" s="34" t="n">
        <x:v>1130523609.6</x:v>
      </x:c>
      <x:c r="G199" s="34" t="n">
        <x:v>1415.2583367999998</x:v>
      </x:c>
      <x:c r="H199" s="36" t="n">
        <x:v>0.002364493824</x:v>
      </x:c>
    </x:row>
    <x:row r="200" ht="19" customHeight="1">
      <x:c r="A200" s="19" t="n">
        <x:v>6</x:v>
      </x:c>
      <x:c r="B200" s="19" t="n">
        <x:v>2</x:v>
      </x:c>
      <x:c r="C200" s="19" t="str">
        <x:v>C10回刷</x:v>
      </x:c>
      <x:c r="D200" s="34" t="n">
        <x:v>484</x:v>
      </x:c>
      <x:c r="E200" s="34" t="n">
        <x:v>325285662240</x:v>
      </x:c>
      <x:c r="F200" s="34" t="n">
        <x:v>2828570976</x:v>
      </x:c>
      <x:c r="G200" s="34" t="n">
        <x:v>3286.175141333333</x:v>
      </x:c>
      <x:c r="H200" s="36" t="n">
        <x:v>0.0059159654400000004</x:v>
      </x:c>
    </x:row>
    <x:row r="201" ht="19" customHeight="1">
      <x:c r="A201" s="19" t="n">
        <x:v>6</x:v>
      </x:c>
      <x:c r="B201" s="19" t="n">
        <x:v>3</x:v>
      </x:c>
      <x:c r="C201" s="19" t="str">
        <x:v>基础</x:v>
      </x:c>
      <x:c r="D201" s="34" t="n">
        <x:v>484</x:v>
      </x:c>
      <x:c r="E201" s="34" t="n">
        <x:v>120932502240</x:v>
      </x:c>
      <x:c r="F201" s="34" t="n">
        <x:v>1051586976</x:v>
      </x:c>
      <x:c r="G201" s="34" t="n">
        <x:v>1231.211285333333</x:v>
      </x:c>
      <x:c r="H201" s="36" t="n">
        <x:v>0.002232224426666666</x:v>
      </x:c>
    </x:row>
    <x:row r="202" ht="19" customHeight="1">
      <x:c r="A202" s="19" t="n">
        <x:v>6</x:v>
      </x:c>
      <x:c r="B202" s="19" t="n">
        <x:v>3</x:v>
      </x:c>
      <x:c r="C202" s="19" t="str">
        <x:v>效率70%</x:v>
      </x:c>
      <x:c r="D202" s="34" t="n">
        <x:v>338.79999999999995</x:v>
      </x:c>
      <x:c r="E202" s="34" t="n">
        <x:v>84652751568</x:v>
      </x:c>
      <x:c r="F202" s="34" t="n">
        <x:v>736110883.2</x:v>
      </x:c>
      <x:c r="G202" s="34" t="n">
        <x:v>861.8478997333334</x:v>
      </x:c>
      <x:c r="H202" s="36" t="n">
        <x:v>0.0015625570986666664</x:v>
      </x:c>
    </x:row>
    <x:row r="203" ht="19" customHeight="1">
      <x:c r="A203" s="19" t="n">
        <x:v>6</x:v>
      </x:c>
      <x:c r="B203" s="19" t="n">
        <x:v>3</x:v>
      </x:c>
      <x:c r="C203" s="19" t="str">
        <x:v>效率130%</x:v>
      </x:c>
      <x:c r="D203" s="34" t="n">
        <x:v>484</x:v>
      </x:c>
      <x:c r="E203" s="34" t="n">
        <x:v>120932502240</x:v>
      </x:c>
      <x:c r="F203" s="34" t="n">
        <x:v>1051586976</x:v>
      </x:c>
      <x:c r="G203" s="34" t="n">
        <x:v>1231.211285333333</x:v>
      </x:c>
      <x:c r="H203" s="36" t="n">
        <x:v>0.002232224426666666</x:v>
      </x:c>
    </x:row>
    <x:row r="204" ht="19" customHeight="1">
      <x:c r="A204" s="19" t="n">
        <x:v>6</x:v>
      </x:c>
      <x:c r="B204" s="19" t="n">
        <x:v>3</x:v>
      </x:c>
      <x:c r="C204" s="19" t="str">
        <x:v>抢怪可用50%</x:v>
      </x:c>
      <x:c r="D204" s="34" t="n">
        <x:v>242</x:v>
      </x:c>
      <x:c r="E204" s="34" t="n">
        <x:v>60466251120</x:v>
      </x:c>
      <x:c r="F204" s="34" t="n">
        <x:v>525793488</x:v>
      </x:c>
      <x:c r="G204" s="34" t="n">
        <x:v>615.6056426666665</x:v>
      </x:c>
      <x:c r="H204" s="36" t="n">
        <x:v>0.001116112213333333</x:v>
      </x:c>
    </x:row>
    <x:row r="205" ht="19" customHeight="1">
      <x:c r="A205" s="19" t="n">
        <x:v>6</x:v>
      </x:c>
      <x:c r="B205" s="19" t="n">
        <x:v>3</x:v>
      </x:c>
      <x:c r="C205" s="19" t="str">
        <x:v>爆率80%</x:v>
      </x:c>
      <x:c r="D205" s="34" t="n">
        <x:v>484</x:v>
      </x:c>
      <x:c r="E205" s="34" t="n">
        <x:v>96746001792</x:v>
      </x:c>
      <x:c r="F205" s="34" t="n">
        <x:v>841269580.8</x:v>
      </x:c>
      <x:c r="G205" s="34" t="n">
        <x:v>984.9690282666666</x:v>
      </x:c>
      <x:c r="H205" s="36" t="n">
        <x:v>0.0017857795413333331</x:v>
      </x:c>
    </x:row>
    <x:row r="206" ht="19" customHeight="1">
      <x:c r="A206" s="19" t="n">
        <x:v>6</x:v>
      </x:c>
      <x:c r="B206" s="19" t="n">
        <x:v>3</x:v>
      </x:c>
      <x:c r="C206" s="19" t="str">
        <x:v>爆率120%</x:v>
      </x:c>
      <x:c r="D206" s="34" t="n">
        <x:v>484</x:v>
      </x:c>
      <x:c r="E206" s="34" t="n">
        <x:v>145119002688</x:v>
      </x:c>
      <x:c r="F206" s="34" t="n">
        <x:v>1261904371.2</x:v>
      </x:c>
      <x:c r="G206" s="34" t="n">
        <x:v>1477.4535423999998</x:v>
      </x:c>
      <x:c r="H206" s="36" t="n">
        <x:v>0.0026786693119999995</x:v>
      </x:c>
    </x:row>
    <x:row r="207" ht="19" customHeight="1">
      <x:c r="A207" s="19" t="n">
        <x:v>6</x:v>
      </x:c>
      <x:c r="B207" s="19" t="n">
        <x:v>3</x:v>
      </x:c>
      <x:c r="C207" s="19" t="str">
        <x:v>C10回刷</x:v>
      </x:c>
      <x:c r="D207" s="34" t="n">
        <x:v>484</x:v>
      </x:c>
      <x:c r="E207" s="34" t="n">
        <x:v>320502049560</x:v>
      </x:c>
      <x:c r="F207" s="34" t="n">
        <x:v>2786974344</x:v>
      </x:c>
      <x:c r="G207" s="34" t="n">
        <x:v>3249.7138080000004</x:v>
      </x:c>
      <x:c r="H207" s="36" t="n">
        <x:v>0.0059159654400000004</x:v>
      </x:c>
    </x:row>
    <x:row r="208" ht="19" customHeight="1">
      <x:c r="A208" s="19" t="n">
        <x:v>7</x:v>
      </x:c>
      <x:c r="B208" s="19" t="n">
        <x:v>1</x:v>
      </x:c>
      <x:c r="C208" s="19" t="str">
        <x:v>基础</x:v>
      </x:c>
      <x:c r="D208" s="34" t="n">
        <x:v>484</x:v>
      </x:c>
      <x:c r="E208" s="34" t="n">
        <x:v>117378268761.59999</x:v>
      </x:c>
      <x:c r="F208" s="34" t="n">
        <x:v>1177070594.304</x:v>
      </x:c>
      <x:c r="G208" s="34" t="n">
        <x:v>1484.4135680000002</x:v>
      </x:c>
      <x:c r="H208" s="36" t="n">
        <x:v>0.00221968384</x:v>
      </x:c>
    </x:row>
    <x:row r="209" ht="19" customHeight="1">
      <x:c r="A209" s="19" t="n">
        <x:v>7</x:v>
      </x:c>
      <x:c r="B209" s="19" t="n">
        <x:v>1</x:v>
      </x:c>
      <x:c r="C209" s="19" t="str">
        <x:v>效率70%</x:v>
      </x:c>
      <x:c r="D209" s="34" t="n">
        <x:v>338.79999999999995</x:v>
      </x:c>
      <x:c r="E209" s="34" t="n">
        <x:v>82164788133.11998</x:v>
      </x:c>
      <x:c r="F209" s="34" t="n">
        <x:v>823949416.0127999</x:v>
      </x:c>
      <x:c r="G209" s="34" t="n">
        <x:v>1039.0894976</x:v>
      </x:c>
      <x:c r="H209" s="36" t="n">
        <x:v>0.0015537786879999999</x:v>
      </x:c>
    </x:row>
    <x:row r="210" ht="19" customHeight="1">
      <x:c r="A210" s="19" t="n">
        <x:v>7</x:v>
      </x:c>
      <x:c r="B210" s="19" t="n">
        <x:v>1</x:v>
      </x:c>
      <x:c r="C210" s="19" t="str">
        <x:v>效率130%</x:v>
      </x:c>
      <x:c r="D210" s="34" t="n">
        <x:v>484</x:v>
      </x:c>
      <x:c r="E210" s="34" t="n">
        <x:v>117378268761.59999</x:v>
      </x:c>
      <x:c r="F210" s="34" t="n">
        <x:v>1177070594.304</x:v>
      </x:c>
      <x:c r="G210" s="34" t="n">
        <x:v>1484.4135680000002</x:v>
      </x:c>
      <x:c r="H210" s="36" t="n">
        <x:v>0.00221968384</x:v>
      </x:c>
    </x:row>
    <x:row r="211" ht="19" customHeight="1">
      <x:c r="A211" s="19" t="n">
        <x:v>7</x:v>
      </x:c>
      <x:c r="B211" s="19" t="n">
        <x:v>1</x:v>
      </x:c>
      <x:c r="C211" s="19" t="str">
        <x:v>抢怪可用50%</x:v>
      </x:c>
      <x:c r="D211" s="34" t="n">
        <x:v>242</x:v>
      </x:c>
      <x:c r="E211" s="34" t="n">
        <x:v>58689134380.799995</x:v>
      </x:c>
      <x:c r="F211" s="34" t="n">
        <x:v>588535297.152</x:v>
      </x:c>
      <x:c r="G211" s="34" t="n">
        <x:v>742.2067840000001</x:v>
      </x:c>
      <x:c r="H211" s="36" t="n">
        <x:v>0.00110984192</x:v>
      </x:c>
    </x:row>
    <x:row r="212" ht="19" customHeight="1">
      <x:c r="A212" s="19" t="n">
        <x:v>7</x:v>
      </x:c>
      <x:c r="B212" s="19" t="n">
        <x:v>1</x:v>
      </x:c>
      <x:c r="C212" s="19" t="str">
        <x:v>爆率80%</x:v>
      </x:c>
      <x:c r="D212" s="34" t="n">
        <x:v>484</x:v>
      </x:c>
      <x:c r="E212" s="34" t="n">
        <x:v>93902615009.28003</x:v>
      </x:c>
      <x:c r="F212" s="34" t="n">
        <x:v>941656475.4432001</x:v>
      </x:c>
      <x:c r="G212" s="34" t="n">
        <x:v>1187.5308544000002</x:v>
      </x:c>
      <x:c r="H212" s="36" t="n">
        <x:v>0.0017757470720000004</x:v>
      </x:c>
    </x:row>
    <x:row r="213" ht="19" customHeight="1">
      <x:c r="A213" s="19" t="n">
        <x:v>7</x:v>
      </x:c>
      <x:c r="B213" s="19" t="n">
        <x:v>1</x:v>
      </x:c>
      <x:c r="C213" s="19" t="str">
        <x:v>爆率120%</x:v>
      </x:c>
      <x:c r="D213" s="34" t="n">
        <x:v>484</x:v>
      </x:c>
      <x:c r="E213" s="34" t="n">
        <x:v>140853922513.92</x:v>
      </x:c>
      <x:c r="F213" s="34" t="n">
        <x:v>1412484713.1648</x:v>
      </x:c>
      <x:c r="G213" s="34" t="n">
        <x:v>1781.2962816</x:v>
      </x:c>
      <x:c r="H213" s="36" t="n">
        <x:v>0.0026636206080000004</x:v>
      </x:c>
    </x:row>
    <x:row r="214" ht="19" customHeight="1">
      <x:c r="A214" s="19" t="n">
        <x:v>7</x:v>
      </x:c>
      <x:c r="B214" s="19" t="n">
        <x:v>1</x:v>
      </x:c>
      <x:c r="C214" s="19" t="str">
        <x:v>C10回刷</x:v>
      </x:c>
      <x:c r="D214" s="34" t="n">
        <x:v>484</x:v>
      </x:c>
      <x:c r="E214" s="34" t="n">
        <x:v>312839949945.60004</x:v>
      </x:c>
      <x:c r="F214" s="34" t="n">
        <x:v>3137162523.264</x:v>
      </x:c>
      <x:c r="G214" s="34" t="n">
        <x:v>3903.058368</x:v>
      </x:c>
      <x:c r="H214" s="36" t="n">
        <x:v>0.0059159654400000004</x:v>
      </x:c>
    </x:row>
    <x:row r="215" ht="19" customHeight="1">
      <x:c r="A215" s="19" t="n">
        <x:v>7</x:v>
      </x:c>
      <x:c r="B215" s="19" t="n">
        <x:v>2</x:v>
      </x:c>
      <x:c r="C215" s="19" t="str">
        <x:v>基础</x:v>
      </x:c>
      <x:c r="D215" s="34" t="n">
        <x:v>484</x:v>
      </x:c>
      <x:c r="E215" s="34" t="n">
        <x:v>109159730063.99998</x:v>
      </x:c>
      <x:c r="F215" s="34" t="n">
        <x:v>1094654996.16</x:v>
      </x:c>
      <x:c r="G215" s="34" t="n">
        <x:v>1504.1814186666666</x:v>
      </x:c>
      <x:c r="H215" s="36" t="n">
        <x:v>0.0023828616533333328</x:v>
      </x:c>
    </x:row>
    <x:row r="216" ht="19" customHeight="1">
      <x:c r="A216" s="19" t="n">
        <x:v>7</x:v>
      </x:c>
      <x:c r="B216" s="19" t="n">
        <x:v>2</x:v>
      </x:c>
      <x:c r="C216" s="19" t="str">
        <x:v>效率70%</x:v>
      </x:c>
      <x:c r="D216" s="34" t="n">
        <x:v>338.79999999999995</x:v>
      </x:c>
      <x:c r="E216" s="34" t="n">
        <x:v>76411811044.79999</x:v>
      </x:c>
      <x:c r="F216" s="34" t="n">
        <x:v>766258497.3119999</x:v>
      </x:c>
      <x:c r="G216" s="34" t="n">
        <x:v>1052.9269930666665</x:v>
      </x:c>
      <x:c r="H216" s="36" t="n">
        <x:v>0.001668003157333333</x:v>
      </x:c>
    </x:row>
    <x:row r="217" ht="19" customHeight="1">
      <x:c r="A217" s="19" t="n">
        <x:v>7</x:v>
      </x:c>
      <x:c r="B217" s="19" t="n">
        <x:v>2</x:v>
      </x:c>
      <x:c r="C217" s="19" t="str">
        <x:v>效率130%</x:v>
      </x:c>
      <x:c r="D217" s="34" t="n">
        <x:v>484</x:v>
      </x:c>
      <x:c r="E217" s="34" t="n">
        <x:v>109159730063.99998</x:v>
      </x:c>
      <x:c r="F217" s="34" t="n">
        <x:v>1094654996.16</x:v>
      </x:c>
      <x:c r="G217" s="34" t="n">
        <x:v>1504.1814186666666</x:v>
      </x:c>
      <x:c r="H217" s="36" t="n">
        <x:v>0.0023828616533333328</x:v>
      </x:c>
    </x:row>
    <x:row r="218" ht="19" customHeight="1">
      <x:c r="A218" s="19" t="n">
        <x:v>7</x:v>
      </x:c>
      <x:c r="B218" s="19" t="n">
        <x:v>2</x:v>
      </x:c>
      <x:c r="C218" s="19" t="str">
        <x:v>抢怪可用50%</x:v>
      </x:c>
      <x:c r="D218" s="34" t="n">
        <x:v>242</x:v>
      </x:c>
      <x:c r="E218" s="34" t="n">
        <x:v>54579865031.99999</x:v>
      </x:c>
      <x:c r="F218" s="34" t="n">
        <x:v>547327498.08</x:v>
      </x:c>
      <x:c r="G218" s="34" t="n">
        <x:v>752.0907093333333</x:v>
      </x:c>
      <x:c r="H218" s="36" t="n">
        <x:v>0.0011914308266666664</x:v>
      </x:c>
    </x:row>
    <x:row r="219" ht="19" customHeight="1">
      <x:c r="A219" s="19" t="n">
        <x:v>7</x:v>
      </x:c>
      <x:c r="B219" s="19" t="n">
        <x:v>2</x:v>
      </x:c>
      <x:c r="C219" s="19" t="str">
        <x:v>爆率80%</x:v>
      </x:c>
      <x:c r="D219" s="34" t="n">
        <x:v>484</x:v>
      </x:c>
      <x:c r="E219" s="34" t="n">
        <x:v>87327784051.19998</x:v>
      </x:c>
      <x:c r="F219" s="34" t="n">
        <x:v>875723996.9279999</x:v>
      </x:c>
      <x:c r="G219" s="34" t="n">
        <x:v>1203.3451349333332</x:v>
      </x:c>
      <x:c r="H219" s="36" t="n">
        <x:v>0.0019062893226666662</x:v>
      </x:c>
    </x:row>
    <x:row r="220" ht="19" customHeight="1">
      <x:c r="A220" s="19" t="n">
        <x:v>7</x:v>
      </x:c>
      <x:c r="B220" s="19" t="n">
        <x:v>2</x:v>
      </x:c>
      <x:c r="C220" s="19" t="str">
        <x:v>爆率120%</x:v>
      </x:c>
      <x:c r="D220" s="34" t="n">
        <x:v>484</x:v>
      </x:c>
      <x:c r="E220" s="34" t="n">
        <x:v>130991676076.8</x:v>
      </x:c>
      <x:c r="F220" s="34" t="n">
        <x:v>1313585995.392</x:v>
      </x:c>
      <x:c r="G220" s="34" t="n">
        <x:v>1805.0177024000002</x:v>
      </x:c>
      <x:c r="H220" s="36" t="n">
        <x:v>0.002859433984</x:v>
      </x:c>
    </x:row>
    <x:row r="221" ht="19" customHeight="1">
      <x:c r="A221" s="19" t="n">
        <x:v>7</x:v>
      </x:c>
      <x:c r="B221" s="19" t="n">
        <x:v>2</x:v>
      </x:c>
      <x:c r="C221" s="19" t="str">
        <x:v>C10回刷</x:v>
      </x:c>
      <x:c r="D221" s="34" t="n">
        <x:v>484</x:v>
      </x:c>
      <x:c r="E221" s="34" t="n">
        <x:v>271012456638.00003</x:v>
      </x:c>
      <x:c r="F221" s="34" t="n">
        <x:v>2717715951.7199993</x:v>
      </x:c>
      <x:c r="G221" s="34" t="n">
        <x:v>3681.209664</x:v>
      </x:c>
      <x:c r="H221" s="36" t="n">
        <x:v>0.0059159654400000004</x:v>
      </x:c>
    </x:row>
    <x:row r="222" ht="19" customHeight="1">
      <x:c r="A222" s="19" t="n">
        <x:v>7</x:v>
      </x:c>
      <x:c r="B222" s="19" t="n">
        <x:v>3</x:v>
      </x:c>
      <x:c r="C222" s="19" t="str">
        <x:v>基础</x:v>
      </x:c>
      <x:c r="D222" s="34" t="n">
        <x:v>464.34928659904676</x:v>
      </x:c>
      <x:c r="E222" s="34" t="n">
        <x:v>113667547826.6777</x:v>
      </x:c>
      <x:c r="F222" s="34" t="n">
        <x:v>1139859443.1918938</x:v>
      </x:c>
      <x:c r="G222" s="34" t="n">
        <x:v>1456.4929666052365</x:v>
      </x:c>
      <x:c r="H222" s="36" t="n">
        <x:v>0.00270015975258776</x:v>
      </x:c>
    </x:row>
    <x:row r="223" ht="19" customHeight="1">
      <x:c r="A223" s="19" t="n">
        <x:v>7</x:v>
      </x:c>
      <x:c r="B223" s="19" t="n">
        <x:v>3</x:v>
      </x:c>
      <x:c r="C223" s="19" t="str">
        <x:v>效率70%</x:v>
      </x:c>
      <x:c r="D223" s="34" t="n">
        <x:v>325.0445006193327</x:v>
      </x:c>
      <x:c r="E223" s="34" t="n">
        <x:v>79567283478.6744</x:v>
      </x:c>
      <x:c r="F223" s="34" t="n">
        <x:v>797901610.2343258</x:v>
      </x:c>
      <x:c r="G223" s="34" t="n">
        <x:v>1019.5450766236655</x:v>
      </x:c>
      <x:c r="H223" s="36" t="n">
        <x:v>0.0018901118268114321</x:v>
      </x:c>
    </x:row>
    <x:row r="224" ht="19" customHeight="1">
      <x:c r="A224" s="19" t="n">
        <x:v>7</x:v>
      </x:c>
      <x:c r="B224" s="19" t="n">
        <x:v>3</x:v>
      </x:c>
      <x:c r="C224" s="19" t="str">
        <x:v>效率130%</x:v>
      </x:c>
      <x:c r="D224" s="34" t="n">
        <x:v>481.7517848667468</x:v>
      </x:c>
      <x:c r="E224" s="34" t="n">
        <x:v>117847200916.6339</x:v>
      </x:c>
      <x:c r="F224" s="34" t="n">
        <x:v>1181773051.2088213</x:v>
      </x:c>
      <x:c r="G224" s="34" t="n">
        <x:v>1489.3627591029299</x:v>
      </x:c>
      <x:c r="H224" s="36" t="n">
        <x:v>0.0027659807306543945</x:v>
      </x:c>
    </x:row>
    <x:row r="225" ht="19" customHeight="1">
      <x:c r="A225" s="19" t="n">
        <x:v>7</x:v>
      </x:c>
      <x:c r="B225" s="19" t="n">
        <x:v>3</x:v>
      </x:c>
      <x:c r="C225" s="19" t="str">
        <x:v>抢怪可用50%</x:v>
      </x:c>
      <x:c r="D225" s="34" t="n">
        <x:v>242</x:v>
      </x:c>
      <x:c r="E225" s="34" t="n">
        <x:v>59538747113.99999</x:v>
      </x:c>
      <x:c r="F225" s="34" t="n">
        <x:v>597055223.1599998</x:v>
      </x:c>
      <x:c r="G225" s="34" t="n">
        <x:v>752.8501493333333</x:v>
      </x:c>
      <x:c r="H225" s="36" t="n">
        <x:v>0.0013952435199999997</x:v>
      </x:c>
    </x:row>
    <x:row r="226" ht="19" customHeight="1">
      <x:c r="A226" s="19" t="n">
        <x:v>7</x:v>
      </x:c>
      <x:c r="B226" s="19" t="n">
        <x:v>3</x:v>
      </x:c>
      <x:c r="C226" s="19" t="str">
        <x:v>爆率80%</x:v>
      </x:c>
      <x:c r="D226" s="34" t="n">
        <x:v>464.34928659904676</x:v>
      </x:c>
      <x:c r="E226" s="34" t="n">
        <x:v>90934038261.34218</x:v>
      </x:c>
      <x:c r="F226" s="34" t="n">
        <x:v>911887554.5535154</x:v>
      </x:c>
      <x:c r="G226" s="34" t="n">
        <x:v>1165.1943732841892</x:v>
      </x:c>
      <x:c r="H226" s="36" t="n">
        <x:v>0.002160127802070208</x:v>
      </x:c>
    </x:row>
    <x:row r="227" ht="19" customHeight="1">
      <x:c r="A227" s="19" t="n">
        <x:v>7</x:v>
      </x:c>
      <x:c r="B227" s="19" t="n">
        <x:v>3</x:v>
      </x:c>
      <x:c r="C227" s="19" t="str">
        <x:v>爆率120%</x:v>
      </x:c>
      <x:c r="D227" s="34" t="n">
        <x:v>464.34928659904676</x:v>
      </x:c>
      <x:c r="E227" s="34" t="n">
        <x:v>136401057392.01326</x:v>
      </x:c>
      <x:c r="F227" s="34" t="n">
        <x:v>1367831331.8302732</x:v>
      </x:c>
      <x:c r="G227" s="34" t="n">
        <x:v>1747.791559926284</x:v>
      </x:c>
      <x:c r="H227" s="36" t="n">
        <x:v>0.0032401917031053126</x:v>
      </x:c>
    </x:row>
    <x:row r="228" ht="19" customHeight="1">
      <x:c r="A228" s="19" t="n">
        <x:v>7</x:v>
      </x:c>
      <x:c r="B228" s="19" t="n">
        <x:v>3</x:v>
      </x:c>
      <x:c r="C228" s="19" t="str">
        <x:v>C10回刷</x:v>
      </x:c>
      <x:c r="D228" s="34" t="n">
        <x:v>484</x:v>
      </x:c>
      <x:c r="E228" s="34" t="n">
        <x:v>252449959608.00003</x:v>
      </x:c>
      <x:c r="F228" s="34" t="n">
        <x:v>2531571023.52</x:v>
      </x:c>
      <x:c r="G228" s="34" t="n">
        <x:v>3192.156352</x:v>
      </x:c>
      <x:c r="H228" s="36" t="n">
        <x:v>0.0059159654400000004</x:v>
      </x:c>
    </x:row>
    <x:row r="229" ht="19" customHeight="1">
      <x:c r="A229" s="19" t="n">
        <x:v>8</x:v>
      </x:c>
      <x:c r="B229" s="19" t="n">
        <x:v>1</x:v>
      </x:c>
      <x:c r="C229" s="19" t="str">
        <x:v>基础</x:v>
      </x:c>
      <x:c r="D229" s="34" t="n">
        <x:v>484</x:v>
      </x:c>
      <x:c r="E229" s="34" t="n">
        <x:v>186437859300.00003</x:v>
      </x:c>
      <x:c r="F229" s="34" t="n">
        <x:v>1620441207.0000002</x:v>
      </x:c>
      <x:c r="G229" s="34" t="n">
        <x:v>1881.34716</x:v>
      </x:c>
      <x:c r="H229" s="36" t="n">
        <x:v>0.0029154048000000006</x:v>
      </x:c>
    </x:row>
    <x:row r="230" ht="19" customHeight="1">
      <x:c r="A230" s="19" t="n">
        <x:v>8</x:v>
      </x:c>
      <x:c r="B230" s="19" t="n">
        <x:v>1</x:v>
      </x:c>
      <x:c r="C230" s="19" t="str">
        <x:v>效率70%</x:v>
      </x:c>
      <x:c r="D230" s="34" t="n">
        <x:v>338.79999999999995</x:v>
      </x:c>
      <x:c r="E230" s="34" t="n">
        <x:v>130506501510.00002</x:v>
      </x:c>
      <x:c r="F230" s="34" t="n">
        <x:v>1134308844.9</x:v>
      </x:c>
      <x:c r="G230" s="34" t="n">
        <x:v>1316.9430120000002</x:v>
      </x:c>
      <x:c r="H230" s="36" t="n">
        <x:v>0.0020407833600000003</x:v>
      </x:c>
    </x:row>
    <x:row r="231" ht="19" customHeight="1">
      <x:c r="A231" s="19" t="n">
        <x:v>8</x:v>
      </x:c>
      <x:c r="B231" s="19" t="n">
        <x:v>1</x:v>
      </x:c>
      <x:c r="C231" s="19" t="str">
        <x:v>效率130%</x:v>
      </x:c>
      <x:c r="D231" s="34" t="n">
        <x:v>484</x:v>
      </x:c>
      <x:c r="E231" s="34" t="n">
        <x:v>186437859300.00003</x:v>
      </x:c>
      <x:c r="F231" s="34" t="n">
        <x:v>1620441207.0000002</x:v>
      </x:c>
      <x:c r="G231" s="34" t="n">
        <x:v>1881.34716</x:v>
      </x:c>
      <x:c r="H231" s="36" t="n">
        <x:v>0.0029154048000000006</x:v>
      </x:c>
    </x:row>
    <x:row r="232" ht="19" customHeight="1">
      <x:c r="A232" s="19" t="n">
        <x:v>8</x:v>
      </x:c>
      <x:c r="B232" s="19" t="n">
        <x:v>1</x:v>
      </x:c>
      <x:c r="C232" s="19" t="str">
        <x:v>抢怪可用50%</x:v>
      </x:c>
      <x:c r="D232" s="34" t="n">
        <x:v>242</x:v>
      </x:c>
      <x:c r="E232" s="34" t="n">
        <x:v>93218929650.00002</x:v>
      </x:c>
      <x:c r="F232" s="34" t="n">
        <x:v>810220603.5000001</x:v>
      </x:c>
      <x:c r="G232" s="34" t="n">
        <x:v>940.67358</x:v>
      </x:c>
      <x:c r="H232" s="36" t="n">
        <x:v>0.0014577024000000003</x:v>
      </x:c>
    </x:row>
    <x:row r="233" ht="19" customHeight="1">
      <x:c r="A233" s="19" t="n">
        <x:v>8</x:v>
      </x:c>
      <x:c r="B233" s="19" t="n">
        <x:v>1</x:v>
      </x:c>
      <x:c r="C233" s="19" t="str">
        <x:v>爆率80%</x:v>
      </x:c>
      <x:c r="D233" s="34" t="n">
        <x:v>484</x:v>
      </x:c>
      <x:c r="E233" s="34" t="n">
        <x:v>149150287440.00003</x:v>
      </x:c>
      <x:c r="F233" s="34" t="n">
        <x:v>1296352965.6000001</x:v>
      </x:c>
      <x:c r="G233" s="34" t="n">
        <x:v>1505.0777280000004</x:v>
      </x:c>
      <x:c r="H233" s="36" t="n">
        <x:v>0.002332323840000001</x:v>
      </x:c>
    </x:row>
    <x:row r="234" ht="19" customHeight="1">
      <x:c r="A234" s="19" t="n">
        <x:v>8</x:v>
      </x:c>
      <x:c r="B234" s="19" t="n">
        <x:v>1</x:v>
      </x:c>
      <x:c r="C234" s="19" t="str">
        <x:v>爆率120%</x:v>
      </x:c>
      <x:c r="D234" s="34" t="n">
        <x:v>484</x:v>
      </x:c>
      <x:c r="E234" s="34" t="n">
        <x:v>223725431160</x:v>
      </x:c>
      <x:c r="F234" s="34" t="n">
        <x:v>1944529448.4</x:v>
      </x:c>
      <x:c r="G234" s="34" t="n">
        <x:v>2257.6165919999994</x:v>
      </x:c>
      <x:c r="H234" s="36" t="n">
        <x:v>0.0034984857600000004</x:v>
      </x:c>
    </x:row>
    <x:row r="235" ht="19" customHeight="1">
      <x:c r="A235" s="19" t="n">
        <x:v>8</x:v>
      </x:c>
      <x:c r="B235" s="19" t="n">
        <x:v>1</x:v>
      </x:c>
      <x:c r="C235" s="19" t="str">
        <x:v>C10回刷</x:v>
      </x:c>
      <x:c r="D235" s="34" t="n">
        <x:v>484</x:v>
      </x:c>
      <x:c r="E235" s="34" t="n">
        <x:v>378321368040</x:v>
      </x:c>
      <x:c r="F235" s="34" t="n">
        <x:v>3288213759.6</x:v>
      </x:c>
      <x:c r="G235" s="34" t="n">
        <x:v>3817.6464480000004</x:v>
      </x:c>
      <x:c r="H235" s="36" t="n">
        <x:v>0.0059159654400000004</x:v>
      </x:c>
    </x:row>
    <x:row r="236" ht="19" customHeight="1">
      <x:c r="A236" s="19" t="n">
        <x:v>8</x:v>
      </x:c>
      <x:c r="B236" s="19" t="n">
        <x:v>2</x:v>
      </x:c>
      <x:c r="C236" s="19" t="str">
        <x:v>基础</x:v>
      </x:c>
      <x:c r="D236" s="34" t="n">
        <x:v>484</x:v>
      </x:c>
      <x:c r="E236" s="34" t="n">
        <x:v>186437859300.00003</x:v>
      </x:c>
      <x:c r="F236" s="34" t="n">
        <x:v>1620441207.0000002</x:v>
      </x:c>
      <x:c r="G236" s="34" t="n">
        <x:v>1881.34716</x:v>
      </x:c>
      <x:c r="H236" s="36" t="n">
        <x:v>0.0029154048000000006</x:v>
      </x:c>
    </x:row>
    <x:row r="237" ht="19" customHeight="1">
      <x:c r="A237" s="19" t="n">
        <x:v>8</x:v>
      </x:c>
      <x:c r="B237" s="19" t="n">
        <x:v>2</x:v>
      </x:c>
      <x:c r="C237" s="19" t="str">
        <x:v>效率70%</x:v>
      </x:c>
      <x:c r="D237" s="34" t="n">
        <x:v>338.79999999999995</x:v>
      </x:c>
      <x:c r="E237" s="34" t="n">
        <x:v>130506501510.00002</x:v>
      </x:c>
      <x:c r="F237" s="34" t="n">
        <x:v>1134308844.9</x:v>
      </x:c>
      <x:c r="G237" s="34" t="n">
        <x:v>1316.9430120000002</x:v>
      </x:c>
      <x:c r="H237" s="36" t="n">
        <x:v>0.0020407833600000003</x:v>
      </x:c>
    </x:row>
    <x:row r="238" ht="19" customHeight="1">
      <x:c r="A238" s="19" t="n">
        <x:v>8</x:v>
      </x:c>
      <x:c r="B238" s="19" t="n">
        <x:v>2</x:v>
      </x:c>
      <x:c r="C238" s="19" t="str">
        <x:v>效率130%</x:v>
      </x:c>
      <x:c r="D238" s="34" t="n">
        <x:v>484</x:v>
      </x:c>
      <x:c r="E238" s="34" t="n">
        <x:v>186437859300.00003</x:v>
      </x:c>
      <x:c r="F238" s="34" t="n">
        <x:v>1620441207.0000002</x:v>
      </x:c>
      <x:c r="G238" s="34" t="n">
        <x:v>1881.34716</x:v>
      </x:c>
      <x:c r="H238" s="36" t="n">
        <x:v>0.0029154048000000006</x:v>
      </x:c>
    </x:row>
    <x:row r="239" ht="19" customHeight="1">
      <x:c r="A239" s="19" t="n">
        <x:v>8</x:v>
      </x:c>
      <x:c r="B239" s="19" t="n">
        <x:v>2</x:v>
      </x:c>
      <x:c r="C239" s="19" t="str">
        <x:v>抢怪可用50%</x:v>
      </x:c>
      <x:c r="D239" s="34" t="n">
        <x:v>242</x:v>
      </x:c>
      <x:c r="E239" s="34" t="n">
        <x:v>93218929650.00002</x:v>
      </x:c>
      <x:c r="F239" s="34" t="n">
        <x:v>810220603.5000001</x:v>
      </x:c>
      <x:c r="G239" s="34" t="n">
        <x:v>940.67358</x:v>
      </x:c>
      <x:c r="H239" s="36" t="n">
        <x:v>0.0014577024000000003</x:v>
      </x:c>
    </x:row>
    <x:row r="240" ht="19" customHeight="1">
      <x:c r="A240" s="19" t="n">
        <x:v>8</x:v>
      </x:c>
      <x:c r="B240" s="19" t="n">
        <x:v>2</x:v>
      </x:c>
      <x:c r="C240" s="19" t="str">
        <x:v>爆率80%</x:v>
      </x:c>
      <x:c r="D240" s="34" t="n">
        <x:v>484</x:v>
      </x:c>
      <x:c r="E240" s="34" t="n">
        <x:v>149150287440.00003</x:v>
      </x:c>
      <x:c r="F240" s="34" t="n">
        <x:v>1296352965.6000001</x:v>
      </x:c>
      <x:c r="G240" s="34" t="n">
        <x:v>1505.0777280000004</x:v>
      </x:c>
      <x:c r="H240" s="36" t="n">
        <x:v>0.002332323840000001</x:v>
      </x:c>
    </x:row>
    <x:row r="241" ht="19" customHeight="1">
      <x:c r="A241" s="19" t="n">
        <x:v>8</x:v>
      </x:c>
      <x:c r="B241" s="19" t="n">
        <x:v>2</x:v>
      </x:c>
      <x:c r="C241" s="19" t="str">
        <x:v>爆率120%</x:v>
      </x:c>
      <x:c r="D241" s="34" t="n">
        <x:v>484</x:v>
      </x:c>
      <x:c r="E241" s="34" t="n">
        <x:v>223725431160</x:v>
      </x:c>
      <x:c r="F241" s="34" t="n">
        <x:v>1944529448.4</x:v>
      </x:c>
      <x:c r="G241" s="34" t="n">
        <x:v>2257.6165919999994</x:v>
      </x:c>
      <x:c r="H241" s="36" t="n">
        <x:v>0.0034984857600000004</x:v>
      </x:c>
    </x:row>
    <x:row r="242" ht="19" customHeight="1">
      <x:c r="A242" s="19" t="n">
        <x:v>8</x:v>
      </x:c>
      <x:c r="B242" s="19" t="n">
        <x:v>2</x:v>
      </x:c>
      <x:c r="C242" s="19" t="str">
        <x:v>C10回刷</x:v>
      </x:c>
      <x:c r="D242" s="34" t="n">
        <x:v>484</x:v>
      </x:c>
      <x:c r="E242" s="34" t="n">
        <x:v>378321368040</x:v>
      </x:c>
      <x:c r="F242" s="34" t="n">
        <x:v>3288213759.6</x:v>
      </x:c>
      <x:c r="G242" s="34" t="n">
        <x:v>3817.6464480000004</x:v>
      </x:c>
      <x:c r="H242" s="36" t="n">
        <x:v>0.0059159654400000004</x:v>
      </x:c>
    </x:row>
    <x:row r="243" ht="19" customHeight="1">
      <x:c r="A243" s="19" t="n">
        <x:v>8</x:v>
      </x:c>
      <x:c r="B243" s="19" t="n">
        <x:v>3</x:v>
      </x:c>
      <x:c r="C243" s="19" t="str">
        <x:v>基础</x:v>
      </x:c>
      <x:c r="D243" s="34" t="n">
        <x:v>484</x:v>
      </x:c>
      <x:c r="E243" s="34" t="n">
        <x:v>199295642700.00003</x:v>
      </x:c>
      <x:c r="F243" s="34" t="n">
        <x:v>1732195773.0000002</x:v>
      </x:c>
      <x:c r="G243" s="34" t="n">
        <x:v>1639.3915999999997</x:v>
      </x:c>
      <x:c r="H243" s="36" t="n">
        <x:v>0.0031164672000000004</x:v>
      </x:c>
    </x:row>
    <x:row r="244" ht="19" customHeight="1">
      <x:c r="A244" s="19" t="n">
        <x:v>8</x:v>
      </x:c>
      <x:c r="B244" s="19" t="n">
        <x:v>3</x:v>
      </x:c>
      <x:c r="C244" s="19" t="str">
        <x:v>效率70%</x:v>
      </x:c>
      <x:c r="D244" s="34" t="n">
        <x:v>338.79999999999995</x:v>
      </x:c>
      <x:c r="E244" s="34" t="n">
        <x:v>139506949890</x:v>
      </x:c>
      <x:c r="F244" s="34" t="n">
        <x:v>1212537041.1000001</x:v>
      </x:c>
      <x:c r="G244" s="34" t="n">
        <x:v>1147.5741200000002</x:v>
      </x:c>
      <x:c r="H244" s="36" t="n">
        <x:v>0.0021815270400000002</x:v>
      </x:c>
    </x:row>
    <x:row r="245" ht="19" customHeight="1">
      <x:c r="A245" s="19" t="n">
        <x:v>8</x:v>
      </x:c>
      <x:c r="B245" s="19" t="n">
        <x:v>3</x:v>
      </x:c>
      <x:c r="C245" s="19" t="str">
        <x:v>效率130%</x:v>
      </x:c>
      <x:c r="D245" s="34" t="n">
        <x:v>484</x:v>
      </x:c>
      <x:c r="E245" s="34" t="n">
        <x:v>199295642700.00003</x:v>
      </x:c>
      <x:c r="F245" s="34" t="n">
        <x:v>1732195773.0000002</x:v>
      </x:c>
      <x:c r="G245" s="34" t="n">
        <x:v>1639.3915999999997</x:v>
      </x:c>
      <x:c r="H245" s="36" t="n">
        <x:v>0.0031164672000000004</x:v>
      </x:c>
    </x:row>
    <x:row r="246" ht="19" customHeight="1">
      <x:c r="A246" s="19" t="n">
        <x:v>8</x:v>
      </x:c>
      <x:c r="B246" s="19" t="n">
        <x:v>3</x:v>
      </x:c>
      <x:c r="C246" s="19" t="str">
        <x:v>抢怪可用50%</x:v>
      </x:c>
      <x:c r="D246" s="34" t="n">
        <x:v>242</x:v>
      </x:c>
      <x:c r="E246" s="34" t="n">
        <x:v>99647821350.00002</x:v>
      </x:c>
      <x:c r="F246" s="34" t="n">
        <x:v>866097886.5000001</x:v>
      </x:c>
      <x:c r="G246" s="34" t="n">
        <x:v>819.6957999999998</x:v>
      </x:c>
      <x:c r="H246" s="36" t="n">
        <x:v>0.0015582336000000002</x:v>
      </x:c>
    </x:row>
    <x:row r="247" ht="19" customHeight="1">
      <x:c r="A247" s="19" t="n">
        <x:v>8</x:v>
      </x:c>
      <x:c r="B247" s="19" t="n">
        <x:v>3</x:v>
      </x:c>
      <x:c r="C247" s="19" t="str">
        <x:v>爆率80%</x:v>
      </x:c>
      <x:c r="D247" s="34" t="n">
        <x:v>484</x:v>
      </x:c>
      <x:c r="E247" s="34" t="n">
        <x:v>159436514160.00003</x:v>
      </x:c>
      <x:c r="F247" s="34" t="n">
        <x:v>1385756618.4000003</x:v>
      </x:c>
      <x:c r="G247" s="34" t="n">
        <x:v>1311.5132800000003</x:v>
      </x:c>
      <x:c r="H247" s="36" t="n">
        <x:v>0.0024931737600000004</x:v>
      </x:c>
    </x:row>
    <x:row r="248" ht="19" customHeight="1">
      <x:c r="A248" s="19" t="n">
        <x:v>8</x:v>
      </x:c>
      <x:c r="B248" s="19" t="n">
        <x:v>3</x:v>
      </x:c>
      <x:c r="C248" s="19" t="str">
        <x:v>爆率120%</x:v>
      </x:c>
      <x:c r="D248" s="34" t="n">
        <x:v>484</x:v>
      </x:c>
      <x:c r="E248" s="34" t="n">
        <x:v>239154771240</x:v>
      </x:c>
      <x:c r="F248" s="34" t="n">
        <x:v>2078634927.6</x:v>
      </x:c>
      <x:c r="G248" s="34" t="n">
        <x:v>1967.26992</x:v>
      </x:c>
      <x:c r="H248" s="36" t="n">
        <x:v>0.00373976064</x:v>
      </x:c>
    </x:row>
    <x:row r="249" ht="19" customHeight="1">
      <x:c r="A249" s="19" t="n">
        <x:v>8</x:v>
      </x:c>
      <x:c r="B249" s="19" t="n">
        <x:v>3</x:v>
      </x:c>
      <x:c r="C249" s="19" t="str">
        <x:v>C10回刷</x:v>
      </x:c>
      <x:c r="D249" s="34" t="n">
        <x:v>484</x:v>
      </x:c>
      <x:c r="E249" s="34" t="n">
        <x:v>378321368040</x:v>
      </x:c>
      <x:c r="F249" s="34" t="n">
        <x:v>3288213759.6</x:v>
      </x:c>
      <x:c r="G249" s="34" t="n">
        <x:v>3112.04432</x:v>
      </x:c>
      <x:c r="H249" s="36" t="n">
        <x:v>0.0059159654400000004</x:v>
      </x:c>
    </x:row>
    <x:row r="250" ht="19" customHeight="1">
      <x:c r="A250" s="19" t="n">
        <x:v>8</x:v>
      </x:c>
      <x:c r="B250" s="19" t="n">
        <x:v>4</x:v>
      </x:c>
      <x:c r="C250" s="19" t="str">
        <x:v>基础</x:v>
      </x:c>
      <x:c r="D250" s="34" t="n">
        <x:v>484</x:v>
      </x:c>
      <x:c r="E250" s="34" t="n">
        <x:v>180008967600</x:v>
      </x:c>
      <x:c r="F250" s="34" t="n">
        <x:v>1564563924</x:v>
      </x:c>
      <x:c r="G250" s="34" t="n">
        <x:v>1850.9260000000002</x:v>
      </x:c>
      <x:c r="H250" s="36" t="n">
        <x:v>0.003518592</x:v>
      </x:c>
    </x:row>
    <x:row r="251" ht="19" customHeight="1">
      <x:c r="A251" s="19" t="n">
        <x:v>8</x:v>
      </x:c>
      <x:c r="B251" s="19" t="n">
        <x:v>4</x:v>
      </x:c>
      <x:c r="C251" s="19" t="str">
        <x:v>效率70%</x:v>
      </x:c>
      <x:c r="D251" s="34" t="n">
        <x:v>338.79999999999995</x:v>
      </x:c>
      <x:c r="E251" s="34" t="n">
        <x:v>126006277320</x:v>
      </x:c>
      <x:c r="F251" s="34" t="n">
        <x:v>1095194746.8</x:v>
      </x:c>
      <x:c r="G251" s="34" t="n">
        <x:v>1295.6481999999999</x:v>
      </x:c>
      <x:c r="H251" s="36" t="n">
        <x:v>0.0024630144</x:v>
      </x:c>
    </x:row>
    <x:row r="252" ht="19" customHeight="1">
      <x:c r="A252" s="19" t="n">
        <x:v>8</x:v>
      </x:c>
      <x:c r="B252" s="19" t="n">
        <x:v>4</x:v>
      </x:c>
      <x:c r="C252" s="19" t="str">
        <x:v>效率130%</x:v>
      </x:c>
      <x:c r="D252" s="34" t="n">
        <x:v>484</x:v>
      </x:c>
      <x:c r="E252" s="34" t="n">
        <x:v>180008967600</x:v>
      </x:c>
      <x:c r="F252" s="34" t="n">
        <x:v>1564563924</x:v>
      </x:c>
      <x:c r="G252" s="34" t="n">
        <x:v>1850.9260000000002</x:v>
      </x:c>
      <x:c r="H252" s="36" t="n">
        <x:v>0.003518592</x:v>
      </x:c>
    </x:row>
    <x:row r="253" ht="19" customHeight="1">
      <x:c r="A253" s="19" t="n">
        <x:v>8</x:v>
      </x:c>
      <x:c r="B253" s="19" t="n">
        <x:v>4</x:v>
      </x:c>
      <x:c r="C253" s="19" t="str">
        <x:v>抢怪可用50%</x:v>
      </x:c>
      <x:c r="D253" s="34" t="n">
        <x:v>242</x:v>
      </x:c>
      <x:c r="E253" s="34" t="n">
        <x:v>90004483800</x:v>
      </x:c>
      <x:c r="F253" s="34" t="n">
        <x:v>782281962</x:v>
      </x:c>
      <x:c r="G253" s="34" t="n">
        <x:v>925.4630000000001</x:v>
      </x:c>
      <x:c r="H253" s="36" t="n">
        <x:v>0.001759296</x:v>
      </x:c>
    </x:row>
    <x:row r="254" ht="19" customHeight="1">
      <x:c r="A254" s="19" t="n">
        <x:v>8</x:v>
      </x:c>
      <x:c r="B254" s="19" t="n">
        <x:v>4</x:v>
      </x:c>
      <x:c r="C254" s="19" t="str">
        <x:v>爆率80%</x:v>
      </x:c>
      <x:c r="D254" s="34" t="n">
        <x:v>484</x:v>
      </x:c>
      <x:c r="E254" s="34" t="n">
        <x:v>144007174080</x:v>
      </x:c>
      <x:c r="F254" s="34" t="n">
        <x:v>1251651139.2</x:v>
      </x:c>
      <x:c r="G254" s="34" t="n">
        <x:v>1480.7408</x:v>
      </x:c>
      <x:c r="H254" s="36" t="n">
        <x:v>0.0028148736</x:v>
      </x:c>
    </x:row>
    <x:row r="255" ht="19" customHeight="1">
      <x:c r="A255" s="19" t="n">
        <x:v>8</x:v>
      </x:c>
      <x:c r="B255" s="19" t="n">
        <x:v>4</x:v>
      </x:c>
      <x:c r="C255" s="19" t="str">
        <x:v>爆率120%</x:v>
      </x:c>
      <x:c r="D255" s="34" t="n">
        <x:v>484</x:v>
      </x:c>
      <x:c r="E255" s="34" t="n">
        <x:v>216010761119.99997</x:v>
      </x:c>
      <x:c r="F255" s="34" t="n">
        <x:v>1877476708.7999997</x:v>
      </x:c>
      <x:c r="G255" s="34" t="n">
        <x:v>2221.1112</x:v>
      </x:c>
      <x:c r="H255" s="36" t="n">
        <x:v>0.004222310399999998</x:v>
      </x:c>
    </x:row>
    <x:row r="256" ht="19" customHeight="1">
      <x:c r="A256" s="19" t="n">
        <x:v>8</x:v>
      </x:c>
      <x:c r="B256" s="19" t="n">
        <x:v>4</x:v>
      </x:c>
      <x:c r="C256" s="19" t="str">
        <x:v>C10回刷</x:v>
      </x:c>
      <x:c r="D256" s="34" t="n">
        <x:v>484</x:v>
      </x:c>
      <x:c r="E256" s="34" t="n">
        <x:v>302657094432</x:v>
      </x:c>
      <x:c r="F256" s="34" t="n">
        <x:v>2630571007.68</x:v>
      </x:c>
      <x:c r="G256" s="34" t="n">
        <x:v>3112.04432</x:v>
      </x:c>
      <x:c r="H256" s="36" t="n">
        <x:v>0.0059159654400000004</x:v>
      </x:c>
    </x:row>
    <x:row r="257" ht="19" customHeight="1">
      <x:c r="A257" s="19" t="n">
        <x:v>9</x:v>
      </x:c>
      <x:c r="B257" s="19" t="n">
        <x:v>1</x:v>
      </x:c>
      <x:c r="C257" s="19" t="str">
        <x:v>基础</x:v>
      </x:c>
      <x:c r="D257" s="34" t="n">
        <x:v>484</x:v>
      </x:c>
      <x:c r="E257" s="34" t="n">
        <x:v>228796444800</x:v>
      </x:c>
      <x:c r="F257" s="34" t="n">
        <x:v>3196420920</x:v>
      </x:c>
      <x:c r="G257" s="34" t="n">
        <x:v>2021.3578</x:v>
      </x:c>
      <x:c r="H257" s="36" t="n">
        <x:v>0.003518592</x:v>
      </x:c>
    </x:row>
    <x:row r="258" ht="19" customHeight="1">
      <x:c r="A258" s="19" t="n">
        <x:v>9</x:v>
      </x:c>
      <x:c r="B258" s="19" t="n">
        <x:v>1</x:v>
      </x:c>
      <x:c r="C258" s="19" t="str">
        <x:v>效率70%</x:v>
      </x:c>
      <x:c r="D258" s="34" t="n">
        <x:v>338.79999999999995</x:v>
      </x:c>
      <x:c r="E258" s="34" t="n">
        <x:v>160157511360</x:v>
      </x:c>
      <x:c r="F258" s="34" t="n">
        <x:v>2237494644</x:v>
      </x:c>
      <x:c r="G258" s="34" t="n">
        <x:v>1414.9504599999998</x:v>
      </x:c>
      <x:c r="H258" s="36" t="n">
        <x:v>0.0024630144</x:v>
      </x:c>
    </x:row>
    <x:row r="259" ht="19" customHeight="1">
      <x:c r="A259" s="19" t="n">
        <x:v>9</x:v>
      </x:c>
      <x:c r="B259" s="19" t="n">
        <x:v>1</x:v>
      </x:c>
      <x:c r="C259" s="19" t="str">
        <x:v>效率130%</x:v>
      </x:c>
      <x:c r="D259" s="34" t="n">
        <x:v>484</x:v>
      </x:c>
      <x:c r="E259" s="34" t="n">
        <x:v>228796444800</x:v>
      </x:c>
      <x:c r="F259" s="34" t="n">
        <x:v>3196420920</x:v>
      </x:c>
      <x:c r="G259" s="34" t="n">
        <x:v>2021.3578</x:v>
      </x:c>
      <x:c r="H259" s="36" t="n">
        <x:v>0.003518592</x:v>
      </x:c>
    </x:row>
    <x:row r="260" ht="19" customHeight="1">
      <x:c r="A260" s="19" t="n">
        <x:v>9</x:v>
      </x:c>
      <x:c r="B260" s="19" t="n">
        <x:v>1</x:v>
      </x:c>
      <x:c r="C260" s="19" t="str">
        <x:v>抢怪可用50%</x:v>
      </x:c>
      <x:c r="D260" s="34" t="n">
        <x:v>242</x:v>
      </x:c>
      <x:c r="E260" s="34" t="n">
        <x:v>114398222400</x:v>
      </x:c>
      <x:c r="F260" s="34" t="n">
        <x:v>1598210460</x:v>
      </x:c>
      <x:c r="G260" s="34" t="n">
        <x:v>1010.6789</x:v>
      </x:c>
      <x:c r="H260" s="36" t="n">
        <x:v>0.001759296</x:v>
      </x:c>
    </x:row>
    <x:row r="261" ht="19" customHeight="1">
      <x:c r="A261" s="19" t="n">
        <x:v>9</x:v>
      </x:c>
      <x:c r="B261" s="19" t="n">
        <x:v>1</x:v>
      </x:c>
      <x:c r="C261" s="19" t="str">
        <x:v>爆率80%</x:v>
      </x:c>
      <x:c r="D261" s="34" t="n">
        <x:v>484</x:v>
      </x:c>
      <x:c r="E261" s="34" t="n">
        <x:v>183037155840</x:v>
      </x:c>
      <x:c r="F261" s="34" t="n">
        <x:v>2557136736</x:v>
      </x:c>
      <x:c r="G261" s="34" t="n">
        <x:v>1617.0862399999999</x:v>
      </x:c>
      <x:c r="H261" s="36" t="n">
        <x:v>0.0028148736</x:v>
      </x:c>
    </x:row>
    <x:row r="262" ht="19" customHeight="1">
      <x:c r="A262" s="19" t="n">
        <x:v>9</x:v>
      </x:c>
      <x:c r="B262" s="19" t="n">
        <x:v>1</x:v>
      </x:c>
      <x:c r="C262" s="19" t="str">
        <x:v>爆率120%</x:v>
      </x:c>
      <x:c r="D262" s="34" t="n">
        <x:v>484</x:v>
      </x:c>
      <x:c r="E262" s="34" t="n">
        <x:v>274555733759.99997</x:v>
      </x:c>
      <x:c r="F262" s="34" t="n">
        <x:v>3835705103.9999995</x:v>
      </x:c>
      <x:c r="G262" s="34" t="n">
        <x:v>2425.62936</x:v>
      </x:c>
      <x:c r="H262" s="36" t="n">
        <x:v>0.004222310399999998</x:v>
      </x:c>
    </x:row>
    <x:row r="263" ht="19" customHeight="1">
      <x:c r="A263" s="19" t="n">
        <x:v>9</x:v>
      </x:c>
      <x:c r="B263" s="19" t="n">
        <x:v>1</x:v>
      </x:c>
      <x:c r="C263" s="19" t="str">
        <x:v>C10回刷</x:v>
      </x:c>
      <x:c r="D263" s="34" t="n">
        <x:v>484</x:v>
      </x:c>
      <x:c r="E263" s="34" t="n">
        <x:v>384685652736</x:v>
      </x:c>
      <x:c r="F263" s="34" t="n">
        <x:v>5374284854.400001</x:v>
      </x:c>
      <x:c r="G263" s="34" t="n">
        <x:v>3398.598896</x:v>
      </x:c>
      <x:c r="H263" s="36" t="n">
        <x:v>0.0059159654400000004</x:v>
      </x:c>
    </x:row>
    <x:row r="264" ht="19" customHeight="1">
      <x:c r="A264" s="19" t="n">
        <x:v>9</x:v>
      </x:c>
      <x:c r="B264" s="19" t="n">
        <x:v>2</x:v>
      </x:c>
      <x:c r="C264" s="19" t="str">
        <x:v>基础</x:v>
      </x:c>
      <x:c r="D264" s="34" t="n">
        <x:v>484</x:v>
      </x:c>
      <x:c r="E264" s="34" t="n">
        <x:v>228461204664</x:v>
      </x:c>
      <x:c r="F264" s="34" t="n">
        <x:v>3191737418.1</x:v>
      </x:c>
      <x:c r="G264" s="34" t="n">
        <x:v>2053.381205333333</x:v>
      </x:c>
      <x:c r="H264" s="36" t="n">
        <x:v>0.00332980736</x:v>
      </x:c>
    </x:row>
    <x:row r="265" ht="19" customHeight="1">
      <x:c r="A265" s="19" t="n">
        <x:v>9</x:v>
      </x:c>
      <x:c r="B265" s="19" t="n">
        <x:v>2</x:v>
      </x:c>
      <x:c r="C265" s="19" t="str">
        <x:v>效率70%</x:v>
      </x:c>
      <x:c r="D265" s="34" t="n">
        <x:v>338.79999999999995</x:v>
      </x:c>
      <x:c r="E265" s="34" t="n">
        <x:v>159922843264.8</x:v>
      </x:c>
      <x:c r="F265" s="34" t="n">
        <x:v>2234216192.6699996</x:v>
      </x:c>
      <x:c r="G265" s="34" t="n">
        <x:v>1437.3668437333329</x:v>
      </x:c>
      <x:c r="H265" s="36" t="n">
        <x:v>0.0023308651520000004</x:v>
      </x:c>
    </x:row>
    <x:row r="266" ht="19" customHeight="1">
      <x:c r="A266" s="19" t="n">
        <x:v>9</x:v>
      </x:c>
      <x:c r="B266" s="19" t="n">
        <x:v>2</x:v>
      </x:c>
      <x:c r="C266" s="19" t="str">
        <x:v>效率130%</x:v>
      </x:c>
      <x:c r="D266" s="34" t="n">
        <x:v>484</x:v>
      </x:c>
      <x:c r="E266" s="34" t="n">
        <x:v>228461204664</x:v>
      </x:c>
      <x:c r="F266" s="34" t="n">
        <x:v>3191737418.1</x:v>
      </x:c>
      <x:c r="G266" s="34" t="n">
        <x:v>2053.381205333333</x:v>
      </x:c>
      <x:c r="H266" s="36" t="n">
        <x:v>0.00332980736</x:v>
      </x:c>
    </x:row>
    <x:row r="267" ht="19" customHeight="1">
      <x:c r="A267" s="19" t="n">
        <x:v>9</x:v>
      </x:c>
      <x:c r="B267" s="19" t="n">
        <x:v>2</x:v>
      </x:c>
      <x:c r="C267" s="19" t="str">
        <x:v>抢怪可用50%</x:v>
      </x:c>
      <x:c r="D267" s="34" t="n">
        <x:v>242</x:v>
      </x:c>
      <x:c r="E267" s="34" t="n">
        <x:v>114230602332</x:v>
      </x:c>
      <x:c r="F267" s="34" t="n">
        <x:v>1595868709.05</x:v>
      </x:c>
      <x:c r="G267" s="34" t="n">
        <x:v>1026.6906026666666</x:v>
      </x:c>
      <x:c r="H267" s="36" t="n">
        <x:v>0.00166490368</x:v>
      </x:c>
    </x:row>
    <x:row r="268" ht="19" customHeight="1">
      <x:c r="A268" s="19" t="n">
        <x:v>9</x:v>
      </x:c>
      <x:c r="B268" s="19" t="n">
        <x:v>2</x:v>
      </x:c>
      <x:c r="C268" s="19" t="str">
        <x:v>爆率80%</x:v>
      </x:c>
      <x:c r="D268" s="34" t="n">
        <x:v>484</x:v>
      </x:c>
      <x:c r="E268" s="34" t="n">
        <x:v>182768963731.2</x:v>
      </x:c>
      <x:c r="F268" s="34" t="n">
        <x:v>2553389934.4800005</x:v>
      </x:c>
      <x:c r="G268" s="34" t="n">
        <x:v>1642.704964266667</x:v>
      </x:c>
      <x:c r="H268" s="36" t="n">
        <x:v>0.0026638458880000005</x:v>
      </x:c>
    </x:row>
    <x:row r="269" ht="19" customHeight="1">
      <x:c r="A269" s="19" t="n">
        <x:v>9</x:v>
      </x:c>
      <x:c r="B269" s="19" t="n">
        <x:v>2</x:v>
      </x:c>
      <x:c r="C269" s="19" t="str">
        <x:v>爆率120%</x:v>
      </x:c>
      <x:c r="D269" s="34" t="n">
        <x:v>484</x:v>
      </x:c>
      <x:c r="E269" s="34" t="n">
        <x:v>274153445596.8</x:v>
      </x:c>
      <x:c r="F269" s="34" t="n">
        <x:v>3830084901.7200003</x:v>
      </x:c>
      <x:c r="G269" s="34" t="n">
        <x:v>2464.0574464</x:v>
      </x:c>
      <x:c r="H269" s="36" t="n">
        <x:v>0.003995768832</x:v>
      </x:c>
    </x:row>
    <x:row r="270" ht="19" customHeight="1">
      <x:c r="A270" s="19" t="n">
        <x:v>9</x:v>
      </x:c>
      <x:c r="B270" s="19" t="n">
        <x:v>2</x:v>
      </x:c>
      <x:c r="C270" s="19" t="str">
        <x:v>C10回刷</x:v>
      </x:c>
      <x:c r="D270" s="34" t="n">
        <x:v>484</x:v>
      </x:c>
      <x:c r="E270" s="34" t="n">
        <x:v>405899935056</x:v>
      </x:c>
      <x:c r="F270" s="34" t="n">
        <x:v>5670660857.400001</x:v>
      </x:c>
      <x:c r="G270" s="34" t="n">
        <x:v>3648.178688</x:v>
      </x:c>
      <x:c r="H270" s="36" t="n">
        <x:v>0.0059159654400000004</x:v>
      </x:c>
    </x:row>
    <x:row r="271" ht="19" customHeight="1">
      <x:c r="A271" s="19" t="n">
        <x:v>9</x:v>
      </x:c>
      <x:c r="B271" s="19" t="n">
        <x:v>3</x:v>
      </x:c>
      <x:c r="C271" s="19" t="str">
        <x:v>基础</x:v>
      </x:c>
      <x:c r="D271" s="34" t="n">
        <x:v>484</x:v>
      </x:c>
      <x:c r="E271" s="34" t="n">
        <x:v>227521996416</x:v>
      </x:c>
      <x:c r="F271" s="34" t="n">
        <x:v>3178616126.4</x:v>
      </x:c>
      <x:c r="G271" s="34" t="n">
        <x:v>2010.0983759999997</x:v>
      </x:c>
      <x:c r="H271" s="36" t="n">
        <x:v>0.003498992640000001</x:v>
      </x:c>
    </x:row>
    <x:row r="272" ht="19" customHeight="1">
      <x:c r="A272" s="19" t="n">
        <x:v>9</x:v>
      </x:c>
      <x:c r="B272" s="19" t="n">
        <x:v>3</x:v>
      </x:c>
      <x:c r="C272" s="19" t="str">
        <x:v>效率70%</x:v>
      </x:c>
      <x:c r="D272" s="34" t="n">
        <x:v>338.79999999999995</x:v>
      </x:c>
      <x:c r="E272" s="34" t="n">
        <x:v>159265397491.19998</x:v>
      </x:c>
      <x:c r="F272" s="34" t="n">
        <x:v>2225031288.48</x:v>
      </x:c>
      <x:c r="G272" s="34" t="n">
        <x:v>1407.0688632</x:v>
      </x:c>
      <x:c r="H272" s="36" t="n">
        <x:v>0.0024492948480000004</x:v>
      </x:c>
    </x:row>
    <x:row r="273" ht="19" customHeight="1">
      <x:c r="A273" s="19" t="n">
        <x:v>9</x:v>
      </x:c>
      <x:c r="B273" s="19" t="n">
        <x:v>3</x:v>
      </x:c>
      <x:c r="C273" s="19" t="str">
        <x:v>效率130%</x:v>
      </x:c>
      <x:c r="D273" s="34" t="n">
        <x:v>484</x:v>
      </x:c>
      <x:c r="E273" s="34" t="n">
        <x:v>227521996416</x:v>
      </x:c>
      <x:c r="F273" s="34" t="n">
        <x:v>3178616126.4</x:v>
      </x:c>
      <x:c r="G273" s="34" t="n">
        <x:v>2010.0983759999997</x:v>
      </x:c>
      <x:c r="H273" s="36" t="n">
        <x:v>0.003498992640000001</x:v>
      </x:c>
    </x:row>
    <x:row r="274" ht="19" customHeight="1">
      <x:c r="A274" s="19" t="n">
        <x:v>9</x:v>
      </x:c>
      <x:c r="B274" s="19" t="n">
        <x:v>3</x:v>
      </x:c>
      <x:c r="C274" s="19" t="str">
        <x:v>抢怪可用50%</x:v>
      </x:c>
      <x:c r="D274" s="34" t="n">
        <x:v>242</x:v>
      </x:c>
      <x:c r="E274" s="34" t="n">
        <x:v>113760998208</x:v>
      </x:c>
      <x:c r="F274" s="34" t="n">
        <x:v>1589308063.2</x:v>
      </x:c>
      <x:c r="G274" s="34" t="n">
        <x:v>1005.0491879999998</x:v>
      </x:c>
      <x:c r="H274" s="36" t="n">
        <x:v>0.0017494963200000006</x:v>
      </x:c>
    </x:row>
    <x:row r="275" ht="19" customHeight="1">
      <x:c r="A275" s="19" t="n">
        <x:v>9</x:v>
      </x:c>
      <x:c r="B275" s="19" t="n">
        <x:v>3</x:v>
      </x:c>
      <x:c r="C275" s="19" t="str">
        <x:v>爆率80%</x:v>
      </x:c>
      <x:c r="D275" s="34" t="n">
        <x:v>484</x:v>
      </x:c>
      <x:c r="E275" s="34" t="n">
        <x:v>182017597132.80002</x:v>
      </x:c>
      <x:c r="F275" s="34" t="n">
        <x:v>2542892901.1200004</x:v>
      </x:c>
      <x:c r="G275" s="34" t="n">
        <x:v>1608.0787007999998</x:v>
      </x:c>
      <x:c r="H275" s="36" t="n">
        <x:v>0.002799194112</x:v>
      </x:c>
    </x:row>
    <x:row r="276" ht="19" customHeight="1">
      <x:c r="A276" s="19" t="n">
        <x:v>9</x:v>
      </x:c>
      <x:c r="B276" s="19" t="n">
        <x:v>3</x:v>
      </x:c>
      <x:c r="C276" s="19" t="str">
        <x:v>爆率120%</x:v>
      </x:c>
      <x:c r="D276" s="34" t="n">
        <x:v>484</x:v>
      </x:c>
      <x:c r="E276" s="34" t="n">
        <x:v>273026395699.2</x:v>
      </x:c>
      <x:c r="F276" s="34" t="n">
        <x:v>3814339351.6799994</x:v>
      </x:c>
      <x:c r="G276" s="34" t="n">
        <x:v>2412.1180511999996</x:v>
      </x:c>
      <x:c r="H276" s="36" t="n">
        <x:v>0.004198791168</x:v>
      </x:c>
    </x:row>
    <x:row r="277" ht="19" customHeight="1">
      <x:c r="A277" s="19" t="n">
        <x:v>9</x:v>
      </x:c>
      <x:c r="B277" s="19" t="n">
        <x:v>3</x:v>
      </x:c>
      <x:c r="C277" s="19" t="str">
        <x:v>C10回刷</x:v>
      </x:c>
      <x:c r="D277" s="34" t="n">
        <x:v>484</x:v>
      </x:c>
      <x:c r="E277" s="34" t="n">
        <x:v>384685652736</x:v>
      </x:c>
      <x:c r="F277" s="34" t="n">
        <x:v>5374284854.400001</x:v>
      </x:c>
      <x:c r="G277" s="34" t="n">
        <x:v>3398.598896</x:v>
      </x:c>
      <x:c r="H277" s="36" t="n">
        <x:v>0.0059159654400000004</x:v>
      </x:c>
    </x:row>
    <x:row r="278" ht="19" customHeight="1">
      <x:c r="A278" s="19" t="n">
        <x:v>9</x:v>
      </x:c>
      <x:c r="B278" s="19" t="n">
        <x:v>4</x:v>
      </x:c>
      <x:c r="C278" s="19" t="str">
        <x:v>基础</x:v>
      </x:c>
      <x:c r="D278" s="34" t="n">
        <x:v>484</x:v>
      </x:c>
      <x:c r="E278" s="34" t="n">
        <x:v>227791895760.00003</x:v>
      </x:c>
      <x:c r="F278" s="34" t="n">
        <x:v>3182386779.0000005</x:v>
      </x:c>
      <x:c r="G278" s="34" t="n">
        <x:v>2045.9261680000002</x:v>
      </x:c>
      <x:c r="H278" s="36" t="n">
        <x:v>0.004026147839999999</x:v>
      </x:c>
    </x:row>
    <x:row r="279" ht="19" customHeight="1">
      <x:c r="A279" s="19" t="n">
        <x:v>9</x:v>
      </x:c>
      <x:c r="B279" s="19" t="n">
        <x:v>4</x:v>
      </x:c>
      <x:c r="C279" s="19" t="str">
        <x:v>效率70%</x:v>
      </x:c>
      <x:c r="D279" s="34" t="n">
        <x:v>338.79999999999995</x:v>
      </x:c>
      <x:c r="E279" s="34" t="n">
        <x:v>159454327032</x:v>
      </x:c>
      <x:c r="F279" s="34" t="n">
        <x:v>2227670745.2999997</x:v>
      </x:c>
      <x:c r="G279" s="34" t="n">
        <x:v>1432.1483175999997</x:v>
      </x:c>
      <x:c r="H279" s="36" t="n">
        <x:v>0.002818303488</x:v>
      </x:c>
    </x:row>
    <x:row r="280" ht="19" customHeight="1">
      <x:c r="A280" s="19" t="n">
        <x:v>9</x:v>
      </x:c>
      <x:c r="B280" s="19" t="n">
        <x:v>4</x:v>
      </x:c>
      <x:c r="C280" s="19" t="str">
        <x:v>效率130%</x:v>
      </x:c>
      <x:c r="D280" s="34" t="n">
        <x:v>484</x:v>
      </x:c>
      <x:c r="E280" s="34" t="n">
        <x:v>227791895760.00003</x:v>
      </x:c>
      <x:c r="F280" s="34" t="n">
        <x:v>3182386779.0000005</x:v>
      </x:c>
      <x:c r="G280" s="34" t="n">
        <x:v>2045.9261680000002</x:v>
      </x:c>
      <x:c r="H280" s="36" t="n">
        <x:v>0.004026147839999999</x:v>
      </x:c>
    </x:row>
    <x:row r="281" ht="19" customHeight="1">
      <x:c r="A281" s="19" t="n">
        <x:v>9</x:v>
      </x:c>
      <x:c r="B281" s="19" t="n">
        <x:v>4</x:v>
      </x:c>
      <x:c r="C281" s="19" t="str">
        <x:v>抢怪可用50%</x:v>
      </x:c>
      <x:c r="D281" s="34" t="n">
        <x:v>242</x:v>
      </x:c>
      <x:c r="E281" s="34" t="n">
        <x:v>113895947880.00002</x:v>
      </x:c>
      <x:c r="F281" s="34" t="n">
        <x:v>1591193389.5000002</x:v>
      </x:c>
      <x:c r="G281" s="34" t="n">
        <x:v>1022.9630840000001</x:v>
      </x:c>
      <x:c r="H281" s="36" t="n">
        <x:v>0.0020130739199999996</x:v>
      </x:c>
    </x:row>
    <x:row r="282" ht="19" customHeight="1">
      <x:c r="A282" s="19" t="n">
        <x:v>9</x:v>
      </x:c>
      <x:c r="B282" s="19" t="n">
        <x:v>4</x:v>
      </x:c>
      <x:c r="C282" s="19" t="str">
        <x:v>爆率80%</x:v>
      </x:c>
      <x:c r="D282" s="34" t="n">
        <x:v>484</x:v>
      </x:c>
      <x:c r="E282" s="34" t="n">
        <x:v>182233516608.00003</x:v>
      </x:c>
      <x:c r="F282" s="34" t="n">
        <x:v>2545909423.2000003</x:v>
      </x:c>
      <x:c r="G282" s="34" t="n">
        <x:v>1636.7409344</x:v>
      </x:c>
      <x:c r="H282" s="36" t="n">
        <x:v>0.0032209182720000003</x:v>
      </x:c>
    </x:row>
    <x:row r="283" ht="19" customHeight="1">
      <x:c r="A283" s="19" t="n">
        <x:v>9</x:v>
      </x:c>
      <x:c r="B283" s="19" t="n">
        <x:v>4</x:v>
      </x:c>
      <x:c r="C283" s="19" t="str">
        <x:v>爆率120%</x:v>
      </x:c>
      <x:c r="D283" s="34" t="n">
        <x:v>484</x:v>
      </x:c>
      <x:c r="E283" s="34" t="n">
        <x:v>273350274912</x:v>
      </x:c>
      <x:c r="F283" s="34" t="n">
        <x:v>3818864134.7999997</x:v>
      </x:c>
      <x:c r="G283" s="34" t="n">
        <x:v>2455.1114016</x:v>
      </x:c>
      <x:c r="H283" s="36" t="n">
        <x:v>0.004831377408</x:v>
      </x:c>
    </x:row>
    <x:row r="284" ht="19" customHeight="1">
      <x:c r="A284" s="19" t="n">
        <x:v>9</x:v>
      </x:c>
      <x:c r="B284" s="19" t="n">
        <x:v>4</x:v>
      </x:c>
      <x:c r="C284" s="19" t="str">
        <x:v>C10回刷</x:v>
      </x:c>
      <x:c r="D284" s="34" t="n">
        <x:v>484</x:v>
      </x:c>
      <x:c r="E284" s="34" t="n">
        <x:v>334714232160</x:v>
      </x:c>
      <x:c r="F284" s="34" t="n">
        <x:v>4676154714</x:v>
      </x:c>
      <x:c r="G284" s="34" t="n">
        <x:v>3006.255354666667</x:v>
      </x:c>
      <x:c r="H284" s="36" t="n">
        <x:v>0.0059159654400000004</x:v>
      </x:c>
    </x:row>
    <x:row r="285" ht="19" customHeight="1">
      <x:c r="A285" s="19" t="n">
        <x:v>9</x:v>
      </x:c>
      <x:c r="B285" s="19" t="n">
        <x:v>5</x:v>
      </x:c>
      <x:c r="C285" s="19" t="str">
        <x:v>基础</x:v>
      </x:c>
      <x:c r="D285" s="34" t="n">
        <x:v>461.1375030924795</x:v>
      </x:c>
      <x:c r="E285" s="34" t="n">
        <x:v>222979321454.3658</x:v>
      </x:c>
      <x:c r="F285" s="34" t="n">
        <x:v>3115152285.0242286</x:v>
      </x:c>
      <x:c r="G285" s="34" t="n">
        <x:v>1956.566232808982</x:v>
      </x:c>
      <x:c r="H285" s="36" t="n">
        <x:v>0.004014268278996407</x:v>
      </x:c>
    </x:row>
    <x:row r="286" ht="19" customHeight="1">
      <x:c r="A286" s="19" t="n">
        <x:v>9</x:v>
      </x:c>
      <x:c r="B286" s="19" t="n">
        <x:v>5</x:v>
      </x:c>
      <x:c r="C286" s="19" t="str">
        <x:v>效率70%</x:v>
      </x:c>
      <x:c r="D286" s="34" t="n">
        <x:v>322.7962521647357</x:v>
      </x:c>
      <x:c r="E286" s="34" t="n">
        <x:v>156085525018.0561</x:v>
      </x:c>
      <x:c r="F286" s="34" t="n">
        <x:v>2180606599.51696</x:v>
      </x:c>
      <x:c r="G286" s="34" t="n">
        <x:v>1369.5963629662872</x:v>
      </x:c>
      <x:c r="H286" s="36" t="n">
        <x:v>0.002809987795297485</x:v>
      </x:c>
    </x:row>
    <x:row r="287" ht="19" customHeight="1">
      <x:c r="A287" s="19" t="n">
        <x:v>9</x:v>
      </x:c>
      <x:c r="B287" s="19" t="n">
        <x:v>5</x:v>
      </x:c>
      <x:c r="C287" s="19" t="str">
        <x:v>效率130%</x:v>
      </x:c>
      <x:c r="D287" s="34" t="n">
        <x:v>479.4787540202234</x:v>
      </x:c>
      <x:c r="E287" s="34" t="n">
        <x:v>231541778538.67557</x:v>
      </x:c>
      <x:c r="F287" s="34" t="n">
        <x:v>3234774847.231497</x:v>
      </x:c>
      <x:c r="G287" s="34" t="n">
        <x:v>1996.4252218516765</x:v>
      </x:c>
      <x:c r="H287" s="36" t="n">
        <x:v>0.004113899634695328</x:v>
      </x:c>
    </x:row>
    <x:row r="288" ht="19" customHeight="1">
      <x:c r="A288" s="19" t="n">
        <x:v>9</x:v>
      </x:c>
      <x:c r="B288" s="19" t="n">
        <x:v>5</x:v>
      </x:c>
      <x:c r="C288" s="19" t="str">
        <x:v>抢怪可用50%</x:v>
      </x:c>
      <x:c r="D288" s="34" t="n">
        <x:v>242</x:v>
      </x:c>
      <x:c r="E288" s="34" t="n">
        <x:v>117992167920</x:v>
      </x:c>
      <x:c r="F288" s="34" t="n">
        <x:v>1648419993</x:v>
      </x:c>
      <x:c r="G288" s="34" t="n">
        <x:v>1014.4958559999999</x:v>
      </x:c>
      <x:c r="H288" s="36" t="n">
        <x:v>0.00208547328</x:v>
      </x:c>
    </x:row>
    <x:row r="289" ht="19" customHeight="1">
      <x:c r="A289" s="19" t="n">
        <x:v>9</x:v>
      </x:c>
      <x:c r="B289" s="19" t="n">
        <x:v>5</x:v>
      </x:c>
      <x:c r="C289" s="19" t="str">
        <x:v>爆率80%</x:v>
      </x:c>
      <x:c r="D289" s="34" t="n">
        <x:v>461.1375030924795</x:v>
      </x:c>
      <x:c r="E289" s="34" t="n">
        <x:v>178383457163.4926</x:v>
      </x:c>
      <x:c r="F289" s="34" t="n">
        <x:v>2492121828.0193825</x:v>
      </x:c>
      <x:c r="G289" s="34" t="n">
        <x:v>1565.2529862471856</x:v>
      </x:c>
      <x:c r="H289" s="36" t="n">
        <x:v>0.003211414623197125</x:v>
      </x:c>
    </x:row>
    <x:row r="290" ht="19" customHeight="1">
      <x:c r="A290" s="19" t="n">
        <x:v>9</x:v>
      </x:c>
      <x:c r="B290" s="19" t="n">
        <x:v>5</x:v>
      </x:c>
      <x:c r="C290" s="19" t="str">
        <x:v>爆率120%</x:v>
      </x:c>
      <x:c r="D290" s="34" t="n">
        <x:v>461.1375030924795</x:v>
      </x:c>
      <x:c r="E290" s="34" t="n">
        <x:v>267575185745.23898</x:v>
      </x:c>
      <x:c r="F290" s="34" t="n">
        <x:v>3738182742.0290747</x:v>
      </x:c>
      <x:c r="G290" s="34" t="n">
        <x:v>2347.8794793707784</x:v>
      </x:c>
      <x:c r="H290" s="36" t="n">
        <x:v>0.0048171219347956885</x:v>
      </x:c>
    </x:row>
    <x:row r="291" ht="19" customHeight="1">
      <x:c r="A291" s="19" t="n">
        <x:v>9</x:v>
      </x:c>
      <x:c r="B291" s="19" t="n">
        <x:v>5</x:v>
      </x:c>
      <x:c r="C291" s="19" t="str">
        <x:v>C10回刷</x:v>
      </x:c>
      <x:c r="D291" s="34" t="n">
        <x:v>484</x:v>
      </x:c>
      <x:c r="E291" s="34" t="n">
        <x:v>334714232160</x:v>
      </x:c>
      <x:c r="F291" s="34" t="n">
        <x:v>4676154714</x:v>
      </x:c>
      <x:c r="G291" s="34" t="n">
        <x:v>2877.8706879999995</x:v>
      </x:c>
      <x:c r="H291" s="36" t="n">
        <x:v>0.0059159654400000004</x:v>
      </x:c>
    </x:row>
    <x:row r="292" ht="19" customHeight="1">
      <x:c r="A292" s="19" t="n">
        <x:v>10</x:v>
      </x:c>
      <x:c r="B292" s="19" t="n">
        <x:v>1</x:v>
      </x:c>
      <x:c r="C292" s="19" t="str">
        <x:v>基础</x:v>
      </x:c>
      <x:c r="D292" s="34" t="n">
        <x:v>484</x:v>
      </x:c>
      <x:c r="E292" s="34" t="n">
        <x:v>389558400000.00006</x:v>
      </x:c>
      <x:c r="F292" s="34" t="n">
        <x:v>4674700800</x:v>
      </x:c>
      <x:c r="G292" s="34" t="n">
        <x:v>2600.875200000001</x:v>
      </x:c>
      <x:c r="H292" s="36" t="n">
        <x:v>0.004888576</x:v>
      </x:c>
    </x:row>
    <x:row r="293" ht="19" customHeight="1">
      <x:c r="A293" s="19" t="n">
        <x:v>10</x:v>
      </x:c>
      <x:c r="B293" s="19" t="n">
        <x:v>1</x:v>
      </x:c>
      <x:c r="C293" s="19" t="str">
        <x:v>效率70%</x:v>
      </x:c>
      <x:c r="D293" s="34" t="n">
        <x:v>338.79999999999995</x:v>
      </x:c>
      <x:c r="E293" s="34" t="n">
        <x:v>272690880000.00003</x:v>
      </x:c>
      <x:c r="F293" s="34" t="n">
        <x:v>3272290560.0000005</x:v>
      </x:c>
      <x:c r="G293" s="34" t="n">
        <x:v>1820.6126399999998</x:v>
      </x:c>
      <x:c r="H293" s="36" t="n">
        <x:v>0.0034220032000000004</x:v>
      </x:c>
    </x:row>
    <x:row r="294" ht="19" customHeight="1">
      <x:c r="A294" s="19" t="n">
        <x:v>10</x:v>
      </x:c>
      <x:c r="B294" s="19" t="n">
        <x:v>1</x:v>
      </x:c>
      <x:c r="C294" s="19" t="str">
        <x:v>效率130%</x:v>
      </x:c>
      <x:c r="D294" s="34" t="n">
        <x:v>484</x:v>
      </x:c>
      <x:c r="E294" s="34" t="n">
        <x:v>389558400000.00006</x:v>
      </x:c>
      <x:c r="F294" s="34" t="n">
        <x:v>4674700800</x:v>
      </x:c>
      <x:c r="G294" s="34" t="n">
        <x:v>2600.875200000001</x:v>
      </x:c>
      <x:c r="H294" s="36" t="n">
        <x:v>0.004888576</x:v>
      </x:c>
    </x:row>
    <x:row r="295" ht="19" customHeight="1">
      <x:c r="A295" s="19" t="n">
        <x:v>10</x:v>
      </x:c>
      <x:c r="B295" s="19" t="n">
        <x:v>1</x:v>
      </x:c>
      <x:c r="C295" s="19" t="str">
        <x:v>抢怪可用50%</x:v>
      </x:c>
      <x:c r="D295" s="34" t="n">
        <x:v>242</x:v>
      </x:c>
      <x:c r="E295" s="34" t="n">
        <x:v>194779200000.00003</x:v>
      </x:c>
      <x:c r="F295" s="34" t="n">
        <x:v>2337350400</x:v>
      </x:c>
      <x:c r="G295" s="34" t="n">
        <x:v>1300.4376000000004</x:v>
      </x:c>
      <x:c r="H295" s="36" t="n">
        <x:v>0.002444288</x:v>
      </x:c>
    </x:row>
    <x:row r="296" ht="19" customHeight="1">
      <x:c r="A296" s="19" t="n">
        <x:v>10</x:v>
      </x:c>
      <x:c r="B296" s="19" t="n">
        <x:v>1</x:v>
      </x:c>
      <x:c r="C296" s="19" t="str">
        <x:v>爆率80%</x:v>
      </x:c>
      <x:c r="D296" s="34" t="n">
        <x:v>484</x:v>
      </x:c>
      <x:c r="E296" s="34" t="n">
        <x:v>311646720000</x:v>
      </x:c>
      <x:c r="F296" s="34" t="n">
        <x:v>3739760640</x:v>
      </x:c>
      <x:c r="G296" s="34" t="n">
        <x:v>2080.7001600000003</x:v>
      </x:c>
      <x:c r="H296" s="36" t="n">
        <x:v>0.0039108608</x:v>
      </x:c>
    </x:row>
    <x:row r="297" ht="19" customHeight="1">
      <x:c r="A297" s="19" t="n">
        <x:v>10</x:v>
      </x:c>
      <x:c r="B297" s="19" t="n">
        <x:v>1</x:v>
      </x:c>
      <x:c r="C297" s="19" t="str">
        <x:v>爆率120%</x:v>
      </x:c>
      <x:c r="D297" s="34" t="n">
        <x:v>484</x:v>
      </x:c>
      <x:c r="E297" s="34" t="n">
        <x:v>467470080000</x:v>
      </x:c>
      <x:c r="F297" s="34" t="n">
        <x:v>5609640960.000001</x:v>
      </x:c>
      <x:c r="G297" s="34" t="n">
        <x:v>3121.0502399999996</x:v>
      </x:c>
      <x:c r="H297" s="36" t="n">
        <x:v>0.0058662912</x:v>
      </x:c>
    </x:row>
    <x:row r="298" ht="19" customHeight="1">
      <x:c r="A298" s="19" t="n">
        <x:v>10</x:v>
      </x:c>
      <x:c r="B298" s="19" t="n">
        <x:v>1</x:v>
      </x:c>
      <x:c r="C298" s="19" t="str">
        <x:v>C10回刷</x:v>
      </x:c>
      <x:c r="D298" s="34" t="n">
        <x:v>484</x:v>
      </x:c>
      <x:c r="E298" s="34" t="n">
        <x:v>389558400000.00006</x:v>
      </x:c>
      <x:c r="F298" s="34" t="n">
        <x:v>4674700800</x:v>
      </x:c>
      <x:c r="G298" s="34" t="n">
        <x:v>2600.875200000001</x:v>
      </x:c>
      <x:c r="H298" s="36" t="n">
        <x:v>0.004888576</x:v>
      </x:c>
    </x:row>
    <x:row r="299" ht="19" customHeight="1">
      <x:c r="A299" s="19" t="n">
        <x:v>10</x:v>
      </x:c>
      <x:c r="B299" s="19" t="n">
        <x:v>2</x:v>
      </x:c>
      <x:c r="C299" s="19" t="str">
        <x:v>基础</x:v>
      </x:c>
      <x:c r="D299" s="34" t="n">
        <x:v>484</x:v>
      </x:c>
      <x:c r="E299" s="34" t="n">
        <x:v>389558400000.00006</x:v>
      </x:c>
      <x:c r="F299" s="34" t="n">
        <x:v>4674700800</x:v>
      </x:c>
      <x:c r="G299" s="34" t="n">
        <x:v>2600.875200000001</x:v>
      </x:c>
      <x:c r="H299" s="36" t="n">
        <x:v>0.004888576</x:v>
      </x:c>
    </x:row>
    <x:row r="300" ht="19" customHeight="1">
      <x:c r="A300" s="19" t="n">
        <x:v>10</x:v>
      </x:c>
      <x:c r="B300" s="19" t="n">
        <x:v>2</x:v>
      </x:c>
      <x:c r="C300" s="19" t="str">
        <x:v>效率70%</x:v>
      </x:c>
      <x:c r="D300" s="34" t="n">
        <x:v>338.79999999999995</x:v>
      </x:c>
      <x:c r="E300" s="34" t="n">
        <x:v>272690880000.00003</x:v>
      </x:c>
      <x:c r="F300" s="34" t="n">
        <x:v>3272290560.0000005</x:v>
      </x:c>
      <x:c r="G300" s="34" t="n">
        <x:v>1820.6126399999998</x:v>
      </x:c>
      <x:c r="H300" s="36" t="n">
        <x:v>0.0034220032000000004</x:v>
      </x:c>
    </x:row>
    <x:row r="301" ht="19" customHeight="1">
      <x:c r="A301" s="19" t="n">
        <x:v>10</x:v>
      </x:c>
      <x:c r="B301" s="19" t="n">
        <x:v>2</x:v>
      </x:c>
      <x:c r="C301" s="19" t="str">
        <x:v>效率130%</x:v>
      </x:c>
      <x:c r="D301" s="34" t="n">
        <x:v>484</x:v>
      </x:c>
      <x:c r="E301" s="34" t="n">
        <x:v>389558400000.00006</x:v>
      </x:c>
      <x:c r="F301" s="34" t="n">
        <x:v>4674700800</x:v>
      </x:c>
      <x:c r="G301" s="34" t="n">
        <x:v>2600.875200000001</x:v>
      </x:c>
      <x:c r="H301" s="36" t="n">
        <x:v>0.004888576</x:v>
      </x:c>
    </x:row>
    <x:row r="302" ht="19" customHeight="1">
      <x:c r="A302" s="19" t="n">
        <x:v>10</x:v>
      </x:c>
      <x:c r="B302" s="19" t="n">
        <x:v>2</x:v>
      </x:c>
      <x:c r="C302" s="19" t="str">
        <x:v>抢怪可用50%</x:v>
      </x:c>
      <x:c r="D302" s="34" t="n">
        <x:v>242</x:v>
      </x:c>
      <x:c r="E302" s="34" t="n">
        <x:v>194779200000.00003</x:v>
      </x:c>
      <x:c r="F302" s="34" t="n">
        <x:v>2337350400</x:v>
      </x:c>
      <x:c r="G302" s="34" t="n">
        <x:v>1300.4376000000004</x:v>
      </x:c>
      <x:c r="H302" s="36" t="n">
        <x:v>0.002444288</x:v>
      </x:c>
    </x:row>
    <x:row r="303" ht="19" customHeight="1">
      <x:c r="A303" s="19" t="n">
        <x:v>10</x:v>
      </x:c>
      <x:c r="B303" s="19" t="n">
        <x:v>2</x:v>
      </x:c>
      <x:c r="C303" s="19" t="str">
        <x:v>爆率80%</x:v>
      </x:c>
      <x:c r="D303" s="34" t="n">
        <x:v>484</x:v>
      </x:c>
      <x:c r="E303" s="34" t="n">
        <x:v>311646720000</x:v>
      </x:c>
      <x:c r="F303" s="34" t="n">
        <x:v>3739760640</x:v>
      </x:c>
      <x:c r="G303" s="34" t="n">
        <x:v>2080.7001600000003</x:v>
      </x:c>
      <x:c r="H303" s="36" t="n">
        <x:v>0.0039108608</x:v>
      </x:c>
    </x:row>
    <x:row r="304" ht="19" customHeight="1">
      <x:c r="A304" s="19" t="n">
        <x:v>10</x:v>
      </x:c>
      <x:c r="B304" s="19" t="n">
        <x:v>2</x:v>
      </x:c>
      <x:c r="C304" s="19" t="str">
        <x:v>爆率120%</x:v>
      </x:c>
      <x:c r="D304" s="34" t="n">
        <x:v>484</x:v>
      </x:c>
      <x:c r="E304" s="34" t="n">
        <x:v>467470080000</x:v>
      </x:c>
      <x:c r="F304" s="34" t="n">
        <x:v>5609640960.000001</x:v>
      </x:c>
      <x:c r="G304" s="34" t="n">
        <x:v>3121.0502399999996</x:v>
      </x:c>
      <x:c r="H304" s="36" t="n">
        <x:v>0.0058662912</x:v>
      </x:c>
    </x:row>
    <x:row r="305" ht="19" customHeight="1">
      <x:c r="A305" s="19" t="n">
        <x:v>10</x:v>
      </x:c>
      <x:c r="B305" s="19" t="n">
        <x:v>2</x:v>
      </x:c>
      <x:c r="C305" s="19" t="str">
        <x:v>C10回刷</x:v>
      </x:c>
      <x:c r="D305" s="34" t="n">
        <x:v>484</x:v>
      </x:c>
      <x:c r="E305" s="34" t="n">
        <x:v>389558400000.00006</x:v>
      </x:c>
      <x:c r="F305" s="34" t="n">
        <x:v>4674700800</x:v>
      </x:c>
      <x:c r="G305" s="34" t="n">
        <x:v>2600.875200000001</x:v>
      </x:c>
      <x:c r="H305" s="36" t="n">
        <x:v>0.004888576</x:v>
      </x:c>
    </x:row>
    <x:row r="306" ht="19" customHeight="1">
      <x:c r="A306" s="19" t="n">
        <x:v>10</x:v>
      </x:c>
      <x:c r="B306" s="19" t="n">
        <x:v>3</x:v>
      </x:c>
      <x:c r="C306" s="19" t="str">
        <x:v>基础</x:v>
      </x:c>
      <x:c r="D306" s="34" t="n">
        <x:v>484</x:v>
      </x:c>
      <x:c r="E306" s="34" t="n">
        <x:v>418126016000</x:v>
      </x:c>
      <x:c r="F306" s="34" t="n">
        <x:v>5017512192.000001</x:v>
      </x:c>
      <x:c r="G306" s="34" t="n">
        <x:v>2275.09744</x:v>
      </x:c>
      <x:c r="H306" s="36" t="n">
        <x:v>0.005247071573333334</x:v>
      </x:c>
    </x:row>
    <x:row r="307" ht="19" customHeight="1">
      <x:c r="A307" s="19" t="n">
        <x:v>10</x:v>
      </x:c>
      <x:c r="B307" s="19" t="n">
        <x:v>3</x:v>
      </x:c>
      <x:c r="C307" s="19" t="str">
        <x:v>效率70%</x:v>
      </x:c>
      <x:c r="D307" s="34" t="n">
        <x:v>338.79999999999995</x:v>
      </x:c>
      <x:c r="E307" s="34" t="n">
        <x:v>292688211200</x:v>
      </x:c>
      <x:c r="F307" s="34" t="n">
        <x:v>3512258534.4</x:v>
      </x:c>
      <x:c r="G307" s="34" t="n">
        <x:v>1592.568208</x:v>
      </x:c>
      <x:c r="H307" s="36" t="n">
        <x:v>0.0036729501013333336</x:v>
      </x:c>
    </x:row>
    <x:row r="308" ht="19" customHeight="1">
      <x:c r="A308" s="19" t="n">
        <x:v>10</x:v>
      </x:c>
      <x:c r="B308" s="19" t="n">
        <x:v>3</x:v>
      </x:c>
      <x:c r="C308" s="19" t="str">
        <x:v>效率130%</x:v>
      </x:c>
      <x:c r="D308" s="34" t="n">
        <x:v>484</x:v>
      </x:c>
      <x:c r="E308" s="34" t="n">
        <x:v>418126016000</x:v>
      </x:c>
      <x:c r="F308" s="34" t="n">
        <x:v>5017512192.000001</x:v>
      </x:c>
      <x:c r="G308" s="34" t="n">
        <x:v>2275.09744</x:v>
      </x:c>
      <x:c r="H308" s="36" t="n">
        <x:v>0.005247071573333334</x:v>
      </x:c>
    </x:row>
    <x:row r="309" ht="19" customHeight="1">
      <x:c r="A309" s="19" t="n">
        <x:v>10</x:v>
      </x:c>
      <x:c r="B309" s="19" t="n">
        <x:v>3</x:v>
      </x:c>
      <x:c r="C309" s="19" t="str">
        <x:v>抢怪可用50%</x:v>
      </x:c>
      <x:c r="D309" s="34" t="n">
        <x:v>242</x:v>
      </x:c>
      <x:c r="E309" s="34" t="n">
        <x:v>209063008000</x:v>
      </x:c>
      <x:c r="F309" s="34" t="n">
        <x:v>2508756096.0000005</x:v>
      </x:c>
      <x:c r="G309" s="34" t="n">
        <x:v>1137.54872</x:v>
      </x:c>
      <x:c r="H309" s="36" t="n">
        <x:v>0.002623535786666667</x:v>
      </x:c>
    </x:row>
    <x:row r="310" ht="19" customHeight="1">
      <x:c r="A310" s="19" t="n">
        <x:v>10</x:v>
      </x:c>
      <x:c r="B310" s="19" t="n">
        <x:v>3</x:v>
      </x:c>
      <x:c r="C310" s="19" t="str">
        <x:v>爆率80%</x:v>
      </x:c>
      <x:c r="D310" s="34" t="n">
        <x:v>484</x:v>
      </x:c>
      <x:c r="E310" s="34" t="n">
        <x:v>334500812800.00006</x:v>
      </x:c>
      <x:c r="F310" s="34" t="n">
        <x:v>4014009753.6</x:v>
      </x:c>
      <x:c r="G310" s="34" t="n">
        <x:v>1820.0779520000003</x:v>
      </x:c>
      <x:c r="H310" s="36" t="n">
        <x:v>0.004197657258666666</x:v>
      </x:c>
    </x:row>
    <x:row r="311" ht="19" customHeight="1">
      <x:c r="A311" s="19" t="n">
        <x:v>10</x:v>
      </x:c>
      <x:c r="B311" s="19" t="n">
        <x:v>3</x:v>
      </x:c>
      <x:c r="C311" s="19" t="str">
        <x:v>爆率120%</x:v>
      </x:c>
      <x:c r="D311" s="34" t="n">
        <x:v>484</x:v>
      </x:c>
      <x:c r="E311" s="34" t="n">
        <x:v>501751219200</x:v>
      </x:c>
      <x:c r="F311" s="34" t="n">
        <x:v>6021014630.400001</x:v>
      </x:c>
      <x:c r="G311" s="34" t="n">
        <x:v>2730.1169279999995</x:v>
      </x:c>
      <x:c r="H311" s="36" t="n">
        <x:v>0.006296485888</x:v>
      </x:c>
    </x:row>
    <x:row r="312" ht="19" customHeight="1">
      <x:c r="A312" s="19" t="n">
        <x:v>10</x:v>
      </x:c>
      <x:c r="B312" s="19" t="n">
        <x:v>3</x:v>
      </x:c>
      <x:c r="C312" s="19" t="str">
        <x:v>C10回刷</x:v>
      </x:c>
      <x:c r="D312" s="34" t="n">
        <x:v>484</x:v>
      </x:c>
      <x:c r="E312" s="34" t="n">
        <x:v>418126016000</x:v>
      </x:c>
      <x:c r="F312" s="34" t="n">
        <x:v>5017512192.000001</x:v>
      </x:c>
      <x:c r="G312" s="34" t="n">
        <x:v>2275.09744</x:v>
      </x:c>
      <x:c r="H312" s="36" t="n">
        <x:v>0.005247071573333334</x:v>
      </x:c>
    </x:row>
    <x:row r="313" ht="19" customHeight="1">
      <x:c r="A313" s="19" t="n">
        <x:v>10</x:v>
      </x:c>
      <x:c r="B313" s="19" t="n">
        <x:v>4</x:v>
      </x:c>
      <x:c r="C313" s="19" t="str">
        <x:v>基础</x:v>
      </x:c>
      <x:c r="D313" s="34" t="n">
        <x:v>484</x:v>
      </x:c>
      <x:c r="E313" s="34" t="n">
        <x:v>412009567200</x:v>
      </x:c>
      <x:c r="F313" s="34" t="n">
        <x:v>4944114806.400001</x:v>
      </x:c>
      <x:c r="G313" s="34" t="n">
        <x:v>2585.980320000001</x:v>
      </x:c>
      <x:c r="H313" s="36" t="n">
        <x:v>0.00596406272</x:v>
      </x:c>
    </x:row>
    <x:row r="314" ht="19" customHeight="1">
      <x:c r="A314" s="19" t="n">
        <x:v>10</x:v>
      </x:c>
      <x:c r="B314" s="19" t="n">
        <x:v>4</x:v>
      </x:c>
      <x:c r="C314" s="19" t="str">
        <x:v>效率70%</x:v>
      </x:c>
      <x:c r="D314" s="34" t="n">
        <x:v>338.79999999999995</x:v>
      </x:c>
      <x:c r="E314" s="34" t="n">
        <x:v>288406697040</x:v>
      </x:c>
      <x:c r="F314" s="34" t="n">
        <x:v>3460880364.479999</x:v>
      </x:c>
      <x:c r="G314" s="34" t="n">
        <x:v>1810.1862240000005</x:v>
      </x:c>
      <x:c r="H314" s="36" t="n">
        <x:v>0.004174843903999999</x:v>
      </x:c>
    </x:row>
    <x:row r="315" ht="19" customHeight="1">
      <x:c r="A315" s="19" t="n">
        <x:v>10</x:v>
      </x:c>
      <x:c r="B315" s="19" t="n">
        <x:v>4</x:v>
      </x:c>
      <x:c r="C315" s="19" t="str">
        <x:v>效率130%</x:v>
      </x:c>
      <x:c r="D315" s="34" t="n">
        <x:v>484</x:v>
      </x:c>
      <x:c r="E315" s="34" t="n">
        <x:v>412009567200</x:v>
      </x:c>
      <x:c r="F315" s="34" t="n">
        <x:v>4944114806.400001</x:v>
      </x:c>
      <x:c r="G315" s="34" t="n">
        <x:v>2585.980320000001</x:v>
      </x:c>
      <x:c r="H315" s="36" t="n">
        <x:v>0.00596406272</x:v>
      </x:c>
    </x:row>
    <x:row r="316" ht="19" customHeight="1">
      <x:c r="A316" s="19" t="n">
        <x:v>10</x:v>
      </x:c>
      <x:c r="B316" s="19" t="n">
        <x:v>4</x:v>
      </x:c>
      <x:c r="C316" s="19" t="str">
        <x:v>抢怪可用50%</x:v>
      </x:c>
      <x:c r="D316" s="34" t="n">
        <x:v>242</x:v>
      </x:c>
      <x:c r="E316" s="34" t="n">
        <x:v>206004783600</x:v>
      </x:c>
      <x:c r="F316" s="34" t="n">
        <x:v>2472057403.2000003</x:v>
      </x:c>
      <x:c r="G316" s="34" t="n">
        <x:v>1292.9901600000005</x:v>
      </x:c>
      <x:c r="H316" s="36" t="n">
        <x:v>0.00298203136</x:v>
      </x:c>
    </x:row>
    <x:row r="317" ht="19" customHeight="1">
      <x:c r="A317" s="19" t="n">
        <x:v>10</x:v>
      </x:c>
      <x:c r="B317" s="19" t="n">
        <x:v>4</x:v>
      </x:c>
      <x:c r="C317" s="19" t="str">
        <x:v>爆率80%</x:v>
      </x:c>
      <x:c r="D317" s="34" t="n">
        <x:v>484</x:v>
      </x:c>
      <x:c r="E317" s="34" t="n">
        <x:v>329607653760</x:v>
      </x:c>
      <x:c r="F317" s="34" t="n">
        <x:v>3955291845.1200013</x:v>
      </x:c>
      <x:c r="G317" s="34" t="n">
        <x:v>2068.7842560000004</x:v>
      </x:c>
      <x:c r="H317" s="36" t="n">
        <x:v>0.004771250176</x:v>
      </x:c>
    </x:row>
    <x:row r="318" ht="19" customHeight="1">
      <x:c r="A318" s="19" t="n">
        <x:v>10</x:v>
      </x:c>
      <x:c r="B318" s="19" t="n">
        <x:v>4</x:v>
      </x:c>
      <x:c r="C318" s="19" t="str">
        <x:v>爆率120%</x:v>
      </x:c>
      <x:c r="D318" s="34" t="n">
        <x:v>484</x:v>
      </x:c>
      <x:c r="E318" s="34" t="n">
        <x:v>494411480640</x:v>
      </x:c>
      <x:c r="F318" s="34" t="n">
        <x:v>5932937767.679999</x:v>
      </x:c>
      <x:c r="G318" s="34" t="n">
        <x:v>3103.1763839999994</x:v>
      </x:c>
      <x:c r="H318" s="36" t="n">
        <x:v>0.007156875263999999</x:v>
      </x:c>
    </x:row>
    <x:row r="319" ht="19" customHeight="1">
      <x:c r="A319" s="19" t="n">
        <x:v>10</x:v>
      </x:c>
      <x:c r="B319" s="19" t="n">
        <x:v>4</x:v>
      </x:c>
      <x:c r="C319" s="19" t="str">
        <x:v>C10回刷</x:v>
      </x:c>
      <x:c r="D319" s="34" t="n">
        <x:v>484</x:v>
      </x:c>
      <x:c r="E319" s="34" t="n">
        <x:v>412009567200</x:v>
      </x:c>
      <x:c r="F319" s="34" t="n">
        <x:v>4944114806.400001</x:v>
      </x:c>
      <x:c r="G319" s="34" t="n">
        <x:v>2585.980320000001</x:v>
      </x:c>
      <x:c r="H319" s="36" t="n">
        <x:v>0.00596406272</x:v>
      </x:c>
    </x:row>
    <x:row r="320" ht="19" customHeight="1">
      <x:c r="A320" s="19" t="n">
        <x:v>10</x:v>
      </x:c>
      <x:c r="B320" s="19" t="n">
        <x:v>5</x:v>
      </x:c>
      <x:c r="C320" s="19" t="str">
        <x:v>基础</x:v>
      </x:c>
      <x:c r="D320" s="34" t="n">
        <x:v>484</x:v>
      </x:c>
      <x:c r="E320" s="34" t="n">
        <x:v>431813058600.00006</x:v>
      </x:c>
      <x:c r="F320" s="34" t="n">
        <x:v>5181756703.2</x:v>
      </x:c>
      <x:c r="G320" s="34" t="n">
        <x:v>2579.02876</x:v>
      </x:c>
      <x:c r="H320" s="36" t="n">
        <x:v>0.005948030293333333</x:v>
      </x:c>
    </x:row>
    <x:row r="321" ht="19" customHeight="1">
      <x:c r="A321" s="19" t="n">
        <x:v>10</x:v>
      </x:c>
      <x:c r="B321" s="19" t="n">
        <x:v>5</x:v>
      </x:c>
      <x:c r="C321" s="19" t="str">
        <x:v>效率70%</x:v>
      </x:c>
      <x:c r="D321" s="34" t="n">
        <x:v>338.79999999999995</x:v>
      </x:c>
      <x:c r="E321" s="34" t="n">
        <x:v>302269141020</x:v>
      </x:c>
      <x:c r="F321" s="34" t="n">
        <x:v>3627229692.2400002</x:v>
      </x:c>
      <x:c r="G321" s="34" t="n">
        <x:v>1805.3201320000003</x:v>
      </x:c>
      <x:c r="H321" s="36" t="n">
        <x:v>0.004163621205333333</x:v>
      </x:c>
    </x:row>
    <x:row r="322" ht="19" customHeight="1">
      <x:c r="A322" s="19" t="n">
        <x:v>10</x:v>
      </x:c>
      <x:c r="B322" s="19" t="n">
        <x:v>5</x:v>
      </x:c>
      <x:c r="C322" s="19" t="str">
        <x:v>效率130%</x:v>
      </x:c>
      <x:c r="D322" s="34" t="n">
        <x:v>484</x:v>
      </x:c>
      <x:c r="E322" s="34" t="n">
        <x:v>431813058600.00006</x:v>
      </x:c>
      <x:c r="F322" s="34" t="n">
        <x:v>5181756703.2</x:v>
      </x:c>
      <x:c r="G322" s="34" t="n">
        <x:v>2579.02876</x:v>
      </x:c>
      <x:c r="H322" s="36" t="n">
        <x:v>0.005948030293333333</x:v>
      </x:c>
    </x:row>
    <x:row r="323" ht="19" customHeight="1">
      <x:c r="A323" s="19" t="n">
        <x:v>10</x:v>
      </x:c>
      <x:c r="B323" s="19" t="n">
        <x:v>5</x:v>
      </x:c>
      <x:c r="C323" s="19" t="str">
        <x:v>抢怪可用50%</x:v>
      </x:c>
      <x:c r="D323" s="34" t="n">
        <x:v>242</x:v>
      </x:c>
      <x:c r="E323" s="34" t="n">
        <x:v>215906529300.00003</x:v>
      </x:c>
      <x:c r="F323" s="34" t="n">
        <x:v>2590878351.6</x:v>
      </x:c>
      <x:c r="G323" s="34" t="n">
        <x:v>1289.51438</x:v>
      </x:c>
      <x:c r="H323" s="36" t="n">
        <x:v>0.0029740151466666667</x:v>
      </x:c>
    </x:row>
    <x:row r="324" ht="19" customHeight="1">
      <x:c r="A324" s="19" t="n">
        <x:v>10</x:v>
      </x:c>
      <x:c r="B324" s="19" t="n">
        <x:v>5</x:v>
      </x:c>
      <x:c r="C324" s="19" t="str">
        <x:v>爆率80%</x:v>
      </x:c>
      <x:c r="D324" s="34" t="n">
        <x:v>484</x:v>
      </x:c>
      <x:c r="E324" s="34" t="n">
        <x:v>345450446880</x:v>
      </x:c>
      <x:c r="F324" s="34" t="n">
        <x:v>4145405362.5600004</x:v>
      </x:c>
      <x:c r="G324" s="34" t="n">
        <x:v>2063.2230080000004</x:v>
      </x:c>
      <x:c r="H324" s="36" t="n">
        <x:v>0.004758424234666667</x:v>
      </x:c>
    </x:row>
    <x:row r="325" ht="19" customHeight="1">
      <x:c r="A325" s="19" t="n">
        <x:v>10</x:v>
      </x:c>
      <x:c r="B325" s="19" t="n">
        <x:v>5</x:v>
      </x:c>
      <x:c r="C325" s="19" t="str">
        <x:v>爆率120%</x:v>
      </x:c>
      <x:c r="D325" s="34" t="n">
        <x:v>484</x:v>
      </x:c>
      <x:c r="E325" s="34" t="n">
        <x:v>518175670320.00006</x:v>
      </x:c>
      <x:c r="F325" s="34" t="n">
        <x:v>6218108043.840001</x:v>
      </x:c>
      <x:c r="G325" s="34" t="n">
        <x:v>3094.8345120000004</x:v>
      </x:c>
      <x:c r="H325" s="36" t="n">
        <x:v>0.0071376363520000005</x:v>
      </x:c>
    </x:row>
    <x:row r="326" ht="19" customHeight="1">
      <x:c r="A326" s="19" t="n">
        <x:v>10</x:v>
      </x:c>
      <x:c r="B326" s="19" t="n">
        <x:v>5</x:v>
      </x:c>
      <x:c r="C326" s="19" t="str">
        <x:v>C10回刷</x:v>
      </x:c>
      <x:c r="D326" s="34" t="n">
        <x:v>484</x:v>
      </x:c>
      <x:c r="E326" s="34" t="n">
        <x:v>431813058600.00006</x:v>
      </x:c>
      <x:c r="F326" s="34" t="n">
        <x:v>5181756703.2</x:v>
      </x:c>
      <x:c r="G326" s="34" t="n">
        <x:v>2579.02876</x:v>
      </x:c>
      <x:c r="H326" s="36" t="n">
        <x:v>0.005948030293333333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8a62482e7bb4a2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20" hidden="0" customWidth="1"/>
    <x:col min="4" max="4" width="20" hidden="0" customWidth="1"/>
    <x:col min="5" max="5" width="27" hidden="0" customWidth="1"/>
    <x:col min="6" max="6" width="40" hidden="0" customWidth="1"/>
    <x:col min="7" max="7" width="48" hidden="0" customWidth="1"/>
  </x:cols>
  <x:sheetData>
    <x:row r="1" ht="30" customHeight="1">
      <x:c r="A1" s="4" t="str">
        <x:v>08 · 装备留用清单</x:v>
      </x:c>
      <x:c r="B1" s="4"/>
      <x:c r="C1" s="4"/>
      <x:c r="D1" s="4"/>
      <x:c r="E1" s="4"/>
      <x:c r="F1" s="4"/>
      <x:c r="G1" s="4"/>
    </x:row>
    <x:row r="2" ht="34" customHeight="1">
      <x:c r="A2" s="9" t="str">
        <x:v>数量来自最新定稿主线条件事件；同一件不会同时穿戴、登记和合成。为保守计价，跨阶段新增需求重新取得，不把已拆的富余件当库存。</x:v>
      </x:c>
      <x:c r="B2" s="9"/>
      <x:c r="C2" s="9"/>
      <x:c r="D2" s="9"/>
      <x:c r="E2" s="9"/>
      <x:c r="F2" s="9"/>
      <x:c r="G2" s="9"/>
    </x:row>
    <x:row r="4" ht="30" customHeight="1">
      <x:c r="A4" s="14" t="str">
        <x:v>阶段</x:v>
      </x:c>
      <x:c r="B4" s="14" t="str">
        <x:v>物品</x:v>
      </x:c>
      <x:c r="C4" s="14" t="str">
        <x:v>独立实物需求</x:v>
      </x:c>
      <x:c r="D4" s="14" t="str">
        <x:v>单件失色等价</x:v>
      </x:c>
      <x:c r="E4" s="14" t="str">
        <x:v>不能同时分解的失色</x:v>
      </x:c>
      <x:c r="F4" s="14" t="str">
        <x:v>原来源怪物ID</x:v>
      </x:c>
      <x:c r="G4" s="14" t="str">
        <x:v>用途边界</x:v>
      </x:c>
    </x:row>
    <x:row r="5" ht="19" customHeight="1">
      <x:c r="A5" s="19" t="n">
        <x:v>1</x:v>
      </x:c>
      <x:c r="B5" s="19" t="str">
        <x:v>盐蚀弯刃</x:v>
      </x:c>
      <x:c r="C5" s="24" t="n">
        <x:v>2</x:v>
      </x:c>
      <x:c r="D5" s="24" t="n">
        <x:v>10</x:v>
      </x:c>
      <x:c r="E5" s="24" t="n">
        <x:f>C5*D5</x:f>
        <x:v>20</x:v>
      </x:c>
      <x:c r="F5" s="19" t="str">
        <x:v>EL-MON-SEA-001</x:v>
      </x:c>
      <x:c r="G5" s="19" t="str">
        <x:v>真实穿戴/图鉴/基础件/洗练备件留用；不计同时分解</x:v>
      </x:c>
    </x:row>
    <x:row r="6" ht="19" customHeight="1">
      <x:c r="A6" s="19" t="n">
        <x:v>1</x:v>
      </x:c>
      <x:c r="B6" s="19" t="str">
        <x:v>漂流尸甲</x:v>
      </x:c>
      <x:c r="C6" s="24" t="n">
        <x:v>2</x:v>
      </x:c>
      <x:c r="D6" s="24" t="n">
        <x:v>10</x:v>
      </x:c>
      <x:c r="E6" s="24" t="n">
        <x:f>C6*D6</x:f>
        <x:v>20</x:v>
      </x:c>
      <x:c r="F6" s="19" t="str">
        <x:v>EL-MON-SEA-003</x:v>
      </x:c>
      <x:c r="G6" s="19" t="str">
        <x:v>真实穿戴/图鉴/基础件/洗练备件留用；不计同时分解</x:v>
      </x:c>
    </x:row>
    <x:row r="7" ht="19" customHeight="1">
      <x:c r="A7" s="19" t="n">
        <x:v>1</x:v>
      </x:c>
      <x:c r="B7" s="19" t="str">
        <x:v>猎犬骨戒</x:v>
      </x:c>
      <x:c r="C7" s="24" t="n">
        <x:v>5</x:v>
      </x:c>
      <x:c r="D7" s="24" t="n">
        <x:v>10</x:v>
      </x:c>
      <x:c r="E7" s="24" t="n">
        <x:f>C7*D7</x:f>
        <x:v>50</x:v>
      </x:c>
      <x:c r="F7" s="19" t="str">
        <x:v>EL-MON-SEA-004</x:v>
      </x:c>
      <x:c r="G7" s="19" t="str">
        <x:v>真实穿戴/图鉴/基础件/洗练备件留用；不计同时分解</x:v>
      </x:c>
    </x:row>
    <x:row r="8" ht="19" customHeight="1">
      <x:c r="A8" s="19" t="n">
        <x:v>1</x:v>
      </x:c>
      <x:c r="B8" s="19" t="str">
        <x:v>吞岸重甲</x:v>
      </x:c>
      <x:c r="C8" s="24" t="n">
        <x:v>1</x:v>
      </x:c>
      <x:c r="D8" s="24" t="n">
        <x:v>50</x:v>
      </x:c>
      <x:c r="E8" s="24" t="n">
        <x:f>C8*D8</x:f>
        <x:v>50</x:v>
      </x:c>
      <x:c r="F8" s="19" t="str">
        <x:v>EL-MON-SEA-011</x:v>
      </x:c>
      <x:c r="G8" s="19" t="str">
        <x:v>真实穿戴/图鉴/基础件/洗练备件留用；不计同时分解</x:v>
      </x:c>
    </x:row>
    <x:row r="9" ht="19" customHeight="1">
      <x:c r="A9" s="19" t="n">
        <x:v>1</x:v>
      </x:c>
      <x:c r="B9" s="19" t="str">
        <x:v>鹰眼链</x:v>
      </x:c>
      <x:c r="C9" s="24" t="n">
        <x:v>2</x:v>
      </x:c>
      <x:c r="D9" s="24" t="n">
        <x:v>10</x:v>
      </x:c>
      <x:c r="E9" s="24" t="n">
        <x:f>C9*D9</x:f>
        <x:v>20</x:v>
      </x:c>
      <x:c r="F9" s="19" t="str">
        <x:v>EL-MON-CLIFF-002</x:v>
      </x:c>
      <x:c r="G9" s="19" t="str">
        <x:v>真实穿戴/图鉴/基础件/洗练备件留用；不计同时分解</x:v>
      </x:c>
    </x:row>
    <x:row r="10" ht="19" customHeight="1">
      <x:c r="A10" s="19" t="n">
        <x:v>1</x:v>
      </x:c>
      <x:c r="B10" s="19" t="str">
        <x:v>雷羽护腕</x:v>
      </x:c>
      <x:c r="C10" s="24" t="n">
        <x:v>3</x:v>
      </x:c>
      <x:c r="D10" s="24" t="n">
        <x:v>10</x:v>
      </x:c>
      <x:c r="E10" s="24" t="n">
        <x:f>C10*D10</x:f>
        <x:v>30</x:v>
      </x:c>
      <x:c r="F10" s="19" t="str">
        <x:v>EL-MON-CLIFF-003</x:v>
      </x:c>
      <x:c r="G10" s="19" t="str">
        <x:v>真实穿戴/图鉴/基础件/洗练备件留用；不计同时分解</x:v>
      </x:c>
    </x:row>
    <x:row r="11" ht="19" customHeight="1">
      <x:c r="A11" s="19" t="n">
        <x:v>1</x:v>
      </x:c>
      <x:c r="B11" s="19" t="str">
        <x:v>狂风骨戒</x:v>
      </x:c>
      <x:c r="C11" s="24" t="n">
        <x:v>3</x:v>
      </x:c>
      <x:c r="D11" s="24" t="n">
        <x:v>10</x:v>
      </x:c>
      <x:c r="E11" s="24" t="n">
        <x:f>C11*D11</x:f>
        <x:v>30</x:v>
      </x:c>
      <x:c r="F11" s="19" t="str">
        <x:v>EL-MON-CLIFF-004</x:v>
      </x:c>
      <x:c r="G11" s="19" t="str">
        <x:v>真实穿戴/图鉴/基础件/洗练备件留用；不计同时分解</x:v>
      </x:c>
    </x:row>
    <x:row r="12" ht="19" customHeight="1">
      <x:c r="A12" s="19" t="n">
        <x:v>1</x:v>
      </x:c>
      <x:c r="B12" s="19" t="str">
        <x:v>石蜥面巾</x:v>
      </x:c>
      <x:c r="C12" s="24" t="n">
        <x:v>2</x:v>
      </x:c>
      <x:c r="D12" s="24" t="n">
        <x:v>10</x:v>
      </x:c>
      <x:c r="E12" s="24" t="n">
        <x:f>C12*D12</x:f>
        <x:v>20</x:v>
      </x:c>
      <x:c r="F12" s="19" t="str">
        <x:v>EL-MON-CLIFF-006</x:v>
      </x:c>
      <x:c r="G12" s="19" t="str">
        <x:v>真实穿戴/图鉴/基础件/洗练备件留用；不计同时分解</x:v>
      </x:c>
    </x:row>
    <x:row r="13" ht="19" customHeight="1">
      <x:c r="A13" s="19" t="n">
        <x:v>1</x:v>
      </x:c>
      <x:c r="B13" s="19" t="str">
        <x:v>唤潮旧勋</x:v>
      </x:c>
      <x:c r="C13" s="24" t="n">
        <x:v>1</x:v>
      </x:c>
      <x:c r="D13" s="24" t="n">
        <x:v>20</x:v>
      </x:c>
      <x:c r="E13" s="24" t="n">
        <x:f>C13*D13</x:f>
        <x:v>20</x:v>
      </x:c>
      <x:c r="F13" s="19" t="str">
        <x:v>EL-MON-SEA-007</x:v>
      </x:c>
      <x:c r="G13" s="19" t="str">
        <x:v>真实穿戴/图鉴/基础件/洗练备件留用；不计同时分解</x:v>
      </x:c>
    </x:row>
    <x:row r="14" ht="19" customHeight="1">
      <x:c r="A14" s="19" t="n">
        <x:v>1</x:v>
      </x:c>
      <x:c r="B14" s="19" t="str">
        <x:v>断桅血刃</x:v>
      </x:c>
      <x:c r="C14" s="24" t="n">
        <x:v>1</x:v>
      </x:c>
      <x:c r="D14" s="24" t="n">
        <x:v>50</x:v>
      </x:c>
      <x:c r="E14" s="24" t="n">
        <x:f>C14*D14</x:f>
        <x:v>50</x:v>
      </x:c>
      <x:c r="F14" s="19" t="str">
        <x:v>EL-MON-SEA-010</x:v>
      </x:c>
      <x:c r="G14" s="19" t="str">
        <x:v>真实穿戴/图鉴/基础件/洗练备件留用；不计同时分解</x:v>
      </x:c>
    </x:row>
    <x:row r="15" ht="19" customHeight="1">
      <x:c r="A15" s="19" t="n">
        <x:v>1</x:v>
      </x:c>
      <x:c r="B15" s="19" t="str">
        <x:v>溺亡王盔</x:v>
      </x:c>
      <x:c r="C15" s="24" t="n">
        <x:v>1</x:v>
      </x:c>
      <x:c r="D15" s="24" t="n">
        <x:v>10</x:v>
      </x:c>
      <x:c r="E15" s="24" t="n">
        <x:f>C15*D15</x:f>
        <x:v>10</x:v>
      </x:c>
      <x:c r="F15" s="19" t="str">
        <x:v>EL-MON-COURT-001</x:v>
      </x:c>
      <x:c r="G15" s="19" t="str">
        <x:v>真实穿戴/图鉴/基础件/洗练备件留用；不计同时分解</x:v>
      </x:c>
    </x:row>
    <x:row r="16" ht="19" customHeight="1">
      <x:c r="A16" s="19" t="n">
        <x:v>1</x:v>
      </x:c>
      <x:c r="B16" s="19" t="str">
        <x:v>沉宫项链</x:v>
      </x:c>
      <x:c r="C16" s="24" t="n">
        <x:v>1</x:v>
      </x:c>
      <x:c r="D16" s="24" t="n">
        <x:v>10</x:v>
      </x:c>
      <x:c r="E16" s="24" t="n">
        <x:f>C16*D16</x:f>
        <x:v>10</x:v>
      </x:c>
      <x:c r="F16" s="19" t="str">
        <x:v>EL-MON-COURT-002</x:v>
      </x:c>
      <x:c r="G16" s="19" t="str">
        <x:v>真实穿戴/图鉴/基础件/洗练备件留用；不计同时分解</x:v>
      </x:c>
    </x:row>
    <x:row r="17" ht="19" customHeight="1">
      <x:c r="A17" s="19" t="n">
        <x:v>1</x:v>
      </x:c>
      <x:c r="B17" s="19" t="str">
        <x:v>苔痕护腕</x:v>
      </x:c>
      <x:c r="C17" s="24" t="n">
        <x:v>2</x:v>
      </x:c>
      <x:c r="D17" s="24" t="n">
        <x:v>10</x:v>
      </x:c>
      <x:c r="E17" s="24" t="n">
        <x:f>C17*D17</x:f>
        <x:v>20</x:v>
      </x:c>
      <x:c r="F17" s="19" t="str">
        <x:v>EL-MON-COURT-003</x:v>
      </x:c>
      <x:c r="G17" s="19" t="str">
        <x:v>真实穿戴/图鉴/基础件/洗练备件留用；不计同时分解</x:v>
      </x:c>
    </x:row>
    <x:row r="18" ht="19" customHeight="1">
      <x:c r="A18" s="19" t="n">
        <x:v>1</x:v>
      </x:c>
      <x:c r="B18" s="19" t="str">
        <x:v>王庭秘戒</x:v>
      </x:c>
      <x:c r="C18" s="24" t="n">
        <x:v>4</x:v>
      </x:c>
      <x:c r="D18" s="24" t="n">
        <x:v>10</x:v>
      </x:c>
      <x:c r="E18" s="24" t="n">
        <x:f>C18*D18</x:f>
        <x:v>40</x:v>
      </x:c>
      <x:c r="F18" s="19" t="str">
        <x:v>EL-MON-COURT-004</x:v>
      </x:c>
      <x:c r="G18" s="19" t="str">
        <x:v>真实穿戴/图鉴/基础件/洗练备件留用；不计同时分解</x:v>
      </x:c>
    </x:row>
    <x:row r="19" ht="19" customHeight="1">
      <x:c r="A19" s="19" t="n">
        <x:v>1</x:v>
      </x:c>
      <x:c r="B19" s="19" t="str">
        <x:v>断桨骨链</x:v>
      </x:c>
      <x:c r="C19" s="24" t="n">
        <x:v>1</x:v>
      </x:c>
      <x:c r="D19" s="24" t="n">
        <x:v>10</x:v>
      </x:c>
      <x:c r="E19" s="24" t="n">
        <x:f>C19*D19</x:f>
        <x:v>10</x:v>
      </x:c>
      <x:c r="F19" s="19" t="str">
        <x:v>EL-MON-SEA-002</x:v>
      </x:c>
      <x:c r="G19" s="19" t="str">
        <x:v>真实穿戴/图鉴/基础件/洗练备件留用；不计同时分解</x:v>
      </x:c>
    </x:row>
    <x:row r="20" ht="19" customHeight="1">
      <x:c r="A20" s="19" t="n">
        <x:v>1</x:v>
      </x:c>
      <x:c r="B20" s="19" t="str">
        <x:v>沉金铁盔</x:v>
      </x:c>
      <x:c r="C20" s="24" t="n">
        <x:v>1</x:v>
      </x:c>
      <x:c r="D20" s="24" t="n">
        <x:v>20</x:v>
      </x:c>
      <x:c r="E20" s="24" t="n">
        <x:f>C20*D20</x:f>
        <x:v>20</x:v>
      </x:c>
      <x:c r="F20" s="19" t="str">
        <x:v>EL-MON-SEA-008</x:v>
      </x:c>
      <x:c r="G20" s="19" t="str">
        <x:v>真实穿戴/图鉴/基础件/洗练备件留用；不计同时分解</x:v>
      </x:c>
    </x:row>
    <x:row r="21" ht="19" customHeight="1">
      <x:c r="A21" s="19" t="n">
        <x:v>1</x:v>
      </x:c>
      <x:c r="B21" s="19" t="str">
        <x:v>海雾塔盾</x:v>
      </x:c>
      <x:c r="C21" s="24" t="n">
        <x:v>1</x:v>
      </x:c>
      <x:c r="D21" s="24" t="n">
        <x:v>20</x:v>
      </x:c>
      <x:c r="E21" s="24" t="n">
        <x:f>C21*D21</x:f>
        <x:v>20</x:v>
      </x:c>
      <x:c r="F21" s="19" t="str">
        <x:v>EL-MON-SEA-009</x:v>
      </x:c>
      <x:c r="G21" s="19" t="str">
        <x:v>真实穿戴/图鉴/基础件/洗练备件留用；不计同时分解</x:v>
      </x:c>
    </x:row>
    <x:row r="22" ht="19" customHeight="1">
      <x:c r="A22" s="19" t="n">
        <x:v>1</x:v>
      </x:c>
      <x:c r="B22" s="19" t="str">
        <x:v>腐潮钳镯</x:v>
      </x:c>
      <x:c r="C22" s="24" t="n">
        <x:v>1</x:v>
      </x:c>
      <x:c r="D22" s="24" t="n">
        <x:v>10</x:v>
      </x:c>
      <x:c r="E22" s="24" t="n">
        <x:f>C22*D22</x:f>
        <x:v>10</x:v>
      </x:c>
      <x:c r="F22" s="19" t="str">
        <x:v>EL-MON-SEA-005</x:v>
      </x:c>
      <x:c r="G22" s="19" t="str">
        <x:v>真实穿戴/图鉴/基础件/洗练备件留用；不计同时分解</x:v>
      </x:c>
    </x:row>
    <x:row r="23" ht="19" customHeight="1">
      <x:c r="A23" s="19" t="n">
        <x:v>1</x:v>
      </x:c>
      <x:c r="B23" s="19" t="str">
        <x:v>行刑锚刃</x:v>
      </x:c>
      <x:c r="C23" s="24" t="n">
        <x:v>1</x:v>
      </x:c>
      <x:c r="D23" s="24" t="n">
        <x:v>20</x:v>
      </x:c>
      <x:c r="E23" s="24" t="n">
        <x:f>C23*D23</x:f>
        <x:v>20</x:v>
      </x:c>
      <x:c r="F23" s="19" t="str">
        <x:v>EL-MON-SEA-006</x:v>
      </x:c>
      <x:c r="G23" s="19" t="str">
        <x:v>真实穿戴/图鉴/基础件/洗练备件留用；不计同时分解</x:v>
      </x:c>
    </x:row>
    <x:row r="24" ht="19" customHeight="1">
      <x:c r="A24" s="19" t="n">
        <x:v>1</x:v>
      </x:c>
      <x:c r="B24" s="19" t="str">
        <x:v>古龙风铠</x:v>
      </x:c>
      <x:c r="C24" s="24" t="n">
        <x:v>1</x:v>
      </x:c>
      <x:c r="D24" s="24" t="n">
        <x:v>50</x:v>
      </x:c>
      <x:c r="E24" s="24" t="n">
        <x:f>C24*D24</x:f>
        <x:v>50</x:v>
      </x:c>
      <x:c r="F24" s="19" t="str">
        <x:v>EL-MON-CLIFF-012</x:v>
      </x:c>
      <x:c r="G24" s="19" t="str">
        <x:v>真实穿戴/图鉴/基础件/洗练备件留用；不计同时分解</x:v>
      </x:c>
    </x:row>
    <x:row r="25" ht="19" customHeight="1">
      <x:c r="A25" s="19" t="n">
        <x:v>1</x:v>
      </x:c>
      <x:c r="B25" s="19" t="str">
        <x:v>执刑雷刃</x:v>
      </x:c>
      <x:c r="C25" s="24" t="n">
        <x:v>1</x:v>
      </x:c>
      <x:c r="D25" s="24" t="n">
        <x:v>50</x:v>
      </x:c>
      <x:c r="E25" s="24" t="n">
        <x:f>C25*D25</x:f>
        <x:v>50</x:v>
      </x:c>
      <x:c r="F25" s="19" t="str">
        <x:v>EL-MON-CLIFF-011</x:v>
      </x:c>
      <x:c r="G25" s="19" t="str">
        <x:v>真实穿戴/图鉴/基础件/洗练备件留用；不计同时分解</x:v>
      </x:c>
    </x:row>
    <x:row r="26" ht="19" customHeight="1">
      <x:c r="A26" s="19" t="n">
        <x:v>1</x:v>
      </x:c>
      <x:c r="B26" s="19" t="str">
        <x:v>断崖束带</x:v>
      </x:c>
      <x:c r="C26" s="24" t="n">
        <x:v>1</x:v>
      </x:c>
      <x:c r="D26" s="24" t="n">
        <x:v>10</x:v>
      </x:c>
      <x:c r="E26" s="24" t="n">
        <x:f>C26*D26</x:f>
        <x:v>10</x:v>
      </x:c>
      <x:c r="F26" s="19" t="str">
        <x:v>EL-MON-CLIFF-005</x:v>
      </x:c>
      <x:c r="G26" s="19" t="str">
        <x:v>真实穿戴/图鉴/基础件/洗练备件留用；不计同时分解</x:v>
      </x:c>
    </x:row>
    <x:row r="27" ht="19" customHeight="1">
      <x:c r="A27" s="19" t="n">
        <x:v>1</x:v>
      </x:c>
      <x:c r="B27" s="19" t="str">
        <x:v>裂岩巨盾</x:v>
      </x:c>
      <x:c r="C27" s="24" t="n">
        <x:v>1</x:v>
      </x:c>
      <x:c r="D27" s="24" t="n">
        <x:v>20</x:v>
      </x:c>
      <x:c r="E27" s="24" t="n">
        <x:f>C27*D27</x:f>
        <x:v>20</x:v>
      </x:c>
      <x:c r="F27" s="19" t="str">
        <x:v>EL-MON-CLIFF-009</x:v>
      </x:c>
      <x:c r="G27" s="19" t="str">
        <x:v>真实穿戴/图鉴/基础件/洗练备件留用；不计同时分解</x:v>
      </x:c>
    </x:row>
    <x:row r="28" ht="19" customHeight="1">
      <x:c r="A28" s="19" t="n">
        <x:v>1</x:v>
      </x:c>
      <x:c r="B28" s="19" t="str">
        <x:v>逐雷战靴</x:v>
      </x:c>
      <x:c r="C28" s="24" t="n">
        <x:v>1</x:v>
      </x:c>
      <x:c r="D28" s="24" t="n">
        <x:v>20</x:v>
      </x:c>
      <x:c r="E28" s="24" t="n">
        <x:f>C28*D28</x:f>
        <x:v>20</x:v>
      </x:c>
      <x:c r="F28" s="19" t="str">
        <x:v>EL-MON-CLIFF-007</x:v>
      </x:c>
      <x:c r="G28" s="19" t="str">
        <x:v>真实穿戴/图鉴/基础件/洗练备件留用；不计同时分解</x:v>
      </x:c>
    </x:row>
    <x:row r="29" ht="19" customHeight="1">
      <x:c r="A29" s="19" t="n">
        <x:v>1</x:v>
      </x:c>
      <x:c r="B29" s="19" t="str">
        <x:v>风暴勋章</x:v>
      </x:c>
      <x:c r="C29" s="24" t="n">
        <x:v>1</x:v>
      </x:c>
      <x:c r="D29" s="24" t="n">
        <x:v>20</x:v>
      </x:c>
      <x:c r="E29" s="24" t="n">
        <x:f>C29*D29</x:f>
        <x:v>20</x:v>
      </x:c>
      <x:c r="F29" s="19" t="str">
        <x:v>EL-MON-CLIFF-008</x:v>
      </x:c>
      <x:c r="G29" s="19" t="str">
        <x:v>真实穿戴/图鉴/基础件/洗练备件留用；不计同时分解</x:v>
      </x:c>
    </x:row>
    <x:row r="30" ht="19" customHeight="1">
      <x:c r="A30" s="19" t="n">
        <x:v>1</x:v>
      </x:c>
      <x:c r="B30" s="19" t="str">
        <x:v>风蚀盔</x:v>
      </x:c>
      <x:c r="C30" s="24" t="n">
        <x:v>1</x:v>
      </x:c>
      <x:c r="D30" s="24" t="n">
        <x:v>10</x:v>
      </x:c>
      <x:c r="E30" s="24" t="n">
        <x:f>C30*D30</x:f>
        <x:v>10</x:v>
      </x:c>
      <x:c r="F30" s="19" t="str">
        <x:v>EL-MON-CLIFF-001</x:v>
      </x:c>
      <x:c r="G30" s="19" t="str">
        <x:v>真实穿戴/图鉴/基础件/洗练备件留用；不计同时分解</x:v>
      </x:c>
    </x:row>
    <x:row r="31" ht="19" customHeight="1">
      <x:c r="A31" s="19" t="n">
        <x:v>1</x:v>
      </x:c>
      <x:c r="B31" s="19" t="str">
        <x:v>黑翼灵玉</x:v>
      </x:c>
      <x:c r="C31" s="24" t="n">
        <x:v>1</x:v>
      </x:c>
      <x:c r="D31" s="24" t="n">
        <x:v>20</x:v>
      </x:c>
      <x:c r="E31" s="24" t="n">
        <x:f>C31*D31</x:f>
        <x:v>20</x:v>
      </x:c>
      <x:c r="F31" s="19" t="str">
        <x:v>EL-MON-CLIFF-010</x:v>
      </x:c>
      <x:c r="G31" s="19" t="str">
        <x:v>真实穿戴/图鉴/基础件/洗练备件留用；不计同时分解</x:v>
      </x:c>
    </x:row>
    <x:row r="32" ht="19" customHeight="1">
      <x:c r="A32" s="19" t="n">
        <x:v>2</x:v>
      </x:c>
      <x:c r="B32" s="19" t="str">
        <x:v>盐蚀弯刃</x:v>
      </x:c>
      <x:c r="C32" s="24" t="n">
        <x:v>1</x:v>
      </x:c>
      <x:c r="D32" s="24" t="n">
        <x:v>10</x:v>
      </x:c>
      <x:c r="E32" s="24" t="n">
        <x:f>C32*D32</x:f>
        <x:v>10</x:v>
      </x:c>
      <x:c r="F32" s="19" t="str">
        <x:v>EL-MON-SEA-001</x:v>
      </x:c>
      <x:c r="G32" s="19" t="str">
        <x:v>真实穿戴/图鉴/基础件/洗练备件留用；不计同时分解</x:v>
      </x:c>
    </x:row>
    <x:row r="33" ht="19" customHeight="1">
      <x:c r="A33" s="19" t="n">
        <x:v>2</x:v>
      </x:c>
      <x:c r="B33" s="19" t="str">
        <x:v>猎犬骨戒</x:v>
      </x:c>
      <x:c r="C33" s="24" t="n">
        <x:v>1</x:v>
      </x:c>
      <x:c r="D33" s="24" t="n">
        <x:v>10</x:v>
      </x:c>
      <x:c r="E33" s="24" t="n">
        <x:f>C33*D33</x:f>
        <x:v>10</x:v>
      </x:c>
      <x:c r="F33" s="19" t="str">
        <x:v>EL-MON-SEA-004</x:v>
      </x:c>
      <x:c r="G33" s="19" t="str">
        <x:v>真实穿戴/图鉴/基础件/洗练备件留用；不计同时分解</x:v>
      </x:c>
    </x:row>
    <x:row r="34" ht="19" customHeight="1">
      <x:c r="A34" s="19" t="n">
        <x:v>2</x:v>
      </x:c>
      <x:c r="B34" s="19" t="str">
        <x:v>王庭秘戒</x:v>
      </x:c>
      <x:c r="C34" s="24" t="n">
        <x:v>1</x:v>
      </x:c>
      <x:c r="D34" s="24" t="n">
        <x:v>10</x:v>
      </x:c>
      <x:c r="E34" s="24" t="n">
        <x:f>C34*D34</x:f>
        <x:v>10</x:v>
      </x:c>
      <x:c r="F34" s="19" t="str">
        <x:v>EL-MON-COURT-004</x:v>
      </x:c>
      <x:c r="G34" s="19" t="str">
        <x:v>真实穿戴/图鉴/基础件/洗练备件留用；不计同时分解</x:v>
      </x:c>
    </x:row>
    <x:row r="35" ht="19" customHeight="1">
      <x:c r="A35" s="19" t="n">
        <x:v>2</x:v>
      </x:c>
      <x:c r="B35" s="19" t="str">
        <x:v>褪色墓刃</x:v>
      </x:c>
      <x:c r="C35" s="24" t="n">
        <x:v>3</x:v>
      </x:c>
      <x:c r="D35" s="24" t="n">
        <x:v>20</x:v>
      </x:c>
      <x:c r="E35" s="24" t="n">
        <x:f>C35*D35</x:f>
        <x:v>60</x:v>
      </x:c>
      <x:c r="F35" s="19" t="str">
        <x:v>EL-MON-LIM-GRAVE-001</x:v>
      </x:c>
      <x:c r="G35" s="19" t="str">
        <x:v>真实穿戴/图鉴/基础件/洗练备件留用；不计同时分解</x:v>
      </x:c>
    </x:row>
    <x:row r="36" ht="19" customHeight="1">
      <x:c r="A36" s="19" t="n">
        <x:v>2</x:v>
      </x:c>
      <x:c r="B36" s="19" t="str">
        <x:v>尖牙骨链</x:v>
      </x:c>
      <x:c r="C36" s="24" t="n">
        <x:v>2</x:v>
      </x:c>
      <x:c r="D36" s="24" t="n">
        <x:v>20</x:v>
      </x:c>
      <x:c r="E36" s="24" t="n">
        <x:f>C36*D36</x:f>
        <x:v>40</x:v>
      </x:c>
      <x:c r="F36" s="19" t="str">
        <x:v>EL-MON-LIM-GRAVE-003</x:v>
      </x:c>
      <x:c r="G36" s="19" t="str">
        <x:v>真实穿戴/图鉴/基础件/洗练备件留用；不计同时分解</x:v>
      </x:c>
    </x:row>
    <x:row r="37" ht="19" customHeight="1">
      <x:c r="A37" s="19" t="n">
        <x:v>2</x:v>
      </x:c>
      <x:c r="B37" s="19" t="str">
        <x:v>守墓石盔</x:v>
      </x:c>
      <x:c r="C37" s="24" t="n">
        <x:v>2</x:v>
      </x:c>
      <x:c r="D37" s="24" t="n">
        <x:v>20</x:v>
      </x:c>
      <x:c r="E37" s="24" t="n">
        <x:f>C37*D37</x:f>
        <x:v>40</x:v>
      </x:c>
      <x:c r="F37" s="19" t="str">
        <x:v>EL-MON-LIM-GRAVE-004</x:v>
      </x:c>
      <x:c r="G37" s="19" t="str">
        <x:v>真实穿戴/图鉴/基础件/洗练备件留用；不计同时分解</x:v>
      </x:c>
    </x:row>
    <x:row r="38" ht="19" customHeight="1">
      <x:c r="A38" s="19" t="n">
        <x:v>2</x:v>
      </x:c>
      <x:c r="B38" s="19" t="str">
        <x:v>幽火鳞镯</x:v>
      </x:c>
      <x:c r="C38" s="24" t="n">
        <x:v>1</x:v>
      </x:c>
      <x:c r="D38" s="24" t="n">
        <x:v>20</x:v>
      </x:c>
      <x:c r="E38" s="24" t="n">
        <x:f>C38*D38</x:f>
        <x:v>20</x:v>
      </x:c>
      <x:c r="F38" s="19" t="str">
        <x:v>EL-MON-LIM-GRAVE-006</x:v>
      </x:c>
      <x:c r="G38" s="19" t="str">
        <x:v>真实穿戴/图鉴/基础件/洗练备件留用；不计同时分解</x:v>
      </x:c>
    </x:row>
    <x:row r="39" ht="19" customHeight="1">
      <x:c r="A39" s="19" t="n">
        <x:v>2</x:v>
      </x:c>
      <x:c r="B39" s="19" t="str">
        <x:v>腐树子鼠</x:v>
      </x:c>
      <x:c r="C39" s="24" t="n">
        <x:v>2</x:v>
      </x:c>
      <x:c r="D39" s="24" t="n">
        <x:v>80</x:v>
      </x:c>
      <x:c r="E39" s="24" t="n">
        <x:f>C39*D39</x:f>
        <x:v>160</x:v>
      </x:c>
      <x:c r="F39" s="19" t="str">
        <x:v>EL-MON-LIM-GRAVE-011</x:v>
      </x:c>
      <x:c r="G39" s="19" t="str">
        <x:v>真实穿戴/图鉴/基础件/洗练备件留用；不计同时分解</x:v>
      </x:c>
    </x:row>
    <x:row r="40" ht="19" customHeight="1">
      <x:c r="A40" s="19" t="n">
        <x:v>2</x:v>
      </x:c>
      <x:c r="B40" s="19" t="str">
        <x:v>唤潮旧勋</x:v>
      </x:c>
      <x:c r="C40" s="24" t="n">
        <x:v>1</x:v>
      </x:c>
      <x:c r="D40" s="24" t="n">
        <x:v>20</x:v>
      </x:c>
      <x:c r="E40" s="24" t="n">
        <x:f>C40*D40</x:f>
        <x:v>20</x:v>
      </x:c>
      <x:c r="F40" s="19" t="str">
        <x:v>EL-MON-SEA-007</x:v>
      </x:c>
      <x:c r="G40" s="19" t="str">
        <x:v>真实穿戴/图鉴/基础件/洗练备件留用；不计同时分解</x:v>
      </x:c>
    </x:row>
    <x:row r="41" ht="19" customHeight="1">
      <x:c r="A41" s="19" t="n">
        <x:v>2</x:v>
      </x:c>
      <x:c r="B41" s="19" t="str">
        <x:v>初火兜鍪</x:v>
      </x:c>
      <x:c r="C41" s="24" t="n">
        <x:v>1</x:v>
      </x:c>
      <x:c r="D41" s="24" t="n">
        <x:v>40</x:v>
      </x:c>
      <x:c r="E41" s="24" t="n">
        <x:f>C41*D41</x:f>
        <x:v>40</x:v>
      </x:c>
      <x:c r="F41" s="19" t="str">
        <x:v>EL-MON-LIM-GRAVE-009</x:v>
      </x:c>
      <x:c r="G41" s="19" t="str">
        <x:v>真实穿戴/图鉴/基础件/洗练备件留用；不计同时分解</x:v>
      </x:c>
    </x:row>
    <x:row r="42" ht="19" customHeight="1">
      <x:c r="A42" s="19" t="n">
        <x:v>2</x:v>
      </x:c>
      <x:c r="B42" s="19" t="str">
        <x:v>关隘铁甲</x:v>
      </x:c>
      <x:c r="C42" s="24" t="n">
        <x:v>4</x:v>
      </x:c>
      <x:c r="D42" s="24" t="n">
        <x:v>20</x:v>
      </x:c>
      <x:c r="E42" s="24" t="n">
        <x:f>C42*D42</x:f>
        <x:v>80</x:v>
      </x:c>
      <x:c r="F42" s="19" t="str">
        <x:v>EL-MON-LIM-GATE-002</x:v>
      </x:c>
      <x:c r="G42" s="19" t="str">
        <x:v>真实穿戴/图鉴/基础件/洗练备件留用；不计同时分解</x:v>
      </x:c>
    </x:row>
    <x:row r="43" ht="19" customHeight="1">
      <x:c r="A43" s="19" t="n">
        <x:v>2</x:v>
      </x:c>
      <x:c r="B43" s="19" t="str">
        <x:v>破垒鹰链</x:v>
      </x:c>
      <x:c r="C43" s="24" t="n">
        <x:v>3</x:v>
      </x:c>
      <x:c r="D43" s="24" t="n">
        <x:v>20</x:v>
      </x:c>
      <x:c r="E43" s="24" t="n">
        <x:f>C43*D43</x:f>
        <x:v>60</x:v>
      </x:c>
      <x:c r="F43" s="19" t="str">
        <x:v>EL-MON-LIM-GATE-003</x:v>
      </x:c>
      <x:c r="G43" s="19" t="str">
        <x:v>真实穿戴/图鉴/基础件/洗练备件留用；不计同时分解</x:v>
      </x:c>
    </x:row>
    <x:row r="44" ht="19" customHeight="1">
      <x:c r="A44" s="19" t="n">
        <x:v>2</x:v>
      </x:c>
      <x:c r="B44" s="19" t="str">
        <x:v>战狼铁盔</x:v>
      </x:c>
      <x:c r="C44" s="24" t="n">
        <x:v>1</x:v>
      </x:c>
      <x:c r="D44" s="24" t="n">
        <x:v>20</x:v>
      </x:c>
      <x:c r="E44" s="24" t="n">
        <x:f>C44*D44</x:f>
        <x:v>20</x:v>
      </x:c>
      <x:c r="F44" s="19" t="str">
        <x:v>EL-MON-LIM-GATE-004</x:v>
      </x:c>
      <x:c r="G44" s="19" t="str">
        <x:v>真实穿戴/图鉴/基础件/洗练备件留用；不计同时分解</x:v>
      </x:c>
    </x:row>
    <x:row r="45" ht="19" customHeight="1">
      <x:c r="A45" s="19" t="n">
        <x:v>2</x:v>
      </x:c>
      <x:c r="B45" s="19" t="str">
        <x:v>流放腕铠</x:v>
      </x:c>
      <x:c r="C45" s="24" t="n">
        <x:v>5</x:v>
      </x:c>
      <x:c r="D45" s="24" t="n">
        <x:v>20</x:v>
      </x:c>
      <x:c r="E45" s="24" t="n">
        <x:f>C45*D45</x:f>
        <x:v>100</x:v>
      </x:c>
      <x:c r="F45" s="19" t="str">
        <x:v>EL-MON-LIM-GATE-005</x:v>
      </x:c>
      <x:c r="G45" s="19" t="str">
        <x:v>真实穿戴/图鉴/基础件/洗练备件留用；不计同时分解</x:v>
      </x:c>
    </x:row>
    <x:row r="46" ht="19" customHeight="1">
      <x:c r="A46" s="19" t="n">
        <x:v>2</x:v>
      </x:c>
      <x:c r="B46" s="19" t="str">
        <x:v>百臂丑牛</x:v>
      </x:c>
      <x:c r="C46" s="24" t="n">
        <x:v>2</x:v>
      </x:c>
      <x:c r="D46" s="24" t="n">
        <x:v>80</x:v>
      </x:c>
      <x:c r="E46" s="24" t="n">
        <x:f>C46*D46</x:f>
        <x:v>160</x:v>
      </x:c>
      <x:c r="F46" s="19" t="str">
        <x:v>EL-MON-LIM-GRAVE-012</x:v>
      </x:c>
      <x:c r="G46" s="19" t="str">
        <x:v>真实穿戴/图鉴/基础件/洗练备件留用；不计同时分解</x:v>
      </x:c>
    </x:row>
    <x:row r="47" ht="19" customHeight="1">
      <x:c r="A47" s="19" t="n">
        <x:v>2</x:v>
      </x:c>
      <x:c r="B47" s="19" t="str">
        <x:v>雾牙短刃</x:v>
      </x:c>
      <x:c r="C47" s="24" t="n">
        <x:v>3</x:v>
      </x:c>
      <x:c r="D47" s="24" t="n">
        <x:v>20</x:v>
      </x:c>
      <x:c r="E47" s="24" t="n">
        <x:f>C47*D47</x:f>
        <x:v>60</x:v>
      </x:c>
      <x:c r="F47" s="19" t="str">
        <x:v>EL-MON-LIM-MIST-001</x:v>
      </x:c>
      <x:c r="G47" s="19" t="str">
        <x:v>真实穿戴/图鉴/基础件/洗练备件留用；不计同时分解</x:v>
      </x:c>
    </x:row>
    <x:row r="48" ht="19" customHeight="1">
      <x:c r="A48" s="19" t="n">
        <x:v>2</x:v>
      </x:c>
      <x:c r="B48" s="19" t="str">
        <x:v>祖灵皮衣</x:v>
      </x:c>
      <x:c r="C48" s="24" t="n">
        <x:v>3</x:v>
      </x:c>
      <x:c r="D48" s="24" t="n">
        <x:v>20</x:v>
      </x:c>
      <x:c r="E48" s="24" t="n">
        <x:f>C48*D48</x:f>
        <x:v>60</x:v>
      </x:c>
      <x:c r="F48" s="19" t="str">
        <x:v>EL-MON-LIM-MIST-003</x:v>
      </x:c>
      <x:c r="G48" s="19" t="str">
        <x:v>真实穿戴/图鉴/基础件/洗练备件留用；不计同时分解</x:v>
      </x:c>
    </x:row>
    <x:row r="49" ht="19" customHeight="1">
      <x:c r="A49" s="19" t="n">
        <x:v>2</x:v>
      </x:c>
      <x:c r="B49" s="19" t="str">
        <x:v>古树祷链</x:v>
      </x:c>
      <x:c r="C49" s="24" t="n">
        <x:v>3</x:v>
      </x:c>
      <x:c r="D49" s="24" t="n">
        <x:v>20</x:v>
      </x:c>
      <x:c r="E49" s="24" t="n">
        <x:f>C49*D49</x:f>
        <x:v>60</x:v>
      </x:c>
      <x:c r="F49" s="19" t="str">
        <x:v>EL-MON-LIM-MIST-004</x:v>
      </x:c>
      <x:c r="G49" s="19" t="str">
        <x:v>真实穿戴/图鉴/基础件/洗练备件留用；不计同时分解</x:v>
      </x:c>
    </x:row>
    <x:row r="50" ht="19" customHeight="1">
      <x:c r="A50" s="19" t="n">
        <x:v>2</x:v>
      </x:c>
      <x:c r="B50" s="19" t="str">
        <x:v>毒花巨盾</x:v>
      </x:c>
      <x:c r="C50" s="24" t="n">
        <x:v>2</x:v>
      </x:c>
      <x:c r="D50" s="24" t="n">
        <x:v>20</x:v>
      </x:c>
      <x:c r="E50" s="24" t="n">
        <x:f>C50*D50</x:f>
        <x:v>40</x:v>
      </x:c>
      <x:c r="F50" s="19" t="str">
        <x:v>EL-MON-LIM-MIST-006</x:v>
      </x:c>
      <x:c r="G50" s="19" t="str">
        <x:v>真实穿戴/图鉴/基础件/洗练备件留用；不计同时分解</x:v>
      </x:c>
    </x:row>
    <x:row r="51" ht="19" customHeight="1">
      <x:c r="A51" s="19" t="n">
        <x:v>2</x:v>
      </x:c>
      <x:c r="B51" s="19" t="str">
        <x:v>雷羽战衣</x:v>
      </x:c>
      <x:c r="C51" s="24" t="n">
        <x:v>1</x:v>
      </x:c>
      <x:c r="D51" s="24" t="n">
        <x:v>20</x:v>
      </x:c>
      <x:c r="E51" s="24" t="n">
        <x:f>C51*D51</x:f>
        <x:v>20</x:v>
      </x:c>
      <x:c r="F51" s="19" t="str">
        <x:v>EL-MON-LIM-STORM-002</x:v>
      </x:c>
      <x:c r="G51" s="19" t="str">
        <x:v>真实穿戴/图鉴/基础件/洗练备件留用；不计同时分解</x:v>
      </x:c>
    </x:row>
    <x:row r="52" ht="19" customHeight="1">
      <x:c r="A52" s="19" t="n">
        <x:v>2</x:v>
      </x:c>
      <x:c r="B52" s="19" t="str">
        <x:v>巨人铁盔</x:v>
      </x:c>
      <x:c r="C52" s="24" t="n">
        <x:v>1</x:v>
      </x:c>
      <x:c r="D52" s="24" t="n">
        <x:v>20</x:v>
      </x:c>
      <x:c r="E52" s="24" t="n">
        <x:f>C52*D52</x:f>
        <x:v>20</x:v>
      </x:c>
      <x:c r="F52" s="19" t="str">
        <x:v>EL-MON-LIM-STORM-003</x:v>
      </x:c>
      <x:c r="G52" s="19" t="str">
        <x:v>真实穿戴/图鉴/基础件/洗练备件留用；不计同时分解</x:v>
      </x:c>
    </x:row>
    <x:row r="53" ht="19" customHeight="1">
      <x:c r="A53" s="19" t="n">
        <x:v>2</x:v>
      </x:c>
      <x:c r="B53" s="19" t="str">
        <x:v>流寇束带</x:v>
      </x:c>
      <x:c r="C53" s="24" t="n">
        <x:v>2</x:v>
      </x:c>
      <x:c r="D53" s="24" t="n">
        <x:v>20</x:v>
      </x:c>
      <x:c r="E53" s="24" t="n">
        <x:f>C53*D53</x:f>
        <x:v>40</x:v>
      </x:c>
      <x:c r="F53" s="19" t="str">
        <x:v>EL-MON-LIM-STORM-005</x:v>
      </x:c>
      <x:c r="G53" s="19" t="str">
        <x:v>真实穿戴/图鉴/基础件/洗练备件留用；不计同时分解</x:v>
      </x:c>
    </x:row>
    <x:row r="54" ht="19" customHeight="1">
      <x:c r="A54" s="19" t="n">
        <x:v>2</x:v>
      </x:c>
      <x:c r="B54" s="19" t="str">
        <x:v>雷痕石盾</x:v>
      </x:c>
      <x:c r="C54" s="24" t="n">
        <x:v>1</x:v>
      </x:c>
      <x:c r="D54" s="24" t="n">
        <x:v>20</x:v>
      </x:c>
      <x:c r="E54" s="24" t="n">
        <x:f>C54*D54</x:f>
        <x:v>20</x:v>
      </x:c>
      <x:c r="F54" s="19" t="str">
        <x:v>EL-MON-LIM-STORM-006</x:v>
      </x:c>
      <x:c r="G54" s="19" t="str">
        <x:v>真实穿戴/图鉴/基础件/洗练备件留用；不计同时分解</x:v>
      </x:c>
    </x:row>
    <x:row r="55" ht="19" customHeight="1">
      <x:c r="A55" s="19" t="n">
        <x:v>2</x:v>
      </x:c>
      <x:c r="B55" s="19" t="str">
        <x:v>雷冠申猴</x:v>
      </x:c>
      <x:c r="C55" s="24" t="n">
        <x:v>1</x:v>
      </x:c>
      <x:c r="D55" s="24" t="n">
        <x:v>80</x:v>
      </x:c>
      <x:c r="E55" s="24" t="n">
        <x:f>C55*D55</x:f>
        <x:v>80</x:v>
      </x:c>
      <x:c r="F55" s="19" t="str">
        <x:v>EL-MON-LIM-STORM-011</x:v>
      </x:c>
      <x:c r="G55" s="19" t="str">
        <x:v>真实穿戴/图鉴/基础件/洗练备件留用；不计同时分解</x:v>
      </x:c>
    </x:row>
    <x:row r="56" ht="19" customHeight="1">
      <x:c r="A56" s="19" t="n">
        <x:v>2</x:v>
      </x:c>
      <x:c r="B56" s="19" t="str">
        <x:v>归乡弩戒</x:v>
      </x:c>
      <x:c r="C56" s="24" t="n">
        <x:v>1</x:v>
      </x:c>
      <x:c r="D56" s="24" t="n">
        <x:v>20</x:v>
      </x:c>
      <x:c r="E56" s="24" t="n">
        <x:f>C56*D56</x:f>
        <x:v>20</x:v>
      </x:c>
      <x:c r="F56" s="19" t="str">
        <x:v>EL-MON-LIM-GRAVE-005</x:v>
      </x:c>
      <x:c r="G56" s="19" t="str">
        <x:v>真实穿戴/图鉴/基础件/洗练备件留用；不计同时分解</x:v>
      </x:c>
    </x:row>
    <x:row r="57" ht="19" customHeight="1">
      <x:c r="A57" s="19" t="n">
        <x:v>2</x:v>
      </x:c>
      <x:c r="B57" s="19" t="str">
        <x:v>流刑王刃</x:v>
      </x:c>
      <x:c r="C57" s="24" t="n">
        <x:v>2</x:v>
      </x:c>
      <x:c r="D57" s="24" t="n">
        <x:v>20</x:v>
      </x:c>
      <x:c r="E57" s="24" t="n">
        <x:f>C57*D57</x:f>
        <x:v>40</x:v>
      </x:c>
      <x:c r="F57" s="19" t="str">
        <x:v>EL-MON-LIM-CASTLE-001</x:v>
      </x:c>
      <x:c r="G57" s="19" t="str">
        <x:v>真实穿戴/图鉴/基础件/洗练备件留用；不计同时分解</x:v>
      </x:c>
    </x:row>
    <x:row r="58" ht="19" customHeight="1">
      <x:c r="A58" s="19" t="n">
        <x:v>2</x:v>
      </x:c>
      <x:c r="B58" s="19" t="str">
        <x:v>失乡斧铠</x:v>
      </x:c>
      <x:c r="C58" s="24" t="n">
        <x:v>1</x:v>
      </x:c>
      <x:c r="D58" s="24" t="n">
        <x:v>20</x:v>
      </x:c>
      <x:c r="E58" s="24" t="n">
        <x:f>C58*D58</x:f>
        <x:v>20</x:v>
      </x:c>
      <x:c r="F58" s="19" t="str">
        <x:v>EL-MON-LIM-CASTLE-002</x:v>
      </x:c>
      <x:c r="G58" s="19" t="str">
        <x:v>真实穿戴/图鉴/基础件/洗练备件留用；不计同时分解</x:v>
      </x:c>
    </x:row>
    <x:row r="59" ht="19" customHeight="1">
      <x:c r="A59" s="19" t="n">
        <x:v>2</x:v>
      </x:c>
      <x:c r="B59" s="19" t="str">
        <x:v>火药锁链</x:v>
      </x:c>
      <x:c r="C59" s="24" t="n">
        <x:v>1</x:v>
      </x:c>
      <x:c r="D59" s="24" t="n">
        <x:v>20</x:v>
      </x:c>
      <x:c r="E59" s="24" t="n">
        <x:f>C59*D59</x:f>
        <x:v>20</x:v>
      </x:c>
      <x:c r="F59" s="19" t="str">
        <x:v>EL-MON-LIM-CASTLE-003</x:v>
      </x:c>
      <x:c r="G59" s="19" t="str">
        <x:v>真实穿戴/图鉴/基础件/洗练备件留用；不计同时分解</x:v>
      </x:c>
    </x:row>
    <x:row r="60" ht="19" customHeight="1">
      <x:c r="A60" s="19" t="n">
        <x:v>2</x:v>
      </x:c>
      <x:c r="B60" s="19" t="str">
        <x:v>刀翼王盔</x:v>
      </x:c>
      <x:c r="C60" s="24" t="n">
        <x:v>1</x:v>
      </x:c>
      <x:c r="D60" s="24" t="n">
        <x:v>20</x:v>
      </x:c>
      <x:c r="E60" s="24" t="n">
        <x:f>C60*D60</x:f>
        <x:v>20</x:v>
      </x:c>
      <x:c r="F60" s="19" t="str">
        <x:v>EL-MON-LIM-CASTLE-004</x:v>
      </x:c>
      <x:c r="G60" s="19" t="str">
        <x:v>真实穿戴/图鉴/基础件/洗练备件留用；不计同时分解</x:v>
      </x:c>
    </x:row>
    <x:row r="61" ht="19" customHeight="1">
      <x:c r="A61" s="19" t="n">
        <x:v>2</x:v>
      </x:c>
      <x:c r="B61" s="19" t="str">
        <x:v>百指腕甲</x:v>
      </x:c>
      <x:c r="C61" s="24" t="n">
        <x:v>2</x:v>
      </x:c>
      <x:c r="D61" s="24" t="n">
        <x:v>20</x:v>
      </x:c>
      <x:c r="E61" s="24" t="n">
        <x:f>C61*D61</x:f>
        <x:v>40</x:v>
      </x:c>
      <x:c r="F61" s="19" t="str">
        <x:v>EL-MON-LIM-CASTLE-005</x:v>
      </x:c>
      <x:c r="G61" s="19" t="str">
        <x:v>真实穿戴/图鉴/基础件/洗练备件留用；不计同时分解</x:v>
      </x:c>
    </x:row>
    <x:row r="62" ht="19" customHeight="1">
      <x:c r="A62" s="19" t="n">
        <x:v>2</x:v>
      </x:c>
      <x:c r="B62" s="19" t="str">
        <x:v>归树犬徽</x:v>
      </x:c>
      <x:c r="C62" s="24" t="n">
        <x:v>1</x:v>
      </x:c>
      <x:c r="D62" s="24" t="n">
        <x:v>40</x:v>
      </x:c>
      <x:c r="E62" s="24" t="n">
        <x:f>C62*D62</x:f>
        <x:v>40</x:v>
      </x:c>
      <x:c r="F62" s="19" t="str">
        <x:v>EL-MON-LIM-GRAVE-007</x:v>
      </x:c>
      <x:c r="G62" s="19" t="str">
        <x:v>真实穿戴/图鉴/基础件/洗练备件留用；不计同时分解</x:v>
      </x:c>
    </x:row>
    <x:row r="63" ht="19" customHeight="1">
      <x:c r="A63" s="19" t="n">
        <x:v>2</x:v>
      </x:c>
      <x:c r="B63" s="19" t="str">
        <x:v>漂腐寿衣</x:v>
      </x:c>
      <x:c r="C63" s="24" t="n">
        <x:v>1</x:v>
      </x:c>
      <x:c r="D63" s="24" t="n">
        <x:v>20</x:v>
      </x:c>
      <x:c r="E63" s="24" t="n">
        <x:f>C63*D63</x:f>
        <x:v>20</x:v>
      </x:c>
      <x:c r="F63" s="19" t="str">
        <x:v>EL-MON-LIM-GRAVE-002</x:v>
      </x:c>
      <x:c r="G63" s="19" t="str">
        <x:v>真实穿戴/图鉴/基础件/洗练备件留用；不计同时分解</x:v>
      </x:c>
    </x:row>
    <x:row r="64" ht="19" customHeight="1">
      <x:c r="A64" s="19" t="n">
        <x:v>2</x:v>
      </x:c>
      <x:c r="B64" s="19" t="str">
        <x:v>腐根塔盾</x:v>
      </x:c>
      <x:c r="C64" s="24" t="n">
        <x:v>1</x:v>
      </x:c>
      <x:c r="D64" s="24" t="n">
        <x:v>40</x:v>
      </x:c>
      <x:c r="E64" s="24" t="n">
        <x:f>C64*D64</x:f>
        <x:v>40</x:v>
      </x:c>
      <x:c r="F64" s="19" t="str">
        <x:v>EL-MON-LIM-GRAVE-008</x:v>
      </x:c>
      <x:c r="G64" s="19" t="str">
        <x:v>真实穿戴/图鉴/基础件/洗练备件留用；不计同时分解</x:v>
      </x:c>
    </x:row>
    <x:row r="65" ht="19" customHeight="1">
      <x:c r="A65" s="19" t="n">
        <x:v>2</x:v>
      </x:c>
      <x:c r="B65" s="19" t="str">
        <x:v>英雄余誓</x:v>
      </x:c>
      <x:c r="C65" s="24" t="n">
        <x:v>1</x:v>
      </x:c>
      <x:c r="D65" s="24" t="n">
        <x:v>40</x:v>
      </x:c>
      <x:c r="E65" s="24" t="n">
        <x:f>C65*D65</x:f>
        <x:v>40</x:v>
      </x:c>
      <x:c r="F65" s="19" t="str">
        <x:v>EL-MON-LIM-GRAVE-010</x:v>
      </x:c>
      <x:c r="G65" s="19" t="str">
        <x:v>真实穿戴/图鉴/基础件/洗练备件留用；不计同时分解</x:v>
      </x:c>
    </x:row>
    <x:row r="66" ht="19" customHeight="1">
      <x:c r="A66" s="19" t="n">
        <x:v>2</x:v>
      </x:c>
      <x:c r="B66" s="19" t="str">
        <x:v>兽爪礼刃</x:v>
      </x:c>
      <x:c r="C66" s="24" t="n">
        <x:v>1</x:v>
      </x:c>
      <x:c r="D66" s="24" t="n">
        <x:v>40</x:v>
      </x:c>
      <x:c r="E66" s="24" t="n">
        <x:f>C66*D66</x:f>
        <x:v>40</x:v>
      </x:c>
      <x:c r="F66" s="19" t="str">
        <x:v>EL-MON-LIM-GATE-009</x:v>
      </x:c>
      <x:c r="G66" s="19" t="str">
        <x:v>真实穿戴/图鉴/基础件/洗练备件留用；不计同时分解</x:v>
      </x:c>
    </x:row>
    <x:row r="67" ht="19" customHeight="1">
      <x:c r="A67" s="19" t="n">
        <x:v>2</x:v>
      </x:c>
      <x:c r="B67" s="19" t="str">
        <x:v>失乡战靴</x:v>
      </x:c>
      <x:c r="C67" s="24" t="n">
        <x:v>1</x:v>
      </x:c>
      <x:c r="D67" s="24" t="n">
        <x:v>40</x:v>
      </x:c>
      <x:c r="E67" s="24" t="n">
        <x:f>C67*D67</x:f>
        <x:v>40</x:v>
      </x:c>
      <x:c r="F67" s="19" t="str">
        <x:v>EL-MON-LIM-GATE-008</x:v>
      </x:c>
      <x:c r="G67" s="19" t="str">
        <x:v>真实穿戴/图鉴/基础件/洗练备件留用；不计同时分解</x:v>
      </x:c>
    </x:row>
    <x:row r="68" ht="19" customHeight="1">
      <x:c r="A68" s="19" t="n">
        <x:v>2</x:v>
      </x:c>
      <x:c r="B68" s="19" t="str">
        <x:v>断旗军刀</x:v>
      </x:c>
      <x:c r="C68" s="24" t="n">
        <x:v>1</x:v>
      </x:c>
      <x:c r="D68" s="24" t="n">
        <x:v>20</x:v>
      </x:c>
      <x:c r="E68" s="24" t="n">
        <x:f>C68*D68</x:f>
        <x:v>20</x:v>
      </x:c>
      <x:c r="F68" s="19" t="str">
        <x:v>EL-MON-LIM-GATE-001</x:v>
      </x:c>
      <x:c r="G68" s="19" t="str">
        <x:v>真实穿戴/图鉴/基础件/洗练备件留用；不计同时分解</x:v>
      </x:c>
    </x:row>
    <x:row r="69" ht="19" customHeight="1">
      <x:c r="A69" s="19" t="n">
        <x:v>2</x:v>
      </x:c>
      <x:c r="B69" s="19" t="str">
        <x:v>断旗马戒</x:v>
      </x:c>
      <x:c r="C69" s="24" t="n">
        <x:v>1</x:v>
      </x:c>
      <x:c r="D69" s="24" t="n">
        <x:v>20</x:v>
      </x:c>
      <x:c r="E69" s="24" t="n">
        <x:f>C69*D69</x:f>
        <x:v>20</x:v>
      </x:c>
      <x:c r="F69" s="19" t="str">
        <x:v>EL-MON-LIM-GATE-006</x:v>
      </x:c>
      <x:c r="G69" s="19" t="str">
        <x:v>真实穿戴/图鉴/基础件/洗练备件留用；不计同时分解</x:v>
      </x:c>
    </x:row>
    <x:row r="70" ht="19" customHeight="1">
      <x:c r="A70" s="19" t="n">
        <x:v>2</x:v>
      </x:c>
      <x:c r="B70" s="19" t="str">
        <x:v>无月卯兔</x:v>
      </x:c>
      <x:c r="C70" s="24" t="n">
        <x:v>1</x:v>
      </x:c>
      <x:c r="D70" s="24" t="n">
        <x:v>80</x:v>
      </x:c>
      <x:c r="E70" s="24" t="n">
        <x:f>C70*D70</x:f>
        <x:v>80</x:v>
      </x:c>
      <x:c r="F70" s="19" t="str">
        <x:v>EL-MON-LIM-GATE-012</x:v>
      </x:c>
      <x:c r="G70" s="19" t="str">
        <x:v>真实穿戴/图鉴/基础件/洗练备件留用；不计同时分解</x:v>
      </x:c>
    </x:row>
    <x:row r="71" ht="19" customHeight="1">
      <x:c r="A71" s="19" t="n">
        <x:v>2</x:v>
      </x:c>
      <x:c r="B71" s="19" t="str">
        <x:v>破阵军袍</x:v>
      </x:c>
      <x:c r="C71" s="24" t="n">
        <x:v>1</x:v>
      </x:c>
      <x:c r="D71" s="24" t="n">
        <x:v>40</x:v>
      </x:c>
      <x:c r="E71" s="24" t="n">
        <x:f>C71*D71</x:f>
        <x:v>40</x:v>
      </x:c>
      <x:c r="F71" s="19" t="str">
        <x:v>EL-MON-LIM-GATE-010</x:v>
      </x:c>
      <x:c r="G71" s="19" t="str">
        <x:v>真实穿戴/图鉴/基础件/洗练备件留用；不计同时分解</x:v>
      </x:c>
    </x:row>
    <x:row r="72" ht="19" customHeight="1">
      <x:c r="A72" s="19" t="n">
        <x:v>2</x:v>
      </x:c>
      <x:c r="B72" s="19" t="str">
        <x:v>长戟寅虎</x:v>
      </x:c>
      <x:c r="C72" s="24" t="n">
        <x:v>1</x:v>
      </x:c>
      <x:c r="D72" s="24" t="n">
        <x:v>80</x:v>
      </x:c>
      <x:c r="E72" s="24" t="n">
        <x:f>C72*D72</x:f>
        <x:v>80</x:v>
      </x:c>
      <x:c r="F72" s="19" t="str">
        <x:v>EL-MON-LIM-GATE-011</x:v>
      </x:c>
      <x:c r="G72" s="19" t="str">
        <x:v>真实穿戴/图鉴/基础件/洗练备件留用；不计同时分解</x:v>
      </x:c>
    </x:row>
    <x:row r="73" ht="19" customHeight="1">
      <x:c r="A73" s="19" t="n">
        <x:v>2</x:v>
      </x:c>
      <x:c r="B73" s="19" t="str">
        <x:v>黄金战带</x:v>
      </x:c>
      <x:c r="C73" s="24" t="n">
        <x:v>1</x:v>
      </x:c>
      <x:c r="D73" s="24" t="n">
        <x:v>40</x:v>
      </x:c>
      <x:c r="E73" s="24" t="n">
        <x:f>C73*D73</x:f>
        <x:v>40</x:v>
      </x:c>
      <x:c r="F73" s="19" t="str">
        <x:v>EL-MON-LIM-GATE-007</x:v>
      </x:c>
      <x:c r="G73" s="19" t="str">
        <x:v>真实穿戴/图鉴/基础件/洗练备件留用；不计同时分解</x:v>
      </x:c>
    </x:row>
    <x:row r="74" ht="19" customHeight="1">
      <x:c r="A74" s="19" t="n">
        <x:v>2</x:v>
      </x:c>
      <x:c r="B74" s="19" t="str">
        <x:v>半兽战勋</x:v>
      </x:c>
      <x:c r="C74" s="24" t="n">
        <x:v>1</x:v>
      </x:c>
      <x:c r="D74" s="24" t="n">
        <x:v>20</x:v>
      </x:c>
      <x:c r="E74" s="24" t="n">
        <x:f>C74*D74</x:f>
        <x:v>20</x:v>
      </x:c>
      <x:c r="F74" s="19" t="str">
        <x:v>EL-MON-LIM-MIST-005</x:v>
      </x:c>
      <x:c r="G74" s="19" t="str">
        <x:v>真实穿戴/图鉴/基础件/洗练备件留用；不计同时分解</x:v>
      </x:c>
    </x:row>
    <x:row r="75" ht="19" customHeight="1">
      <x:c r="A75" s="19" t="n">
        <x:v>2</x:v>
      </x:c>
      <x:c r="B75" s="19" t="str">
        <x:v>卢恩血镯</x:v>
      </x:c>
      <x:c r="C75" s="24" t="n">
        <x:v>1</x:v>
      </x:c>
      <x:c r="D75" s="24" t="n">
        <x:v>40</x:v>
      </x:c>
      <x:c r="E75" s="24" t="n">
        <x:f>C75*D75</x:f>
        <x:v>40</x:v>
      </x:c>
      <x:c r="F75" s="19" t="str">
        <x:v>EL-MON-LIM-MIST-007</x:v>
      </x:c>
      <x:c r="G75" s="19" t="str">
        <x:v>真实穿戴/图鉴/基础件/洗练备件留用；不计同时分解</x:v>
      </x:c>
    </x:row>
    <x:row r="76" ht="19" customHeight="1">
      <x:c r="A76" s="19" t="n">
        <x:v>2</x:v>
      </x:c>
      <x:c r="B76" s="19" t="str">
        <x:v>死水午马</x:v>
      </x:c>
      <x:c r="C76" s="24" t="n">
        <x:v>1</x:v>
      </x:c>
      <x:c r="D76" s="24" t="n">
        <x:v>80</x:v>
      </x:c>
      <x:c r="E76" s="24" t="n">
        <x:f>C76*D76</x:f>
        <x:v>80</x:v>
      </x:c>
      <x:c r="F76" s="19" t="str">
        <x:v>EL-MON-LIM-MIST-011</x:v>
      </x:c>
      <x:c r="G76" s="19" t="str">
        <x:v>真实穿戴/图鉴/基础件/洗练备件留用；不计同时分解</x:v>
      </x:c>
    </x:row>
    <x:row r="77" ht="19" customHeight="1">
      <x:c r="A77" s="19" t="n">
        <x:v>2</x:v>
      </x:c>
      <x:c r="B77" s="19" t="str">
        <x:v>熊王战靴</x:v>
      </x:c>
      <x:c r="C77" s="24" t="n">
        <x:v>1</x:v>
      </x:c>
      <x:c r="D77" s="24" t="n">
        <x:v>20</x:v>
      </x:c>
      <x:c r="E77" s="24" t="n">
        <x:f>C77*D77</x:f>
        <x:v>20</x:v>
      </x:c>
      <x:c r="F77" s="19" t="str">
        <x:v>EL-MON-LIM-MIST-002</x:v>
      </x:c>
      <x:c r="G77" s="19" t="str">
        <x:v>真实穿戴/图鉴/基础件/洗练备件留用；不计同时分解</x:v>
      </x:c>
    </x:row>
    <x:row r="78" ht="19" customHeight="1">
      <x:c r="A78" s="19" t="n">
        <x:v>2</x:v>
      </x:c>
      <x:c r="B78" s="19" t="str">
        <x:v>熔炉古玉</x:v>
      </x:c>
      <x:c r="C78" s="24" t="n">
        <x:v>1</x:v>
      </x:c>
      <x:c r="D78" s="24" t="n">
        <x:v>80</x:v>
      </x:c>
      <x:c r="E78" s="24" t="n">
        <x:f>C78*D78</x:f>
        <x:v>80</x:v>
      </x:c>
      <x:c r="F78" s="19" t="str">
        <x:v>EL-MON-LIM-MIST-012</x:v>
      </x:c>
      <x:c r="G78" s="19" t="str">
        <x:v>真实穿戴/图鉴/基础件/洗练备件留用；不计同时分解</x:v>
      </x:c>
    </x:row>
    <x:row r="79" ht="19" customHeight="1">
      <x:c r="A79" s="19" t="n">
        <x:v>2</x:v>
      </x:c>
      <x:c r="B79" s="19" t="str">
        <x:v>猎犬辰龙</x:v>
      </x:c>
      <x:c r="C79" s="24" t="n">
        <x:v>1</x:v>
      </x:c>
      <x:c r="D79" s="24" t="n">
        <x:v>40</x:v>
      </x:c>
      <x:c r="E79" s="24" t="n">
        <x:f>C79*D79</x:f>
        <x:v>40</x:v>
      </x:c>
      <x:c r="F79" s="19" t="str">
        <x:v>EL-MON-LIM-MIST-009</x:v>
      </x:c>
      <x:c r="G79" s="19" t="str">
        <x:v>真实穿戴/图鉴/基础件/洗练备件留用；不计同时分解</x:v>
      </x:c>
    </x:row>
    <x:row r="80" ht="19" customHeight="1">
      <x:c r="A80" s="19" t="n">
        <x:v>2</x:v>
      </x:c>
      <x:c r="B80" s="19" t="str">
        <x:v>祖魂巳蛇</x:v>
      </x:c>
      <x:c r="C80" s="24" t="n">
        <x:v>1</x:v>
      </x:c>
      <x:c r="D80" s="24" t="n">
        <x:v>40</x:v>
      </x:c>
      <x:c r="E80" s="24" t="n">
        <x:f>C80*D80</x:f>
        <x:v>40</x:v>
      </x:c>
      <x:c r="F80" s="19" t="str">
        <x:v>EL-MON-LIM-MIST-010</x:v>
      </x:c>
      <x:c r="G80" s="19" t="str">
        <x:v>真实穿戴/图鉴/基础件/洗练备件留用；不计同时分解</x:v>
      </x:c>
    </x:row>
    <x:row r="81" ht="19" customHeight="1">
      <x:c r="A81" s="19" t="n">
        <x:v>2</x:v>
      </x:c>
      <x:c r="B81" s="19" t="str">
        <x:v>黄金树戒</x:v>
      </x:c>
      <x:c r="C81" s="24" t="n">
        <x:v>1</x:v>
      </x:c>
      <x:c r="D81" s="24" t="n">
        <x:v>40</x:v>
      </x:c>
      <x:c r="E81" s="24" t="n">
        <x:f>C81*D81</x:f>
        <x:v>40</x:v>
      </x:c>
      <x:c r="F81" s="19" t="str">
        <x:v>EL-MON-LIM-MIST-008</x:v>
      </x:c>
      <x:c r="G81" s="19" t="str">
        <x:v>真实穿戴/图鉴/基础件/洗练备件留用；不计同时分解</x:v>
      </x:c>
    </x:row>
    <x:row r="82" ht="19" customHeight="1">
      <x:c r="A82" s="19" t="n">
        <x:v>2</x:v>
      </x:c>
      <x:c r="B82" s="19" t="str">
        <x:v>山妖魂玉</x:v>
      </x:c>
      <x:c r="C82" s="24" t="n">
        <x:v>1</x:v>
      </x:c>
      <x:c r="D82" s="24" t="n">
        <x:v>40</x:v>
      </x:c>
      <x:c r="E82" s="24" t="n">
        <x:f>C82*D82</x:f>
        <x:v>40</x:v>
      </x:c>
      <x:c r="F82" s="19" t="str">
        <x:v>EL-MON-LIM-STORM-007</x:v>
      </x:c>
      <x:c r="G82" s="19" t="str">
        <x:v>真实穿戴/图鉴/基础件/洗练备件留用；不计同时分解</x:v>
      </x:c>
    </x:row>
    <x:row r="83" ht="19" customHeight="1">
      <x:c r="A83" s="19" t="n">
        <x:v>2</x:v>
      </x:c>
      <x:c r="B83" s="19" t="str">
        <x:v>恶兆酉鸡</x:v>
      </x:c>
      <x:c r="C83" s="24" t="n">
        <x:v>1</x:v>
      </x:c>
      <x:c r="D83" s="24" t="n">
        <x:v>80</x:v>
      </x:c>
      <x:c r="E83" s="24" t="n">
        <x:f>C83*D83</x:f>
        <x:v>80</x:v>
      </x:c>
      <x:c r="F83" s="19" t="str">
        <x:v>EL-MON-LIM-STORM-012</x:v>
      </x:c>
      <x:c r="G83" s="19" t="str">
        <x:v>真实穿戴/图鉴/基础件/洗练备件留用；不计同时分解</x:v>
      </x:c>
    </x:row>
    <x:row r="84" ht="19" customHeight="1">
      <x:c r="A84" s="19" t="n">
        <x:v>2</x:v>
      </x:c>
      <x:c r="B84" s="19" t="str">
        <x:v>百夫熔戟</x:v>
      </x:c>
      <x:c r="C84" s="24" t="n">
        <x:v>1</x:v>
      </x:c>
      <x:c r="D84" s="24" t="n">
        <x:v>40</x:v>
      </x:c>
      <x:c r="E84" s="24" t="n">
        <x:f>C84*D84</x:f>
        <x:v>40</x:v>
      </x:c>
      <x:c r="F84" s="19" t="str">
        <x:v>EL-MON-LIM-STORM-009</x:v>
      </x:c>
      <x:c r="G84" s="19" t="str">
        <x:v>真实穿戴/图鉴/基础件/洗练备件留用；不计同时分解</x:v>
      </x:c>
    </x:row>
    <x:row r="85" ht="19" customHeight="1">
      <x:c r="A85" s="19" t="n">
        <x:v>2</x:v>
      </x:c>
      <x:c r="B85" s="19" t="str">
        <x:v>葬日未羊</x:v>
      </x:c>
      <x:c r="C85" s="24" t="n">
        <x:v>1</x:v>
      </x:c>
      <x:c r="D85" s="24" t="n">
        <x:v>40</x:v>
      </x:c>
      <x:c r="E85" s="24" t="n">
        <x:f>C85*D85</x:f>
        <x:v>40</x:v>
      </x:c>
      <x:c r="F85" s="19" t="str">
        <x:v>EL-MON-LIM-STORM-010</x:v>
      </x:c>
      <x:c r="G85" s="19" t="str">
        <x:v>真实穿戴/图鉴/基础件/洗练备件留用；不计同时分解</x:v>
      </x:c>
    </x:row>
    <x:row r="86" ht="19" customHeight="1">
      <x:c r="A86" s="19" t="n">
        <x:v>3</x:v>
      </x:c>
      <x:c r="B86" s="19" t="str">
        <x:v>拾骨弯刀</x:v>
      </x:c>
      <x:c r="C86" s="24" t="n">
        <x:v>1</x:v>
      </x:c>
      <x:c r="D86" s="24" t="n">
        <x:v>30</x:v>
      </x:c>
      <x:c r="E86" s="24" t="n">
        <x:f>C86*D86</x:f>
        <x:v>30</x:v>
      </x:c>
      <x:c r="F86" s="19" t="str">
        <x:v>C03-M001</x:v>
      </x:c>
      <x:c r="G86" s="19" t="str">
        <x:v>真实穿戴/图鉴/基础件/洗练备件留用；不计同时分解</x:v>
      </x:c>
    </x:row>
    <x:row r="87" ht="19" customHeight="1">
      <x:c r="A87" s="19" t="n">
        <x:v>3</x:v>
      </x:c>
      <x:c r="B87" s="19" t="str">
        <x:v>断旗战链</x:v>
      </x:c>
      <x:c r="C87" s="24" t="n">
        <x:v>1</x:v>
      </x:c>
      <x:c r="D87" s="24" t="n">
        <x:v>30</x:v>
      </x:c>
      <x:c r="E87" s="24" t="n">
        <x:f>C87*D87</x:f>
        <x:v>30</x:v>
      </x:c>
      <x:c r="F87" s="19" t="str">
        <x:v>C03-M002</x:v>
      </x:c>
      <x:c r="G87" s="19" t="str">
        <x:v>真实穿戴/图鉴/基础件/洗练备件留用；不计同时分解</x:v>
      </x:c>
    </x:row>
    <x:row r="88" ht="19" customHeight="1">
      <x:c r="A88" s="19" t="n">
        <x:v>3</x:v>
      </x:c>
      <x:c r="B88" s="19" t="str">
        <x:v>掠风护腕</x:v>
      </x:c>
      <x:c r="C88" s="24" t="n">
        <x:v>1</x:v>
      </x:c>
      <x:c r="D88" s="24" t="n">
        <x:v>30</x:v>
      </x:c>
      <x:c r="E88" s="24" t="n">
        <x:f>C88*D88</x:f>
        <x:v>30</x:v>
      </x:c>
      <x:c r="F88" s="19" t="str">
        <x:v>C03-M003</x:v>
      </x:c>
      <x:c r="G88" s="19" t="str">
        <x:v>真实穿戴/图鉴/基础件/洗练备件留用；不计同时分解</x:v>
      </x:c>
    </x:row>
    <x:row r="89" ht="19" customHeight="1">
      <x:c r="A89" s="19" t="n">
        <x:v>3</x:v>
      </x:c>
      <x:c r="B89" s="19" t="str">
        <x:v>铁蹄战靴</x:v>
      </x:c>
      <x:c r="C89" s="24" t="n">
        <x:v>2</x:v>
      </x:c>
      <x:c r="D89" s="24" t="n">
        <x:v>30</x:v>
      </x:c>
      <x:c r="E89" s="24" t="n">
        <x:f>C89*D89</x:f>
        <x:v>60</x:v>
      </x:c>
      <x:c r="F89" s="19" t="str">
        <x:v>C03-M004</x:v>
      </x:c>
      <x:c r="G89" s="19" t="str">
        <x:v>真实穿戴/图鉴/基础件/洗练备件留用；不计同时分解</x:v>
      </x:c>
    </x:row>
    <x:row r="90" ht="19" customHeight="1">
      <x:c r="A90" s="19" t="n">
        <x:v>3</x:v>
      </x:c>
      <x:c r="B90" s="19" t="str">
        <x:v>雷冠申猴</x:v>
      </x:c>
      <x:c r="C90" s="24" t="n">
        <x:v>1</x:v>
      </x:c>
      <x:c r="D90" s="24" t="n">
        <x:v>80</x:v>
      </x:c>
      <x:c r="E90" s="24" t="n">
        <x:f>C90*D90</x:f>
        <x:v>80</x:v>
      </x:c>
      <x:c r="F90" s="19" t="str">
        <x:v>EL-MON-LIM-STORM-011</x:v>
      </x:c>
      <x:c r="G90" s="19" t="str">
        <x:v>真实穿戴/图鉴/基础件/洗练备件留用；不计同时分解</x:v>
      </x:c>
    </x:row>
    <x:row r="91" ht="19" customHeight="1">
      <x:c r="A91" s="19" t="n">
        <x:v>3</x:v>
      </x:c>
      <x:c r="B91" s="19" t="str">
        <x:v>巨犀荒铠</x:v>
      </x:c>
      <x:c r="C91" s="24" t="n">
        <x:v>1</x:v>
      </x:c>
      <x:c r="D91" s="24" t="n">
        <x:v>120</x:v>
      </x:c>
      <x:c r="E91" s="24" t="n">
        <x:f>C91*D91</x:f>
        <x:v>120</x:v>
      </x:c>
      <x:c r="F91" s="19" t="str">
        <x:v>C03-M012</x:v>
      </x:c>
      <x:c r="G91" s="19" t="str">
        <x:v>真实穿戴/图鉴/基础件/洗练备件留用；不计同时分解</x:v>
      </x:c>
    </x:row>
    <x:row r="92" ht="19" customHeight="1">
      <x:c r="A92" s="19" t="n">
        <x:v>3</x:v>
      </x:c>
      <x:c r="B92" s="19" t="str">
        <x:v>盐晶短刃</x:v>
      </x:c>
      <x:c r="C92" s="24" t="n">
        <x:v>3</x:v>
      </x:c>
      <x:c r="D92" s="24" t="n">
        <x:v>30</x:v>
      </x:c>
      <x:c r="E92" s="24" t="n">
        <x:f>C92*D92</x:f>
        <x:v>90</x:v>
      </x:c>
      <x:c r="F92" s="19" t="str">
        <x:v>C03-M013</x:v>
      </x:c>
      <x:c r="G92" s="19" t="str">
        <x:v>真实穿戴/图鉴/基础件/洗练备件留用；不计同时分解</x:v>
      </x:c>
    </x:row>
    <x:row r="93" ht="19" customHeight="1">
      <x:c r="A93" s="19" t="n">
        <x:v>3</x:v>
      </x:c>
      <x:c r="B93" s="19" t="str">
        <x:v>裂羽护腕</x:v>
      </x:c>
      <x:c r="C93" s="24" t="n">
        <x:v>1</x:v>
      </x:c>
      <x:c r="D93" s="24" t="n">
        <x:v>30</x:v>
      </x:c>
      <x:c r="E93" s="24" t="n">
        <x:f>C93*D93</x:f>
        <x:v>30</x:v>
      </x:c>
      <x:c r="F93" s="19" t="str">
        <x:v>C03-M015</x:v>
      </x:c>
      <x:c r="G93" s="19" t="str">
        <x:v>真实穿戴/图鉴/基础件/洗练备件留用；不计同时分解</x:v>
      </x:c>
    </x:row>
    <x:row r="94" ht="19" customHeight="1">
      <x:c r="A94" s="19" t="n">
        <x:v>3</x:v>
      </x:c>
      <x:c r="B94" s="19" t="str">
        <x:v>潮穴石盾</x:v>
      </x:c>
      <x:c r="C94" s="24" t="n">
        <x:v>1</x:v>
      </x:c>
      <x:c r="D94" s="24" t="n">
        <x:v>30</x:v>
      </x:c>
      <x:c r="E94" s="24" t="n">
        <x:f>C94*D94</x:f>
        <x:v>30</x:v>
      </x:c>
      <x:c r="F94" s="19" t="str">
        <x:v>C03-M016</x:v>
      </x:c>
      <x:c r="G94" s="19" t="str">
        <x:v>真实穿戴/图鉴/基础件/洗练备件留用；不计同时分解</x:v>
      </x:c>
    </x:row>
    <x:row r="95" ht="19" customHeight="1">
      <x:c r="A95" s="19" t="n">
        <x:v>3</x:v>
      </x:c>
      <x:c r="B95" s="19" t="str">
        <x:v>断索束带</x:v>
      </x:c>
      <x:c r="C95" s="24" t="n">
        <x:v>1</x:v>
      </x:c>
      <x:c r="D95" s="24" t="n">
        <x:v>30</x:v>
      </x:c>
      <x:c r="E95" s="24" t="n">
        <x:f>C95*D95</x:f>
        <x:v>30</x:v>
      </x:c>
      <x:c r="F95" s="19" t="str">
        <x:v>C03-M017</x:v>
      </x:c>
      <x:c r="G95" s="19" t="str">
        <x:v>真实穿戴/图鉴/基础件/洗练备件留用；不计同时分解</x:v>
      </x:c>
    </x:row>
    <x:row r="96" ht="19" customHeight="1">
      <x:c r="A96" s="19" t="n">
        <x:v>3</x:v>
      </x:c>
      <x:c r="B96" s="19" t="str">
        <x:v>猎犬辰龙</x:v>
      </x:c>
      <x:c r="C96" s="24" t="n">
        <x:v>1</x:v>
      </x:c>
      <x:c r="D96" s="24" t="n">
        <x:v>40</x:v>
      </x:c>
      <x:c r="E96" s="24" t="n">
        <x:f>C96*D96</x:f>
        <x:v>40</x:v>
      </x:c>
      <x:c r="F96" s="19" t="str">
        <x:v>EL-MON-LIM-MIST-009</x:v>
      </x:c>
      <x:c r="G96" s="19" t="str">
        <x:v>真实穿戴/图鉴/基础件/洗练备件留用；不计同时分解</x:v>
      </x:c>
    </x:row>
    <x:row r="97" ht="19" customHeight="1">
      <x:c r="A97" s="19" t="n">
        <x:v>3</x:v>
      </x:c>
      <x:c r="B97" s="19" t="str">
        <x:v>裂风战旗刃</x:v>
      </x:c>
      <x:c r="C97" s="24" t="n">
        <x:v>2</x:v>
      </x:c>
      <x:c r="D97" s="24" t="n">
        <x:v>120</x:v>
      </x:c>
      <x:c r="E97" s="24" t="n">
        <x:f>C97*D97</x:f>
        <x:v>240</x:v>
      </x:c>
      <x:c r="F97" s="19" t="str">
        <x:v>C03-M023</x:v>
      </x:c>
      <x:c r="G97" s="19" t="str">
        <x:v>真实穿戴/图鉴/基础件/洗练备件留用；不计同时分解</x:v>
      </x:c>
    </x:row>
    <x:row r="98" ht="19" customHeight="1">
      <x:c r="A98" s="19" t="n">
        <x:v>3</x:v>
      </x:c>
      <x:c r="B98" s="19" t="str">
        <x:v>荒商护符</x:v>
      </x:c>
      <x:c r="C98" s="24" t="n">
        <x:v>1</x:v>
      </x:c>
      <x:c r="D98" s="24" t="n">
        <x:v>30</x:v>
      </x:c>
      <x:c r="E98" s="24" t="n">
        <x:f>C98*D98</x:f>
        <x:v>30</x:v>
      </x:c>
      <x:c r="F98" s="19" t="str">
        <x:v>C03-M026</x:v>
      </x:c>
      <x:c r="G98" s="19" t="str">
        <x:v>真实穿戴/图鉴/基础件/洗练备件留用；不计同时分解</x:v>
      </x:c>
    </x:row>
    <x:row r="99" ht="19" customHeight="1">
      <x:c r="A99" s="19" t="n">
        <x:v>3</x:v>
      </x:c>
      <x:c r="B99" s="19" t="str">
        <x:v>灰篷面巾</x:v>
      </x:c>
      <x:c r="C99" s="24" t="n">
        <x:v>1</x:v>
      </x:c>
      <x:c r="D99" s="24" t="n">
        <x:v>30</x:v>
      </x:c>
      <x:c r="E99" s="24" t="n">
        <x:f>C99*D99</x:f>
        <x:v>30</x:v>
      </x:c>
      <x:c r="F99" s="19" t="str">
        <x:v>C03-M027</x:v>
      </x:c>
      <x:c r="G99" s="19" t="str">
        <x:v>真实穿戴/图鉴/基础件/洗练备件留用；不计同时分解</x:v>
      </x:c>
    </x:row>
    <x:row r="100" ht="19" customHeight="1">
      <x:c r="A100" s="19" t="n">
        <x:v>3</x:v>
      </x:c>
      <x:c r="B100" s="19" t="str">
        <x:v>驮货重甲</x:v>
      </x:c>
      <x:c r="C100" s="24" t="n">
        <x:v>1</x:v>
      </x:c>
      <x:c r="D100" s="24" t="n">
        <x:v>30</x:v>
      </x:c>
      <x:c r="E100" s="24" t="n">
        <x:f>C100*D100</x:f>
        <x:v>30</x:v>
      </x:c>
      <x:c r="F100" s="19" t="str">
        <x:v>C03-M028</x:v>
      </x:c>
      <x:c r="G100" s="19" t="str">
        <x:v>真实穿戴/图鉴/基础件/洗练备件留用；不计同时分解</x:v>
      </x:c>
    </x:row>
    <x:row r="101" ht="19" customHeight="1">
      <x:c r="A101" s="19" t="n">
        <x:v>3</x:v>
      </x:c>
      <x:c r="B101" s="19" t="str">
        <x:v>断轮弩机</x:v>
      </x:c>
      <x:c r="C101" s="24" t="n">
        <x:v>3</x:v>
      </x:c>
      <x:c r="D101" s="24" t="n">
        <x:v>30</x:v>
      </x:c>
      <x:c r="E101" s="24" t="n">
        <x:f>C101*D101</x:f>
        <x:v>90</x:v>
      </x:c>
      <x:c r="F101" s="19" t="str">
        <x:v>C03-M030</x:v>
      </x:c>
      <x:c r="G101" s="19" t="str">
        <x:v>真实穿戴/图鉴/基础件/洗练备件留用；不计同时分解</x:v>
      </x:c>
    </x:row>
    <x:row r="102" ht="19" customHeight="1">
      <x:c r="A102" s="19" t="n">
        <x:v>3</x:v>
      </x:c>
      <x:c r="B102" s="19" t="str">
        <x:v>收尸骨印</x:v>
      </x:c>
      <x:c r="C102" s="24" t="n">
        <x:v>1</x:v>
      </x:c>
      <x:c r="D102" s="24" t="n">
        <x:v>60</x:v>
      </x:c>
      <x:c r="E102" s="24" t="n">
        <x:f>C102*D102</x:f>
        <x:v>60</x:v>
      </x:c>
      <x:c r="F102" s="19" t="str">
        <x:v>C03-M010</x:v>
      </x:c>
      <x:c r="G102" s="19" t="str">
        <x:v>真实穿戴/图鉴/基础件/洗练备件留用；不计同时分解</x:v>
      </x:c>
    </x:row>
    <x:row r="103" ht="19" customHeight="1">
      <x:c r="A103" s="19" t="n">
        <x:v>3</x:v>
      </x:c>
      <x:c r="B103" s="19" t="str">
        <x:v>折戟铁链</x:v>
      </x:c>
      <x:c r="C103" s="24" t="n">
        <x:v>1</x:v>
      </x:c>
      <x:c r="D103" s="24" t="n">
        <x:v>30</x:v>
      </x:c>
      <x:c r="E103" s="24" t="n">
        <x:f>C103*D103</x:f>
        <x:v>30</x:v>
      </x:c>
      <x:c r="F103" s="19" t="str">
        <x:v>C03-M038</x:v>
      </x:c>
      <x:c r="G103" s="19" t="str">
        <x:v>真实穿戴/图鉴/基础件/洗练备件留用；不计同时分解</x:v>
      </x:c>
    </x:row>
    <x:row r="104" ht="19" customHeight="1">
      <x:c r="A104" s="19" t="n">
        <x:v>3</x:v>
      </x:c>
      <x:c r="B104" s="19" t="str">
        <x:v>战壕骨甲</x:v>
      </x:c>
      <x:c r="C104" s="24" t="n">
        <x:v>1</x:v>
      </x:c>
      <x:c r="D104" s="24" t="n">
        <x:v>30</x:v>
      </x:c>
      <x:c r="E104" s="24" t="n">
        <x:f>C104*D104</x:f>
        <x:v>30</x:v>
      </x:c>
      <x:c r="F104" s="19" t="str">
        <x:v>C03-M039</x:v>
      </x:c>
      <x:c r="G104" s="19" t="str">
        <x:v>真实穿戴/图鉴/基础件/洗练备件留用；不计同时分解</x:v>
      </x:c>
    </x:row>
    <x:row r="105" ht="19" customHeight="1">
      <x:c r="A105" s="19" t="n">
        <x:v>3</x:v>
      </x:c>
      <x:c r="B105" s="19" t="str">
        <x:v>无首号角</x:v>
      </x:c>
      <x:c r="C105" s="24" t="n">
        <x:v>2</x:v>
      </x:c>
      <x:c r="D105" s="24" t="n">
        <x:v>30</x:v>
      </x:c>
      <x:c r="E105" s="24" t="n">
        <x:f>C105*D105</x:f>
        <x:v>60</x:v>
      </x:c>
      <x:c r="F105" s="19" t="str">
        <x:v>C03-M040</x:v>
      </x:c>
      <x:c r="G105" s="19" t="str">
        <x:v>真实穿戴/图鉴/基础件/洗练备件留用；不计同时分解</x:v>
      </x:c>
    </x:row>
    <x:row r="106" ht="19" customHeight="1">
      <x:c r="A106" s="19" t="n">
        <x:v>3</x:v>
      </x:c>
      <x:c r="B106" s="19" t="str">
        <x:v>英灵马靴</x:v>
      </x:c>
      <x:c r="C106" s="24" t="n">
        <x:v>1</x:v>
      </x:c>
      <x:c r="D106" s="24" t="n">
        <x:v>30</x:v>
      </x:c>
      <x:c r="E106" s="24" t="n">
        <x:f>C106*D106</x:f>
        <x:v>30</x:v>
      </x:c>
      <x:c r="F106" s="19" t="str">
        <x:v>C03-M042</x:v>
      </x:c>
      <x:c r="G106" s="19" t="str">
        <x:v>真实穿戴/图鉴/基础件/洗练备件留用；不计同时分解</x:v>
      </x:c>
    </x:row>
    <x:row r="107" ht="19" customHeight="1">
      <x:c r="A107" s="19" t="n">
        <x:v>3</x:v>
      </x:c>
      <x:c r="B107" s="19" t="str">
        <x:v>枯草牙戒</x:v>
      </x:c>
      <x:c r="C107" s="24" t="n">
        <x:v>1</x:v>
      </x:c>
      <x:c r="D107" s="24" t="n">
        <x:v>30</x:v>
      </x:c>
      <x:c r="E107" s="24" t="n">
        <x:f>C107*D107</x:f>
        <x:v>30</x:v>
      </x:c>
      <x:c r="F107" s="19" t="str">
        <x:v>C03-M005</x:v>
      </x:c>
      <x:c r="G107" s="19" t="str">
        <x:v>真实穿戴/图鉴/基础件/洗练备件留用；不计同时分解</x:v>
      </x:c>
    </x:row>
    <x:row r="108" ht="19" customHeight="1">
      <x:c r="A108" s="19" t="n">
        <x:v>3</x:v>
      </x:c>
      <x:c r="B108" s="19" t="str">
        <x:v>古垒军刀</x:v>
      </x:c>
      <x:c r="C108" s="24" t="n">
        <x:v>2</x:v>
      </x:c>
      <x:c r="D108" s="24" t="n">
        <x:v>30</x:v>
      </x:c>
      <x:c r="E108" s="24" t="n">
        <x:f>C108*D108</x:f>
        <x:v>60</x:v>
      </x:c>
      <x:c r="F108" s="19" t="str">
        <x:v>C03-M049</x:v>
      </x:c>
      <x:c r="G108" s="19" t="str">
        <x:v>真实穿戴/图鉴/基础件/洗练备件留用；不计同时分解</x:v>
      </x:c>
    </x:row>
    <x:row r="109" ht="19" customHeight="1">
      <x:c r="A109" s="19" t="n">
        <x:v>3</x:v>
      </x:c>
      <x:c r="B109" s="19" t="str">
        <x:v>风沙鹰链</x:v>
      </x:c>
      <x:c r="C109" s="24" t="n">
        <x:v>1</x:v>
      </x:c>
      <x:c r="D109" s="24" t="n">
        <x:v>30</x:v>
      </x:c>
      <x:c r="E109" s="24" t="n">
        <x:f>C109*D109</x:f>
        <x:v>30</x:v>
      </x:c>
      <x:c r="F109" s="19" t="str">
        <x:v>C03-M050</x:v>
      </x:c>
      <x:c r="G109" s="19" t="str">
        <x:v>真实穿戴/图鉴/基础件/洗练备件留用；不计同时分解</x:v>
      </x:c>
    </x:row>
    <x:row r="110" ht="19" customHeight="1">
      <x:c r="A110" s="19" t="n">
        <x:v>3</x:v>
      </x:c>
      <x:c r="B110" s="19" t="str">
        <x:v>回廊石盔</x:v>
      </x:c>
      <x:c r="C110" s="24" t="n">
        <x:v>1</x:v>
      </x:c>
      <x:c r="D110" s="24" t="n">
        <x:v>30</x:v>
      </x:c>
      <x:c r="E110" s="24" t="n">
        <x:f>C110*D110</x:f>
        <x:v>30</x:v>
      </x:c>
      <x:c r="F110" s="19" t="str">
        <x:v>C03-M051</x:v>
      </x:c>
      <x:c r="G110" s="19" t="str">
        <x:v>真实穿戴/图鉴/基础件/洗练备件留用；不计同时分解</x:v>
      </x:c>
    </x:row>
    <x:row r="111" ht="19" customHeight="1">
      <x:c r="A111" s="19" t="n">
        <x:v>3</x:v>
      </x:c>
      <x:c r="B111" s="19" t="str">
        <x:v>铜门束带</x:v>
      </x:c>
      <x:c r="C111" s="24" t="n">
        <x:v>1</x:v>
      </x:c>
      <x:c r="D111" s="24" t="n">
        <x:v>30</x:v>
      </x:c>
      <x:c r="E111" s="24" t="n">
        <x:f>C111*D111</x:f>
        <x:v>30</x:v>
      </x:c>
      <x:c r="F111" s="19" t="str">
        <x:v>C03-M054</x:v>
      </x:c>
      <x:c r="G111" s="19" t="str">
        <x:v>真实穿戴/图鉴/基础件/洗练备件留用；不计同时分解</x:v>
      </x:c>
    </x:row>
    <x:row r="112" ht="19" customHeight="1">
      <x:c r="A112" s="19" t="n">
        <x:v>3</x:v>
      </x:c>
      <x:c r="B112" s="19" t="str">
        <x:v>独眼鹰坠</x:v>
      </x:c>
      <x:c r="C112" s="24" t="n">
        <x:v>1</x:v>
      </x:c>
      <x:c r="D112" s="24" t="n">
        <x:v>60</x:v>
      </x:c>
      <x:c r="E112" s="24" t="n">
        <x:f>C112*D112</x:f>
        <x:v>60</x:v>
      </x:c>
      <x:c r="F112" s="19" t="str">
        <x:v>C03-M008</x:v>
      </x:c>
      <x:c r="G112" s="19" t="str">
        <x:v>真实穿戴/图鉴/基础件/洗练备件留用；不计同时分解</x:v>
      </x:c>
    </x:row>
    <x:row r="113" ht="19" customHeight="1">
      <x:c r="A113" s="19" t="n">
        <x:v>3</x:v>
      </x:c>
      <x:c r="B113" s="19" t="str">
        <x:v>统领断旗枪</x:v>
      </x:c>
      <x:c r="C113" s="24" t="n">
        <x:v>1</x:v>
      </x:c>
      <x:c r="D113" s="24" t="n">
        <x:v>120</x:v>
      </x:c>
      <x:c r="E113" s="24" t="n">
        <x:f>C113*D113</x:f>
        <x:v>120</x:v>
      </x:c>
      <x:c r="F113" s="19" t="str">
        <x:v>C03-M011</x:v>
      </x:c>
      <x:c r="G113" s="19" t="str">
        <x:v>真实穿戴/图鉴/基础件/洗练备件留用；不计同时分解</x:v>
      </x:c>
    </x:row>
    <x:row r="114" ht="19" customHeight="1">
      <x:c r="A114" s="19" t="n">
        <x:v>3</x:v>
      </x:c>
      <x:c r="B114" s="19" t="str">
        <x:v>金叶军刃</x:v>
      </x:c>
      <x:c r="C114" s="24" t="n">
        <x:v>1</x:v>
      </x:c>
      <x:c r="D114" s="24" t="n">
        <x:v>30</x:v>
      </x:c>
      <x:c r="E114" s="24" t="n">
        <x:f>C114*D114</x:f>
        <x:v>30</x:v>
      </x:c>
      <x:c r="F114" s="19" t="str">
        <x:v>C03-M061</x:v>
      </x:c>
      <x:c r="G114" s="19" t="str">
        <x:v>真实穿戴/图鉴/基础件/洗练备件留用；不计同时分解</x:v>
      </x:c>
    </x:row>
    <x:row r="115" ht="19" customHeight="1">
      <x:c r="A115" s="19" t="n">
        <x:v>3</x:v>
      </x:c>
      <x:c r="B115" s="19" t="str">
        <x:v>王树弩戒</x:v>
      </x:c>
      <x:c r="C115" s="24" t="n">
        <x:v>2</x:v>
      </x:c>
      <x:c r="D115" s="24" t="n">
        <x:v>30</x:v>
      </x:c>
      <x:c r="E115" s="24" t="n">
        <x:f>C115*D115</x:f>
        <x:v>60</x:v>
      </x:c>
      <x:c r="F115" s="19" t="str">
        <x:v>C03-M062</x:v>
      </x:c>
      <x:c r="G115" s="19" t="str">
        <x:v>真实穿戴/图鉴/基础件/洗练备件留用；不计同时分解</x:v>
      </x:c>
    </x:row>
    <x:row r="116" ht="19" customHeight="1">
      <x:c r="A116" s="19" t="n">
        <x:v>3</x:v>
      </x:c>
      <x:c r="B116" s="19" t="str">
        <x:v>圣露护腕</x:v>
      </x:c>
      <x:c r="C116" s="24" t="n">
        <x:v>1</x:v>
      </x:c>
      <x:c r="D116" s="24" t="n">
        <x:v>30</x:v>
      </x:c>
      <x:c r="E116" s="24" t="n">
        <x:f>C116*D116</x:f>
        <x:v>30</x:v>
      </x:c>
      <x:c r="F116" s="19" t="str">
        <x:v>C03-M063</x:v>
      </x:c>
      <x:c r="G116" s="19" t="str">
        <x:v>真实穿戴/图鉴/基础件/洗练备件留用；不计同时分解</x:v>
      </x:c>
    </x:row>
    <x:row r="117" ht="19" customHeight="1">
      <x:c r="A117" s="19" t="n">
        <x:v>3</x:v>
      </x:c>
      <x:c r="B117" s="19" t="str">
        <x:v>镀金羽冠</x:v>
      </x:c>
      <x:c r="C117" s="24" t="n">
        <x:v>1</x:v>
      </x:c>
      <x:c r="D117" s="24" t="n">
        <x:v>30</x:v>
      </x:c>
      <x:c r="E117" s="24" t="n">
        <x:f>C117*D117</x:f>
        <x:v>30</x:v>
      </x:c>
      <x:c r="F117" s="19" t="str">
        <x:v>C03-M064</x:v>
      </x:c>
      <x:c r="G117" s="19" t="str">
        <x:v>真实穿戴/图鉴/基础件/洗练备件留用；不计同时分解</x:v>
      </x:c>
    </x:row>
    <x:row r="118" ht="19" customHeight="1">
      <x:c r="A118" s="19" t="n">
        <x:v>3</x:v>
      </x:c>
      <x:c r="B118" s="19" t="str">
        <x:v>西境军盔</x:v>
      </x:c>
      <x:c r="C118" s="24" t="n">
        <x:v>2</x:v>
      </x:c>
      <x:c r="D118" s="24" t="n">
        <x:v>60</x:v>
      </x:c>
      <x:c r="E118" s="24" t="n">
        <x:f>C118*D118</x:f>
        <x:v>120</x:v>
      </x:c>
      <x:c r="F118" s="19" t="str">
        <x:v>C03-M007</x:v>
      </x:c>
      <x:c r="G118" s="19" t="str">
        <x:v>真实穿戴/图鉴/基础件/洗练备件留用；不计同时分解</x:v>
      </x:c>
    </x:row>
    <x:row r="119" ht="19" customHeight="1">
      <x:c r="A119" s="19" t="n">
        <x:v>3</x:v>
      </x:c>
      <x:c r="B119" s="19" t="str">
        <x:v>艾德统帅剑</x:v>
      </x:c>
      <x:c r="C119" s="24" t="n">
        <x:v>1</x:v>
      </x:c>
      <x:c r="D119" s="24" t="n">
        <x:v>120</x:v>
      </x:c>
      <x:c r="E119" s="24" t="n">
        <x:f>C119*D119</x:f>
        <x:v>120</x:v>
      </x:c>
      <x:c r="F119" s="19" t="str">
        <x:v>C03-M071</x:v>
      </x:c>
      <x:c r="G119" s="19" t="str">
        <x:v>真实穿戴/图鉴/基础件/洗练备件留用；不计同时分解</x:v>
      </x:c>
    </x:row>
    <x:row r="120" ht="19" customHeight="1">
      <x:c r="A120" s="19" t="n">
        <x:v>3</x:v>
      </x:c>
      <x:c r="B120" s="19" t="str">
        <x:v>百夫战靴</x:v>
      </x:c>
      <x:c r="C120" s="24" t="n">
        <x:v>1</x:v>
      </x:c>
      <x:c r="D120" s="24" t="n">
        <x:v>60</x:v>
      </x:c>
      <x:c r="E120" s="24" t="n">
        <x:f>C120*D120</x:f>
        <x:v>60</x:v>
      </x:c>
      <x:c r="F120" s="19" t="str">
        <x:v>C03-M055</x:v>
      </x:c>
      <x:c r="G120" s="19" t="str">
        <x:v>真实穿戴/图鉴/基础件/洗练备件留用；不计同时分解</x:v>
      </x:c>
    </x:row>
    <x:row r="121" ht="19" customHeight="1">
      <x:c r="A121" s="19" t="n">
        <x:v>3</x:v>
      </x:c>
      <x:c r="B121" s="19" t="str">
        <x:v>赐福战靴</x:v>
      </x:c>
      <x:c r="C121" s="24" t="n">
        <x:v>1</x:v>
      </x:c>
      <x:c r="D121" s="24" t="n">
        <x:v>30</x:v>
      </x:c>
      <x:c r="E121" s="24" t="n">
        <x:f>C121*D121</x:f>
        <x:v>30</x:v>
      </x:c>
      <x:c r="F121" s="19" t="str">
        <x:v>C03-M065</x:v>
      </x:c>
      <x:c r="G121" s="19" t="str">
        <x:v>真实穿戴/图鉴/基础件/洗练备件留用；不计同时分解</x:v>
      </x:c>
    </x:row>
    <x:row r="122" ht="19" customHeight="1">
      <x:c r="A122" s="19" t="n">
        <x:v>3</x:v>
      </x:c>
      <x:c r="B122" s="19" t="str">
        <x:v>荒原誓冠</x:v>
      </x:c>
      <x:c r="C122" s="24" t="n">
        <x:v>1</x:v>
      </x:c>
      <x:c r="D122" s="24" t="n">
        <x:v>120</x:v>
      </x:c>
      <x:c r="E122" s="24" t="n">
        <x:f>C122*D122</x:f>
        <x:v>120</x:v>
      </x:c>
      <x:c r="F122" s="19" t="str">
        <x:v>C03-M012</x:v>
      </x:c>
      <x:c r="G122" s="19" t="str">
        <x:v>真实穿戴/图鉴/基础件/洗练备件留用；不计同时分解</x:v>
      </x:c>
    </x:row>
    <x:row r="123" ht="19" customHeight="1">
      <x:c r="A123" s="19" t="n">
        <x:v>3</x:v>
      </x:c>
      <x:c r="B123" s="19" t="str">
        <x:v>荒风披甲</x:v>
      </x:c>
      <x:c r="C123" s="24" t="n">
        <x:v>1</x:v>
      </x:c>
      <x:c r="D123" s="24" t="n">
        <x:v>60</x:v>
      </x:c>
      <x:c r="E123" s="24" t="n">
        <x:f>C123*D123</x:f>
        <x:v>60</x:v>
      </x:c>
      <x:c r="F123" s="19" t="str">
        <x:v>C03-M009</x:v>
      </x:c>
      <x:c r="G123" s="19" t="str">
        <x:v>真实穿戴/图鉴/基础件/洗练备件留用；不计同时分解</x:v>
      </x:c>
    </x:row>
    <x:row r="124" ht="19" customHeight="1">
      <x:c r="A124" s="19" t="n">
        <x:v>3</x:v>
      </x:c>
      <x:c r="B124" s="19" t="str">
        <x:v>锈甲腰封</x:v>
      </x:c>
      <x:c r="C124" s="24" t="n">
        <x:v>1</x:v>
      </x:c>
      <x:c r="D124" s="24" t="n">
        <x:v>30</x:v>
      </x:c>
      <x:c r="E124" s="24" t="n">
        <x:f>C124*D124</x:f>
        <x:v>30</x:v>
      </x:c>
      <x:c r="F124" s="19" t="str">
        <x:v>C03-M006</x:v>
      </x:c>
      <x:c r="G124" s="19" t="str">
        <x:v>真实穿戴/图鉴/基础件/洗练备件留用；不计同时分解</x:v>
      </x:c>
    </x:row>
    <x:row r="125" ht="19" customHeight="1">
      <x:c r="A125" s="19" t="n">
        <x:v>3</x:v>
      </x:c>
      <x:c r="B125" s="19" t="str">
        <x:v>啸海翼铠</x:v>
      </x:c>
      <x:c r="C125" s="24" t="n">
        <x:v>1</x:v>
      </x:c>
      <x:c r="D125" s="24" t="n">
        <x:v>120</x:v>
      </x:c>
      <x:c r="E125" s="24" t="n">
        <x:f>C125*D125</x:f>
        <x:v>120</x:v>
      </x:c>
      <x:c r="F125" s="19" t="str">
        <x:v>C03-M024</x:v>
      </x:c>
      <x:c r="G125" s="19" t="str">
        <x:v>真实穿戴/图鉴/基础件/洗练备件留用；不计同时分解</x:v>
      </x:c>
    </x:row>
    <x:row r="126" ht="19" customHeight="1">
      <x:c r="A126" s="19" t="n">
        <x:v>3</x:v>
      </x:c>
      <x:c r="B126" s="19" t="str">
        <x:v>斩浪战衣</x:v>
      </x:c>
      <x:c r="C126" s="24" t="n">
        <x:v>1</x:v>
      </x:c>
      <x:c r="D126" s="24" t="n">
        <x:v>60</x:v>
      </x:c>
      <x:c r="E126" s="24" t="n">
        <x:f>C126*D126</x:f>
        <x:v>60</x:v>
      </x:c>
      <x:c r="F126" s="19" t="str">
        <x:v>C03-M020</x:v>
      </x:c>
      <x:c r="G126" s="19" t="str">
        <x:v>真实穿戴/图鉴/基础件/洗练备件留用；不计同时分解</x:v>
      </x:c>
    </x:row>
    <x:row r="127" ht="19" customHeight="1">
      <x:c r="A127" s="19" t="n">
        <x:v>3</x:v>
      </x:c>
      <x:c r="B127" s="19" t="str">
        <x:v>断途风铃</x:v>
      </x:c>
      <x:c r="C127" s="24" t="n">
        <x:v>1</x:v>
      </x:c>
      <x:c r="D127" s="24" t="n">
        <x:v>120</x:v>
      </x:c>
      <x:c r="E127" s="24" t="n">
        <x:f>C127*D127</x:f>
        <x:v>120</x:v>
      </x:c>
      <x:c r="F127" s="19" t="str">
        <x:v>C03-M024</x:v>
      </x:c>
      <x:c r="G127" s="19" t="str">
        <x:v>真实穿戴/图鉴/基础件/洗练备件留用；不计同时分解</x:v>
      </x:c>
    </x:row>
    <x:row r="128" ht="19" customHeight="1">
      <x:c r="A128" s="19" t="n">
        <x:v>3</x:v>
      </x:c>
      <x:c r="B128" s="19" t="str">
        <x:v>海崖祷链</x:v>
      </x:c>
      <x:c r="C128" s="24" t="n">
        <x:v>1</x:v>
      </x:c>
      <x:c r="D128" s="24" t="n">
        <x:v>30</x:v>
      </x:c>
      <x:c r="E128" s="24" t="n">
        <x:f>C128*D128</x:f>
        <x:v>30</x:v>
      </x:c>
      <x:c r="F128" s="19" t="str">
        <x:v>C03-M018</x:v>
      </x:c>
      <x:c r="G128" s="19" t="str">
        <x:v>真实穿戴/图鉴/基础件/洗练备件留用；不计同时分解</x:v>
      </x:c>
    </x:row>
    <x:row r="129" ht="19" customHeight="1">
      <x:c r="A129" s="19" t="n">
        <x:v>3</x:v>
      </x:c>
      <x:c r="B129" s="19" t="str">
        <x:v>海雾猎戒</x:v>
      </x:c>
      <x:c r="C129" s="24" t="n">
        <x:v>1</x:v>
      </x:c>
      <x:c r="D129" s="24" t="n">
        <x:v>60</x:v>
      </x:c>
      <x:c r="E129" s="24" t="n">
        <x:f>C129*D129</x:f>
        <x:v>60</x:v>
      </x:c>
      <x:c r="F129" s="19" t="str">
        <x:v>C03-M021</x:v>
      </x:c>
      <x:c r="G129" s="19" t="str">
        <x:v>真实穿戴/图鉴/基础件/洗练备件留用；不计同时分解</x:v>
      </x:c>
    </x:row>
    <x:row r="130" ht="19" customHeight="1">
      <x:c r="A130" s="19" t="n">
        <x:v>3</x:v>
      </x:c>
      <x:c r="B130" s="19" t="str">
        <x:v>逐风长矛</x:v>
      </x:c>
      <x:c r="C130" s="24" t="n">
        <x:v>1</x:v>
      </x:c>
      <x:c r="D130" s="24" t="n">
        <x:v>30</x:v>
      </x:c>
      <x:c r="E130" s="24" t="n">
        <x:f>C130*D130</x:f>
        <x:v>30</x:v>
      </x:c>
      <x:c r="F130" s="19" t="str">
        <x:v>C03-M014</x:v>
      </x:c>
      <x:c r="G130" s="19" t="str">
        <x:v>真实穿戴/图鉴/基础件/洗练备件留用；不计同时分解</x:v>
      </x:c>
    </x:row>
    <x:row r="131" ht="19" customHeight="1">
      <x:c r="A131" s="19" t="n">
        <x:v>3</x:v>
      </x:c>
      <x:c r="B131" s="19" t="str">
        <x:v>霆崖祭冠</x:v>
      </x:c>
      <x:c r="C131" s="24" t="n">
        <x:v>1</x:v>
      </x:c>
      <x:c r="D131" s="24" t="n">
        <x:v>60</x:v>
      </x:c>
      <x:c r="E131" s="24" t="n">
        <x:f>C131*D131</x:f>
        <x:v>60</x:v>
      </x:c>
      <x:c r="F131" s="19" t="str">
        <x:v>C03-M022</x:v>
      </x:c>
      <x:c r="G131" s="19" t="str">
        <x:v>真实穿戴/图鉴/基础件/洗练备件留用；不计同时分解</x:v>
      </x:c>
    </x:row>
    <x:row r="132" ht="19" customHeight="1">
      <x:c r="A132" s="19" t="n">
        <x:v>3</x:v>
      </x:c>
      <x:c r="B132" s="19" t="str">
        <x:v>风蚀眺盔</x:v>
      </x:c>
      <x:c r="C132" s="24" t="n">
        <x:v>1</x:v>
      </x:c>
      <x:c r="D132" s="24" t="n">
        <x:v>60</x:v>
      </x:c>
      <x:c r="E132" s="24" t="n">
        <x:f>C132*D132</x:f>
        <x:v>60</x:v>
      </x:c>
      <x:c r="F132" s="19" t="str">
        <x:v>C03-M019</x:v>
      </x:c>
      <x:c r="G132" s="19" t="str">
        <x:v>真实穿戴/图鉴/基础件/洗练备件留用；不计同时分解</x:v>
      </x:c>
    </x:row>
    <x:row r="133" ht="19" customHeight="1">
      <x:c r="A133" s="19" t="n">
        <x:v>3</x:v>
      </x:c>
      <x:c r="B133" s="19" t="str">
        <x:v>劫首弯刃</x:v>
      </x:c>
      <x:c r="C133" s="24" t="n">
        <x:v>1</x:v>
      </x:c>
      <x:c r="D133" s="24" t="n">
        <x:v>60</x:v>
      </x:c>
      <x:c r="E133" s="24" t="n">
        <x:f>C133*D133</x:f>
        <x:v>60</x:v>
      </x:c>
      <x:c r="F133" s="19" t="str">
        <x:v>C03-M033</x:v>
      </x:c>
      <x:c r="G133" s="19" t="str">
        <x:v>真实穿戴/图鉴/基础件/洗练备件留用；不计同时分解</x:v>
      </x:c>
    </x:row>
    <x:row r="134" ht="19" customHeight="1">
      <x:c r="A134" s="19" t="n">
        <x:v>3</x:v>
      </x:c>
      <x:c r="B134" s="19" t="str">
        <x:v>叛骑战靴</x:v>
      </x:c>
      <x:c r="C134" s="24" t="n">
        <x:v>1</x:v>
      </x:c>
      <x:c r="D134" s="24" t="n">
        <x:v>60</x:v>
      </x:c>
      <x:c r="E134" s="24" t="n">
        <x:f>C134*D134</x:f>
        <x:v>60</x:v>
      </x:c>
      <x:c r="F134" s="19" t="str">
        <x:v>C03-M032</x:v>
      </x:c>
      <x:c r="G134" s="19" t="str">
        <x:v>真实穿戴/图鉴/基础件/洗练备件留用；不计同时分解</x:v>
      </x:c>
    </x:row>
    <x:row r="135" ht="19" customHeight="1">
      <x:c r="A135" s="19" t="n">
        <x:v>3</x:v>
      </x:c>
      <x:c r="B135" s="19" t="str">
        <x:v>古垒余烬腕</x:v>
      </x:c>
      <x:c r="C135" s="24" t="n">
        <x:v>1</x:v>
      </x:c>
      <x:c r="D135" s="24" t="n">
        <x:v>120</x:v>
      </x:c>
      <x:c r="E135" s="24" t="n">
        <x:f>C135*D135</x:f>
        <x:v>120</x:v>
      </x:c>
      <x:c r="F135" s="19" t="str">
        <x:v>C03-M036</x:v>
      </x:c>
      <x:c r="G135" s="19" t="str">
        <x:v>真实穿戴/图鉴/基础件/洗练备件留用；不计同时分解</x:v>
      </x:c>
    </x:row>
    <x:row r="136" ht="19" customHeight="1">
      <x:c r="A136" s="19" t="n">
        <x:v>3</x:v>
      </x:c>
      <x:c r="B136" s="19" t="str">
        <x:v>无路王剑</x:v>
      </x:c>
      <x:c r="C136" s="24" t="n">
        <x:v>1</x:v>
      </x:c>
      <x:c r="D136" s="24" t="n">
        <x:v>120</x:v>
      </x:c>
      <x:c r="E136" s="24" t="n">
        <x:f>C136*D136</x:f>
        <x:v>120</x:v>
      </x:c>
      <x:c r="F136" s="19" t="str">
        <x:v>C03-M035</x:v>
      </x:c>
      <x:c r="G136" s="19" t="str">
        <x:v>真实穿戴/图鉴/基础件/洗练备件留用；不计同时分解</x:v>
      </x:c>
    </x:row>
    <x:row r="137" ht="19" customHeight="1">
      <x:c r="A137" s="19" t="n">
        <x:v>3</x:v>
      </x:c>
      <x:c r="B137" s="19" t="str">
        <x:v>火漆追缉令</x:v>
      </x:c>
      <x:c r="C137" s="24" t="n">
        <x:v>1</x:v>
      </x:c>
      <x:c r="D137" s="24" t="n">
        <x:v>60</x:v>
      </x:c>
      <x:c r="E137" s="24" t="n">
        <x:f>C137*D137</x:f>
        <x:v>60</x:v>
      </x:c>
      <x:c r="F137" s="19" t="str">
        <x:v>C03-M031</x:v>
      </x:c>
      <x:c r="G137" s="19" t="str">
        <x:v>真实穿戴/图鉴/基础件/洗练备件留用；不计同时分解</x:v>
      </x:c>
    </x:row>
    <x:row r="138" ht="19" customHeight="1">
      <x:c r="A138" s="19" t="n">
        <x:v>3</x:v>
      </x:c>
      <x:c r="B138" s="19" t="str">
        <x:v>营火牙戒</x:v>
      </x:c>
      <x:c r="C138" s="24" t="n">
        <x:v>1</x:v>
      </x:c>
      <x:c r="D138" s="24" t="n">
        <x:v>30</x:v>
      </x:c>
      <x:c r="E138" s="24" t="n">
        <x:f>C138*D138</x:f>
        <x:v>30</x:v>
      </x:c>
      <x:c r="F138" s="19" t="str">
        <x:v>C03-M029</x:v>
      </x:c>
      <x:c r="G138" s="19" t="str">
        <x:v>真实穿戴/图鉴/基础件/洗练备件留用；不计同时分解</x:v>
      </x:c>
    </x:row>
    <x:row r="139" ht="19" customHeight="1">
      <x:c r="A139" s="19" t="n">
        <x:v>3</x:v>
      </x:c>
      <x:c r="B139" s="19" t="str">
        <x:v>赤篷铁衣</x:v>
      </x:c>
      <x:c r="C139" s="24" t="n">
        <x:v>1</x:v>
      </x:c>
      <x:c r="D139" s="24" t="n">
        <x:v>120</x:v>
      </x:c>
      <x:c r="E139" s="24" t="n">
        <x:f>C139*D139</x:f>
        <x:v>120</x:v>
      </x:c>
      <x:c r="F139" s="19" t="str">
        <x:v>C03-M036</x:v>
      </x:c>
      <x:c r="G139" s="19" t="str">
        <x:v>真实穿戴/图鉴/基础件/洗练备件留用；不计同时分解</x:v>
      </x:c>
    </x:row>
    <x:row r="140" ht="19" customHeight="1">
      <x:c r="A140" s="19" t="n">
        <x:v>3</x:v>
      </x:c>
      <x:c r="B140" s="19" t="str">
        <x:v>驿骨短剑</x:v>
      </x:c>
      <x:c r="C140" s="24" t="n">
        <x:v>1</x:v>
      </x:c>
      <x:c r="D140" s="24" t="n">
        <x:v>30</x:v>
      </x:c>
      <x:c r="E140" s="24" t="n">
        <x:f>C140*D140</x:f>
        <x:v>30</x:v>
      </x:c>
      <x:c r="F140" s="19" t="str">
        <x:v>C03-M025</x:v>
      </x:c>
      <x:c r="G140" s="19" t="str">
        <x:v>真实穿戴/图鉴/基础件/洗练备件留用；不计同时分解</x:v>
      </x:c>
    </x:row>
    <x:row r="141" ht="19" customHeight="1">
      <x:c r="A141" s="19" t="n">
        <x:v>3</x:v>
      </x:c>
      <x:c r="B141" s="19" t="str">
        <x:v>黯幕咒戒</x:v>
      </x:c>
      <x:c r="C141" s="24" t="n">
        <x:v>1</x:v>
      </x:c>
      <x:c r="D141" s="24" t="n">
        <x:v>60</x:v>
      </x:c>
      <x:c r="E141" s="24" t="n">
        <x:f>C141*D141</x:f>
        <x:v>60</x:v>
      </x:c>
      <x:c r="F141" s="19" t="str">
        <x:v>C03-M034</x:v>
      </x:c>
      <x:c r="G141" s="19" t="str">
        <x:v>真实穿戴/图鉴/基础件/洗练备件留用；不计同时分解</x:v>
      </x:c>
    </x:row>
    <x:row r="142" ht="19" customHeight="1">
      <x:c r="A142" s="19" t="n">
        <x:v>3</x:v>
      </x:c>
      <x:c r="B142" s="19" t="str">
        <x:v>亡阵旗印</x:v>
      </x:c>
      <x:c r="C142" s="24" t="n">
        <x:v>1</x:v>
      </x:c>
      <x:c r="D142" s="24" t="n">
        <x:v>60</x:v>
      </x:c>
      <x:c r="E142" s="24" t="n">
        <x:f>C142*D142</x:f>
        <x:v>60</x:v>
      </x:c>
      <x:c r="F142" s="19" t="str">
        <x:v>C03-M044</x:v>
      </x:c>
      <x:c r="G142" s="19" t="str">
        <x:v>真实穿戴/图鉴/基础件/洗练备件留用；不计同时分解</x:v>
      </x:c>
    </x:row>
    <x:row r="143" ht="19" customHeight="1">
      <x:c r="A143" s="19" t="n">
        <x:v>3</x:v>
      </x:c>
      <x:c r="B143" s="19" t="str">
        <x:v>千军魂衣</x:v>
      </x:c>
      <x:c r="C143" s="24" t="n">
        <x:v>1</x:v>
      </x:c>
      <x:c r="D143" s="24" t="n">
        <x:v>120</x:v>
      </x:c>
      <x:c r="E143" s="24" t="n">
        <x:f>C143*D143</x:f>
        <x:v>120</x:v>
      </x:c>
      <x:c r="F143" s="19" t="str">
        <x:v>C03-M048</x:v>
      </x:c>
      <x:c r="G143" s="19" t="str">
        <x:v>真实穿戴/图鉴/基础件/洗练备件留用；不计同时分解</x:v>
      </x:c>
    </x:row>
    <x:row r="144" ht="19" customHeight="1">
      <x:c r="A144" s="19" t="n">
        <x:v>3</x:v>
      </x:c>
      <x:c r="B144" s="19" t="str">
        <x:v>墓旗头冠</x:v>
      </x:c>
      <x:c r="C144" s="24" t="n">
        <x:v>1</x:v>
      </x:c>
      <x:c r="D144" s="24" t="n">
        <x:v>30</x:v>
      </x:c>
      <x:c r="E144" s="24" t="n">
        <x:f>C144*D144</x:f>
        <x:v>30</x:v>
      </x:c>
      <x:c r="F144" s="19" t="str">
        <x:v>C03-M041</x:v>
      </x:c>
      <x:c r="G144" s="19" t="str">
        <x:v>真实穿戴/图鉴/基础件/洗练备件留用；不计同时分解</x:v>
      </x:c>
    </x:row>
    <x:row r="145" ht="19" customHeight="1">
      <x:c r="A145" s="19" t="n">
        <x:v>3</x:v>
      </x:c>
      <x:c r="B145" s="19" t="str">
        <x:v>幽坛引魂铃</x:v>
      </x:c>
      <x:c r="C145" s="24" t="n">
        <x:v>1</x:v>
      </x:c>
      <x:c r="D145" s="24" t="n">
        <x:v>60</x:v>
      </x:c>
      <x:c r="E145" s="24" t="n">
        <x:f>C145*D145</x:f>
        <x:v>60</x:v>
      </x:c>
      <x:c r="F145" s="19" t="str">
        <x:v>C03-M046</x:v>
      </x:c>
      <x:c r="G145" s="19" t="str">
        <x:v>真实穿戴/图鉴/基础件/洗练备件留用；不计同时分解</x:v>
      </x:c>
    </x:row>
    <x:row r="146" ht="19" customHeight="1">
      <x:c r="A146" s="19" t="n">
        <x:v>3</x:v>
      </x:c>
      <x:c r="B146" s="19" t="str">
        <x:v>残阵战刀</x:v>
      </x:c>
      <x:c r="C146" s="24" t="n">
        <x:v>1</x:v>
      </x:c>
      <x:c r="D146" s="24" t="n">
        <x:v>30</x:v>
      </x:c>
      <x:c r="E146" s="24" t="n">
        <x:f>C146*D146</x:f>
        <x:v>30</x:v>
      </x:c>
      <x:c r="F146" s="19" t="str">
        <x:v>C03-M037</x:v>
      </x:c>
      <x:c r="G146" s="19" t="str">
        <x:v>真实穿戴/图鉴/基础件/洗练备件留用；不计同时分解</x:v>
      </x:c>
    </x:row>
    <x:row r="147" ht="19" customHeight="1">
      <x:c r="A147" s="19" t="n">
        <x:v>3</x:v>
      </x:c>
      <x:c r="B147" s="19" t="str">
        <x:v>百战腕甲</x:v>
      </x:c>
      <x:c r="C147" s="24" t="n">
        <x:v>1</x:v>
      </x:c>
      <x:c r="D147" s="24" t="n">
        <x:v>60</x:v>
      </x:c>
      <x:c r="E147" s="24" t="n">
        <x:f>C147*D147</x:f>
        <x:v>60</x:v>
      </x:c>
      <x:c r="F147" s="19" t="str">
        <x:v>C03-M043</x:v>
      </x:c>
      <x:c r="G147" s="19" t="str">
        <x:v>真实穿戴/图鉴/基础件/洗练备件留用；不计同时分解</x:v>
      </x:c>
    </x:row>
    <x:row r="148" ht="19" customHeight="1">
      <x:c r="A148" s="19" t="n">
        <x:v>4</x:v>
      </x:c>
      <x:c r="B148" s="19" t="str">
        <x:v>破垒鹰链</x:v>
      </x:c>
      <x:c r="C148" s="24" t="n">
        <x:v>1</x:v>
      </x:c>
      <x:c r="D148" s="24" t="n">
        <x:v>20</x:v>
      </x:c>
      <x:c r="E148" s="24" t="n">
        <x:f>C148*D148</x:f>
        <x:v>20</x:v>
      </x:c>
      <x:c r="F148" s="19" t="str">
        <x:v>EL-MON-LIM-GATE-003</x:v>
      </x:c>
      <x:c r="G148" s="19" t="str">
        <x:v>真实穿戴/图鉴/基础件/洗练备件留用；不计同时分解</x:v>
      </x:c>
    </x:row>
    <x:row r="149" ht="19" customHeight="1">
      <x:c r="A149" s="19" t="n">
        <x:v>4</x:v>
      </x:c>
      <x:c r="B149" s="19" t="str">
        <x:v>古树祷链</x:v>
      </x:c>
      <x:c r="C149" s="24" t="n">
        <x:v>1</x:v>
      </x:c>
      <x:c r="D149" s="24" t="n">
        <x:v>20</x:v>
      </x:c>
      <x:c r="E149" s="24" t="n">
        <x:f>C149*D149</x:f>
        <x:v>20</x:v>
      </x:c>
      <x:c r="F149" s="19" t="str">
        <x:v>EL-MON-LIM-MIST-004</x:v>
      </x:c>
      <x:c r="G149" s="19" t="str">
        <x:v>真实穿戴/图鉴/基础件/洗练备件留用；不计同时分解</x:v>
      </x:c>
    </x:row>
    <x:row r="150" ht="19" customHeight="1">
      <x:c r="A150" s="19" t="n">
        <x:v>4</x:v>
      </x:c>
      <x:c r="B150" s="19" t="str">
        <x:v>沼鹿苔冠</x:v>
      </x:c>
      <x:c r="C150" s="24" t="n">
        <x:v>1</x:v>
      </x:c>
      <x:c r="D150" s="24" t="n">
        <x:v>40</x:v>
      </x:c>
      <x:c r="E150" s="24" t="n">
        <x:f>C150*D150</x:f>
        <x:v>40</x:v>
      </x:c>
      <x:c r="F150" s="19" t="str">
        <x:v>C04-M002</x:v>
      </x:c>
      <x:c r="G150" s="19" t="str">
        <x:v>真实穿戴/图鉴/基础件/洗练备件留用；不计同时分解</x:v>
      </x:c>
    </x:row>
    <x:row r="151" ht="19" customHeight="1">
      <x:c r="A151" s="19" t="n">
        <x:v>4</x:v>
      </x:c>
      <x:c r="B151" s="19" t="str">
        <x:v>青壳沼盾</x:v>
      </x:c>
      <x:c r="C151" s="24" t="n">
        <x:v>1</x:v>
      </x:c>
      <x:c r="D151" s="24" t="n">
        <x:v>40</x:v>
      </x:c>
      <x:c r="E151" s="24" t="n">
        <x:f>C151*D151</x:f>
        <x:v>40</x:v>
      </x:c>
      <x:c r="F151" s="19" t="str">
        <x:v>C04-M004</x:v>
      </x:c>
      <x:c r="G151" s="19" t="str">
        <x:v>真实穿戴/图鉴/基础件/洗练备件留用；不计同时分解</x:v>
      </x:c>
    </x:row>
    <x:row r="152" ht="19" customHeight="1">
      <x:c r="A152" s="19" t="n">
        <x:v>4</x:v>
      </x:c>
      <x:c r="B152" s="19" t="str">
        <x:v>吸潮血戒</x:v>
      </x:c>
      <x:c r="C152" s="24" t="n">
        <x:v>1</x:v>
      </x:c>
      <x:c r="D152" s="24" t="n">
        <x:v>40</x:v>
      </x:c>
      <x:c r="E152" s="24" t="n">
        <x:f>C152*D152</x:f>
        <x:v>40</x:v>
      </x:c>
      <x:c r="F152" s="19" t="str">
        <x:v>C04-M005</x:v>
      </x:c>
      <x:c r="G152" s="19" t="str">
        <x:v>真实穿戴/图鉴/基础件/洗练备件留用；不计同时分解</x:v>
      </x:c>
    </x:row>
    <x:row r="153" ht="19" customHeight="1">
      <x:c r="A153" s="19" t="n">
        <x:v>4</x:v>
      </x:c>
      <x:c r="B153" s="19" t="str">
        <x:v>盲采藕刀</x:v>
      </x:c>
      <x:c r="C153" s="24" t="n">
        <x:v>3</x:v>
      </x:c>
      <x:c r="D153" s="24" t="n">
        <x:v>40</x:v>
      </x:c>
      <x:c r="E153" s="24" t="n">
        <x:f>C153*D153</x:f>
        <x:v>120</x:v>
      </x:c>
      <x:c r="F153" s="19" t="str">
        <x:v>C04-M006</x:v>
      </x:c>
      <x:c r="G153" s="19" t="str">
        <x:v>真实穿戴/图鉴/基础件/洗练备件留用；不计同时分解</x:v>
      </x:c>
    </x:row>
    <x:row r="154" ht="19" customHeight="1">
      <x:c r="A154" s="19" t="n">
        <x:v>4</x:v>
      </x:c>
      <x:c r="B154" s="19" t="str">
        <x:v>拾碑短刃</x:v>
      </x:c>
      <x:c r="C154" s="24" t="n">
        <x:v>3</x:v>
      </x:c>
      <x:c r="D154" s="24" t="n">
        <x:v>40</x:v>
      </x:c>
      <x:c r="E154" s="24" t="n">
        <x:f>C154*D154</x:f>
        <x:v>120</x:v>
      </x:c>
      <x:c r="F154" s="19" t="str">
        <x:v>C04-M013</x:v>
      </x:c>
      <x:c r="G154" s="19" t="str">
        <x:v>真实穿戴/图鉴/基础件/洗练备件留用；不计同时分解</x:v>
      </x:c>
    </x:row>
    <x:row r="155" ht="19" customHeight="1">
      <x:c r="A155" s="19" t="n">
        <x:v>4</x:v>
      </x:c>
      <x:c r="B155" s="19" t="str">
        <x:v>浸廊手弩</x:v>
      </x:c>
      <x:c r="C155" s="24" t="n">
        <x:v>2</x:v>
      </x:c>
      <x:c r="D155" s="24" t="n">
        <x:v>40</x:v>
      </x:c>
      <x:c r="E155" s="24" t="n">
        <x:f>C155*D155</x:f>
        <x:v>80</x:v>
      </x:c>
      <x:c r="F155" s="19" t="str">
        <x:v>C04-M015</x:v>
      </x:c>
      <x:c r="G155" s="19" t="str">
        <x:v>真实穿戴/图鉴/基础件/洗练备件留用；不计同时分解</x:v>
      </x:c>
    </x:row>
    <x:row r="156" ht="19" customHeight="1">
      <x:c r="A156" s="19" t="n">
        <x:v>4</x:v>
      </x:c>
      <x:c r="B156" s="19" t="str">
        <x:v>沉钟祭袍</x:v>
      </x:c>
      <x:c r="C156" s="24" t="n">
        <x:v>1</x:v>
      </x:c>
      <x:c r="D156" s="24" t="n">
        <x:v>40</x:v>
      </x:c>
      <x:c r="E156" s="24" t="n">
        <x:f>C156*D156</x:f>
        <x:v>40</x:v>
      </x:c>
      <x:c r="F156" s="19" t="str">
        <x:v>C04-M016</x:v>
      </x:c>
      <x:c r="G156" s="19" t="str">
        <x:v>真实穿戴/图鉴/基础件/洗练备件留用；不计同时分解</x:v>
      </x:c>
    </x:row>
    <x:row r="157" ht="19" customHeight="1">
      <x:c r="A157" s="19" t="n">
        <x:v>4</x:v>
      </x:c>
      <x:c r="B157" s="19" t="str">
        <x:v>盲鱼鳍靴</x:v>
      </x:c>
      <x:c r="C157" s="24" t="n">
        <x:v>1</x:v>
      </x:c>
      <x:c r="D157" s="24" t="n">
        <x:v>40</x:v>
      </x:c>
      <x:c r="E157" s="24" t="n">
        <x:f>C157*D157</x:f>
        <x:v>40</x:v>
      </x:c>
      <x:c r="F157" s="19" t="str">
        <x:v>C04-M017</x:v>
      </x:c>
      <x:c r="G157" s="19" t="str">
        <x:v>真实穿戴/图鉴/基础件/洗练备件留用；不计同时分解</x:v>
      </x:c>
    </x:row>
    <x:row r="158" ht="19" customHeight="1">
      <x:c r="A158" s="19" t="n">
        <x:v>4</x:v>
      </x:c>
      <x:c r="B158" s="19" t="str">
        <x:v>孢母菌带</x:v>
      </x:c>
      <x:c r="C158" s="24" t="n">
        <x:v>3</x:v>
      </x:c>
      <x:c r="D158" s="24" t="n">
        <x:v>80</x:v>
      </x:c>
      <x:c r="E158" s="24" t="n">
        <x:f>C158*D158</x:f>
        <x:v>240</x:v>
      </x:c>
      <x:c r="F158" s="19" t="str">
        <x:v>C04-M009</x:v>
      </x:c>
      <x:c r="G158" s="19" t="str">
        <x:v>真实穿戴/图鉴/基础件/洗练备件留用；不计同时分解</x:v>
      </x:c>
    </x:row>
    <x:row r="159" ht="19" customHeight="1">
      <x:c r="A159" s="19" t="n">
        <x:v>4</x:v>
      </x:c>
      <x:c r="B159" s="19" t="str">
        <x:v>幽舵三重冠</x:v>
      </x:c>
      <x:c r="C159" s="24" t="n">
        <x:v>1</x:v>
      </x:c>
      <x:c r="D159" s="24" t="n">
        <x:v>160</x:v>
      </x:c>
      <x:c r="E159" s="24" t="n">
        <x:f>C159*D159</x:f>
        <x:v>160</x:v>
      </x:c>
      <x:c r="F159" s="19" t="str">
        <x:v>C04-M012</x:v>
      </x:c>
      <x:c r="G159" s="19" t="str">
        <x:v>真实穿戴/图鉴/基础件/洗练备件留用；不计同时分解</x:v>
      </x:c>
    </x:row>
    <x:row r="160" ht="19" customHeight="1">
      <x:c r="A160" s="19" t="n">
        <x:v>4</x:v>
      </x:c>
      <x:c r="B160" s="19" t="str">
        <x:v>破帆腰带</x:v>
      </x:c>
      <x:c r="C160" s="24" t="n">
        <x:v>1</x:v>
      </x:c>
      <x:c r="D160" s="24" t="n">
        <x:v>40</x:v>
      </x:c>
      <x:c r="E160" s="24" t="n">
        <x:f>C160*D160</x:f>
        <x:v>40</x:v>
      </x:c>
      <x:c r="F160" s="19" t="str">
        <x:v>C04-M025</x:v>
      </x:c>
      <x:c r="G160" s="19" t="str">
        <x:v>真实穿戴/图鉴/基础件/洗练备件留用；不计同时分解</x:v>
      </x:c>
    </x:row>
    <x:row r="161" ht="19" customHeight="1">
      <x:c r="A161" s="19" t="n">
        <x:v>4</x:v>
      </x:c>
      <x:c r="B161" s="19" t="str">
        <x:v>桅猴跳靴</x:v>
      </x:c>
      <x:c r="C161" s="24" t="n">
        <x:v>1</x:v>
      </x:c>
      <x:c r="D161" s="24" t="n">
        <x:v>40</x:v>
      </x:c>
      <x:c r="E161" s="24" t="n">
        <x:f>C161*D161</x:f>
        <x:v>40</x:v>
      </x:c>
      <x:c r="F161" s="19" t="str">
        <x:v>C04-M026</x:v>
      </x:c>
      <x:c r="G161" s="19" t="str">
        <x:v>真实穿戴/图鉴/基础件/洗练备件留用；不计同时分解</x:v>
      </x:c>
    </x:row>
    <x:row r="162" ht="19" customHeight="1">
      <x:c r="A162" s="19" t="n">
        <x:v>4</x:v>
      </x:c>
      <x:c r="B162" s="19" t="str">
        <x:v>凿舱铁锤</x:v>
      </x:c>
      <x:c r="C162" s="24" t="n">
        <x:v>3</x:v>
      </x:c>
      <x:c r="D162" s="24" t="n">
        <x:v>40</x:v>
      </x:c>
      <x:c r="E162" s="24" t="n">
        <x:f>C162*D162</x:f>
        <x:v>120</x:v>
      </x:c>
      <x:c r="F162" s="19" t="str">
        <x:v>C04-M027</x:v>
      </x:c>
      <x:c r="G162" s="19" t="str">
        <x:v>真实穿戴/图鉴/基础件/洗练备件留用；不计同时分解</x:v>
      </x:c>
    </x:row>
    <x:row r="163" ht="19" customHeight="1">
      <x:c r="A163" s="19" t="n">
        <x:v>4</x:v>
      </x:c>
      <x:c r="B163" s="19" t="str">
        <x:v>怨灯项链</x:v>
      </x:c>
      <x:c r="C163" s="24" t="n">
        <x:v>1</x:v>
      </x:c>
      <x:c r="D163" s="24" t="n">
        <x:v>40</x:v>
      </x:c>
      <x:c r="E163" s="24" t="n">
        <x:f>C163*D163</x:f>
        <x:v>40</x:v>
      </x:c>
      <x:c r="F163" s="19" t="str">
        <x:v>C04-M028</x:v>
      </x:c>
      <x:c r="G163" s="19" t="str">
        <x:v>真实穿戴/图鉴/基础件/洗练备件留用；不计同时分解</x:v>
      </x:c>
    </x:row>
    <x:row r="164" ht="19" customHeight="1">
      <x:c r="A164" s="19" t="n">
        <x:v>4</x:v>
      </x:c>
      <x:c r="B164" s="19" t="str">
        <x:v>弥瑟腐鳞衣</x:v>
      </x:c>
      <x:c r="C164" s="24" t="n">
        <x:v>1</x:v>
      </x:c>
      <x:c r="D164" s="24" t="n">
        <x:v>160</x:v>
      </x:c>
      <x:c r="E164" s="24" t="n">
        <x:f>C164*D164</x:f>
        <x:v>160</x:v>
      </x:c>
      <x:c r="F164" s="19" t="str">
        <x:v>C04-M012</x:v>
      </x:c>
      <x:c r="G164" s="19" t="str">
        <x:v>真实穿戴/图鉴/基础件/洗练备件留用；不计同时分解</x:v>
      </x:c>
    </x:row>
    <x:row r="165" ht="19" customHeight="1">
      <x:c r="A165" s="19" t="n">
        <x:v>4</x:v>
      </x:c>
      <x:c r="B165" s="19" t="str">
        <x:v>磷火腕铠</x:v>
      </x:c>
      <x:c r="C165" s="24" t="n">
        <x:v>1</x:v>
      </x:c>
      <x:c r="D165" s="24" t="n">
        <x:v>40</x:v>
      </x:c>
      <x:c r="E165" s="24" t="n">
        <x:f>C165*D165</x:f>
        <x:v>40</x:v>
      </x:c>
      <x:c r="F165" s="19" t="str">
        <x:v>C04-M037</x:v>
      </x:c>
      <x:c r="G165" s="19" t="str">
        <x:v>真实穿戴/图鉴/基础件/洗练备件留用；不计同时分解</x:v>
      </x:c>
    </x:row>
    <x:row r="166" ht="19" customHeight="1">
      <x:c r="A166" s="19" t="n">
        <x:v>4</x:v>
      </x:c>
      <x:c r="B166" s="19" t="str">
        <x:v>舀魂铜瓢</x:v>
      </x:c>
      <x:c r="C166" s="24" t="n">
        <x:v>1</x:v>
      </x:c>
      <x:c r="D166" s="24" t="n">
        <x:v>40</x:v>
      </x:c>
      <x:c r="E166" s="24" t="n">
        <x:f>C166*D166</x:f>
        <x:v>40</x:v>
      </x:c>
      <x:c r="F166" s="19" t="str">
        <x:v>C04-M039</x:v>
      </x:c>
      <x:c r="G166" s="19" t="str">
        <x:v>真实穿戴/图鉴/基础件/洗练备件留用；不计同时分解</x:v>
      </x:c>
    </x:row>
    <x:row r="167" ht="19" customHeight="1">
      <x:c r="A167" s="19" t="n">
        <x:v>4</x:v>
      </x:c>
      <x:c r="B167" s="19" t="str">
        <x:v>蜡封尸衣</x:v>
      </x:c>
      <x:c r="C167" s="24" t="n">
        <x:v>3</x:v>
      </x:c>
      <x:c r="D167" s="24" t="n">
        <x:v>40</x:v>
      </x:c>
      <x:c r="E167" s="24" t="n">
        <x:f>C167*D167</x:f>
        <x:v>120</x:v>
      </x:c>
      <x:c r="F167" s="19" t="str">
        <x:v>C04-M041</x:v>
      </x:c>
      <x:c r="G167" s="19" t="str">
        <x:v>真实穿戴/图鉴/基础件/洗练备件留用；不计同时分解</x:v>
      </x:c>
    </x:row>
    <x:row r="168" ht="19" customHeight="1">
      <x:c r="A168" s="19" t="n">
        <x:v>4</x:v>
      </x:c>
      <x:c r="B168" s="19" t="str">
        <x:v>梦蛾踏水靴</x:v>
      </x:c>
      <x:c r="C168" s="24" t="n">
        <x:v>1</x:v>
      </x:c>
      <x:c r="D168" s="24" t="n">
        <x:v>40</x:v>
      </x:c>
      <x:c r="E168" s="24" t="n">
        <x:f>C168*D168</x:f>
        <x:v>40</x:v>
      </x:c>
      <x:c r="F168" s="19" t="str">
        <x:v>C04-M042</x:v>
      </x:c>
      <x:c r="G168" s="19" t="str">
        <x:v>真实穿戴/图鉴/基础件/洗练备件留用；不计同时分解</x:v>
      </x:c>
    </x:row>
    <x:row r="169" ht="19" customHeight="1">
      <x:c r="A169" s="19" t="n">
        <x:v>4</x:v>
      </x:c>
      <x:c r="B169" s="19" t="str">
        <x:v>缝舱腰箍</x:v>
      </x:c>
      <x:c r="C169" s="24" t="n">
        <x:v>3</x:v>
      </x:c>
      <x:c r="D169" s="24" t="n">
        <x:v>80</x:v>
      </x:c>
      <x:c r="E169" s="24" t="n">
        <x:f>C169*D169</x:f>
        <x:v>240</x:v>
      </x:c>
      <x:c r="F169" s="19" t="str">
        <x:v>C04-M045</x:v>
      </x:c>
      <x:c r="G169" s="19" t="str">
        <x:v>真实穿戴/图鉴/基础件/洗练备件留用；不计同时分解</x:v>
      </x:c>
    </x:row>
    <x:row r="170" ht="19" customHeight="1">
      <x:c r="A170" s="19" t="n">
        <x:v>4</x:v>
      </x:c>
      <x:c r="B170" s="19" t="str">
        <x:v>水巫雾纱笠</x:v>
      </x:c>
      <x:c r="C170" s="24" t="n">
        <x:v>1</x:v>
      </x:c>
      <x:c r="D170" s="24" t="n">
        <x:v>80</x:v>
      </x:c>
      <x:c r="E170" s="24" t="n">
        <x:f>C170*D170</x:f>
        <x:v>80</x:v>
      </x:c>
      <x:c r="F170" s="19" t="str">
        <x:v>C04-M007</x:v>
      </x:c>
      <x:c r="G170" s="19" t="str">
        <x:v>真实穿戴/图鉴/基础件/洗练备件留用；不计同时分解</x:v>
      </x:c>
    </x:row>
    <x:row r="171" ht="19" customHeight="1">
      <x:c r="A171" s="19" t="n">
        <x:v>4</x:v>
      </x:c>
      <x:c r="B171" s="19" t="str">
        <x:v>巡闸圆盾</x:v>
      </x:c>
      <x:c r="C171" s="24" t="n">
        <x:v>1</x:v>
      </x:c>
      <x:c r="D171" s="24" t="n">
        <x:v>40</x:v>
      </x:c>
      <x:c r="E171" s="24" t="n">
        <x:f>C171*D171</x:f>
        <x:v>40</x:v>
      </x:c>
      <x:c r="F171" s="19" t="str">
        <x:v>C04-M049</x:v>
      </x:c>
      <x:c r="G171" s="19" t="str">
        <x:v>真实穿戴/图鉴/基础件/洗练备件留用；不计同时分解</x:v>
      </x:c>
    </x:row>
    <x:row r="172" ht="19" customHeight="1">
      <x:c r="A172" s="19" t="n">
        <x:v>4</x:v>
      </x:c>
      <x:c r="B172" s="19" t="str">
        <x:v>鳗皮束腰</x:v>
      </x:c>
      <x:c r="C172" s="24" t="n">
        <x:v>1</x:v>
      </x:c>
      <x:c r="D172" s="24" t="n">
        <x:v>40</x:v>
      </x:c>
      <x:c r="E172" s="24" t="n">
        <x:f>C172*D172</x:f>
        <x:v>40</x:v>
      </x:c>
      <x:c r="F172" s="19" t="str">
        <x:v>C04-M050</x:v>
      </x:c>
      <x:c r="G172" s="19" t="str">
        <x:v>真实穿戴/图鉴/基础件/洗练备件留用；不计同时分解</x:v>
      </x:c>
    </x:row>
    <x:row r="173" ht="19" customHeight="1">
      <x:c r="A173" s="19" t="n">
        <x:v>4</x:v>
      </x:c>
      <x:c r="B173" s="19" t="str">
        <x:v>拾珠客斗笠</x:v>
      </x:c>
      <x:c r="C173" s="24" t="n">
        <x:v>1</x:v>
      </x:c>
      <x:c r="D173" s="24" t="n">
        <x:v>40</x:v>
      </x:c>
      <x:c r="E173" s="24" t="n">
        <x:f>C173*D173</x:f>
        <x:v>40</x:v>
      </x:c>
      <x:c r="F173" s="19" t="str">
        <x:v>C04-M052</x:v>
      </x:c>
      <x:c r="G173" s="19" t="str">
        <x:v>真实穿戴/图鉴/基础件/洗练备件留用；不计同时分解</x:v>
      </x:c>
    </x:row>
    <x:row r="174" ht="19" customHeight="1">
      <x:c r="A174" s="19" t="n">
        <x:v>4</x:v>
      </x:c>
      <x:c r="B174" s="19" t="str">
        <x:v>伏流鳞靴</x:v>
      </x:c>
      <x:c r="C174" s="24" t="n">
        <x:v>1</x:v>
      </x:c>
      <x:c r="D174" s="24" t="n">
        <x:v>40</x:v>
      </x:c>
      <x:c r="E174" s="24" t="n">
        <x:f>C174*D174</x:f>
        <x:v>40</x:v>
      </x:c>
      <x:c r="F174" s="19" t="str">
        <x:v>C04-M054</x:v>
      </x:c>
      <x:c r="G174" s="19" t="str">
        <x:v>真实穿戴/图鉴/基础件/洗练备件留用；不计同时分解</x:v>
      </x:c>
    </x:row>
    <x:row r="175" ht="19" customHeight="1">
      <x:c r="A175" s="19" t="n">
        <x:v>4</x:v>
      </x:c>
      <x:c r="B175" s="19" t="str">
        <x:v>祖魂巳蛇</x:v>
      </x:c>
      <x:c r="C175" s="24" t="n">
        <x:v>1</x:v>
      </x:c>
      <x:c r="D175" s="24" t="n">
        <x:v>40</x:v>
      </x:c>
      <x:c r="E175" s="24" t="n">
        <x:f>C175*D175</x:f>
        <x:v>40</x:v>
      </x:c>
      <x:c r="F175" s="19" t="str">
        <x:v>EL-MON-LIM-MIST-010</x:v>
      </x:c>
      <x:c r="G175" s="19" t="str">
        <x:v>真实穿戴/图鉴/基础件/洗练备件留用；不计同时分解</x:v>
      </x:c>
    </x:row>
    <x:row r="176" ht="19" customHeight="1">
      <x:c r="A176" s="19" t="n">
        <x:v>4</x:v>
      </x:c>
      <x:c r="B176" s="19" t="str">
        <x:v>罗缇的回流剑</x:v>
      </x:c>
      <x:c r="C176" s="24" t="n">
        <x:v>1</x:v>
      </x:c>
      <x:c r="D176" s="24" t="n">
        <x:v>160</x:v>
      </x:c>
      <x:c r="E176" s="24" t="n">
        <x:f>C176*D176</x:f>
        <x:v>160</x:v>
      </x:c>
      <x:c r="F176" s="19" t="str">
        <x:v>C04-M059</x:v>
      </x:c>
      <x:c r="G176" s="19" t="str">
        <x:v>真实穿戴/图鉴/基础件/洗练备件留用；不计同时分解</x:v>
      </x:c>
    </x:row>
    <x:row r="177" ht="19" customHeight="1">
      <x:c r="A177" s="19" t="n">
        <x:v>4</x:v>
      </x:c>
      <x:c r="B177" s="19" t="str">
        <x:v>溺客灯坠</x:v>
      </x:c>
      <x:c r="C177" s="24" t="n">
        <x:v>1</x:v>
      </x:c>
      <x:c r="D177" s="24" t="n">
        <x:v>80</x:v>
      </x:c>
      <x:c r="E177" s="24" t="n">
        <x:f>C177*D177</x:f>
        <x:v>80</x:v>
      </x:c>
      <x:c r="F177" s="19" t="str">
        <x:v>C04-M010</x:v>
      </x:c>
      <x:c r="G177" s="19" t="str">
        <x:v>真实穿戴/图鉴/基础件/洗练备件留用；不计同时分解</x:v>
      </x:c>
    </x:row>
    <x:row r="178" ht="19" customHeight="1">
      <x:c r="A178" s="19" t="n">
        <x:v>4</x:v>
      </x:c>
      <x:c r="B178" s="19" t="str">
        <x:v>潜壁短钩</x:v>
      </x:c>
      <x:c r="C178" s="24" t="n">
        <x:v>2</x:v>
      </x:c>
      <x:c r="D178" s="24" t="n">
        <x:v>40</x:v>
      </x:c>
      <x:c r="E178" s="24" t="n">
        <x:f>C178*D178</x:f>
        <x:v>80</x:v>
      </x:c>
      <x:c r="F178" s="19" t="str">
        <x:v>C04-M061</x:v>
      </x:c>
      <x:c r="G178" s="19" t="str">
        <x:v>真实穿戴/图鉴/基础件/洗练备件留用；不计同时分解</x:v>
      </x:c>
    </x:row>
    <x:row r="179" ht="19" customHeight="1">
      <x:c r="A179" s="19" t="n">
        <x:v>4</x:v>
      </x:c>
      <x:c r="B179" s="19" t="str">
        <x:v>滤水蚌盔</x:v>
      </x:c>
      <x:c r="C179" s="24" t="n">
        <x:v>1</x:v>
      </x:c>
      <x:c r="D179" s="24" t="n">
        <x:v>40</x:v>
      </x:c>
      <x:c r="E179" s="24" t="n">
        <x:f>C179*D179</x:f>
        <x:v>40</x:v>
      </x:c>
      <x:c r="F179" s="19" t="str">
        <x:v>C04-M063</x:v>
      </x:c>
      <x:c r="G179" s="19" t="str">
        <x:v>真实穿戴/图鉴/基础件/洗练备件留用；不计同时分解</x:v>
      </x:c>
    </x:row>
    <x:row r="180" ht="19" customHeight="1">
      <x:c r="A180" s="19" t="n">
        <x:v>4</x:v>
      </x:c>
      <x:c r="B180" s="19" t="str">
        <x:v>守渠锈衣</x:v>
      </x:c>
      <x:c r="C180" s="24" t="n">
        <x:v>1</x:v>
      </x:c>
      <x:c r="D180" s="24" t="n">
        <x:v>40</x:v>
      </x:c>
      <x:c r="E180" s="24" t="n">
        <x:f>C180*D180</x:f>
        <x:v>40</x:v>
      </x:c>
      <x:c r="F180" s="19" t="str">
        <x:v>C04-M064</x:v>
      </x:c>
      <x:c r="G180" s="19" t="str">
        <x:v>真实穿戴/图鉴/基础件/洗练备件留用；不计同时分解</x:v>
      </x:c>
    </x:row>
    <x:row r="181" ht="19" customHeight="1">
      <x:c r="A181" s="19" t="n">
        <x:v>4</x:v>
      </x:c>
      <x:c r="B181" s="19" t="str">
        <x:v>幽灯鱼坠</x:v>
      </x:c>
      <x:c r="C181" s="24" t="n">
        <x:v>1</x:v>
      </x:c>
      <x:c r="D181" s="24" t="n">
        <x:v>40</x:v>
      </x:c>
      <x:c r="E181" s="24" t="n">
        <x:f>C181*D181</x:f>
        <x:v>40</x:v>
      </x:c>
      <x:c r="F181" s="19" t="str">
        <x:v>C04-M065</x:v>
      </x:c>
      <x:c r="G181" s="19" t="str">
        <x:v>真实穿戴/图鉴/基础件/洗练备件留用；不计同时分解</x:v>
      </x:c>
    </x:row>
    <x:row r="182" ht="19" customHeight="1">
      <x:c r="A182" s="19" t="n">
        <x:v>4</x:v>
      </x:c>
      <x:c r="B182" s="19" t="str">
        <x:v>蓝焰祷戒</x:v>
      </x:c>
      <x:c r="C182" s="24" t="n">
        <x:v>5</x:v>
      </x:c>
      <x:c r="D182" s="24" t="n">
        <x:v>80</x:v>
      </x:c>
      <x:c r="E182" s="24" t="n">
        <x:f>C182*D182</x:f>
        <x:v>400</x:v>
      </x:c>
      <x:c r="F182" s="19" t="str">
        <x:v>C04-M021</x:v>
      </x:c>
      <x:c r="G182" s="19" t="str">
        <x:v>真实穿戴/图鉴/基础件/洗练备件留用；不计同时分解</x:v>
      </x:c>
    </x:row>
    <x:row r="183" ht="19" customHeight="1">
      <x:c r="A183" s="19" t="n">
        <x:v>4</x:v>
      </x:c>
      <x:c r="B183" s="19" t="str">
        <x:v>湖尸钥戒</x:v>
      </x:c>
      <x:c r="C183" s="24" t="n">
        <x:v>4</x:v>
      </x:c>
      <x:c r="D183" s="24" t="n">
        <x:v>80</x:v>
      </x:c>
      <x:c r="E183" s="24" t="n">
        <x:f>C183*D183</x:f>
        <x:v>320</x:v>
      </x:c>
      <x:c r="F183" s="19" t="str">
        <x:v>C04-M069</x:v>
      </x:c>
      <x:c r="G183" s="19" t="str">
        <x:v>真实穿戴/图鉴/基础件/洗练备件留用；不计同时分解</x:v>
      </x:c>
    </x:row>
    <x:row r="184" ht="19" customHeight="1">
      <x:c r="A184" s="19" t="n">
        <x:v>4</x:v>
      </x:c>
      <x:c r="B184" s="19" t="str">
        <x:v>塞芙拉无声衣</x:v>
      </x:c>
      <x:c r="C184" s="24" t="n">
        <x:v>2</x:v>
      </x:c>
      <x:c r="D184" s="24" t="n">
        <x:v>160</x:v>
      </x:c>
      <x:c r="E184" s="24" t="n">
        <x:f>C184*D184</x:f>
        <x:v>320</x:v>
      </x:c>
      <x:c r="F184" s="19" t="str">
        <x:v>C04-M024</x:v>
      </x:c>
      <x:c r="G184" s="19" t="str">
        <x:v>真实穿戴/图鉴/基础件/洗练备件留用；不计同时分解</x:v>
      </x:c>
    </x:row>
    <x:row r="185" ht="19" customHeight="1">
      <x:c r="A185" s="19" t="n">
        <x:v>4</x:v>
      </x:c>
      <x:c r="B185" s="19" t="str">
        <x:v>阿涅的誓渠枪</x:v>
      </x:c>
      <x:c r="C185" s="24" t="n">
        <x:v>1</x:v>
      </x:c>
      <x:c r="D185" s="24" t="n">
        <x:v>160</x:v>
      </x:c>
      <x:c r="E185" s="24" t="n">
        <x:f>C185*D185</x:f>
        <x:v>160</x:v>
      </x:c>
      <x:c r="F185" s="19" t="str">
        <x:v>C04-M071</x:v>
      </x:c>
      <x:c r="G185" s="19" t="str">
        <x:v>真实穿戴/图鉴/基础件/洗练备件留用；不计同时分解</x:v>
      </x:c>
    </x:row>
    <x:row r="186" ht="19" customHeight="1">
      <x:c r="A186" s="19" t="n">
        <x:v>4</x:v>
      </x:c>
      <x:c r="B186" s="19" t="str">
        <x:v>芦针腕环</x:v>
      </x:c>
      <x:c r="C186" s="24" t="n">
        <x:v>1</x:v>
      </x:c>
      <x:c r="D186" s="24" t="n">
        <x:v>40</x:v>
      </x:c>
      <x:c r="E186" s="24" t="n">
        <x:f>C186*D186</x:f>
        <x:v>40</x:v>
      </x:c>
      <x:c r="F186" s="19" t="str">
        <x:v>C04-M003</x:v>
      </x:c>
      <x:c r="G186" s="19" t="str">
        <x:v>真实穿戴/图鉴/基础件/洗练备件留用；不计同时分解</x:v>
      </x:c>
    </x:row>
    <x:row r="187" ht="19" customHeight="1">
      <x:c r="A187" s="19" t="n">
        <x:v>4</x:v>
      </x:c>
      <x:c r="B187" s="19" t="str">
        <x:v>葛弥的雾齿叉</x:v>
      </x:c>
      <x:c r="C187" s="24" t="n">
        <x:v>1</x:v>
      </x:c>
      <x:c r="D187" s="24" t="n">
        <x:v>160</x:v>
      </x:c>
      <x:c r="E187" s="24" t="n">
        <x:f>C187*D187</x:f>
        <x:v>160</x:v>
      </x:c>
      <x:c r="F187" s="19" t="str">
        <x:v>C04-M011</x:v>
      </x:c>
      <x:c r="G187" s="19" t="str">
        <x:v>真实穿戴/图鉴/基础件/洗练备件留用；不计同时分解</x:v>
      </x:c>
    </x:row>
    <x:row r="188" ht="19" customHeight="1">
      <x:c r="A188" s="19" t="n">
        <x:v>4</x:v>
      </x:c>
      <x:c r="B188" s="19" t="str">
        <x:v>银腹鳄甲</x:v>
      </x:c>
      <x:c r="C188" s="24" t="n">
        <x:v>1</x:v>
      </x:c>
      <x:c r="D188" s="24" t="n">
        <x:v>80</x:v>
      </x:c>
      <x:c r="E188" s="24" t="n">
        <x:f>C188*D188</x:f>
        <x:v>80</x:v>
      </x:c>
      <x:c r="F188" s="19" t="str">
        <x:v>C04-M008</x:v>
      </x:c>
      <x:c r="G188" s="19" t="str">
        <x:v>真实穿戴/图鉴/基础件/洗练备件留用；不计同时分解</x:v>
      </x:c>
    </x:row>
    <x:row r="189" ht="19" customHeight="1">
      <x:c r="A189" s="19" t="n">
        <x:v>4</x:v>
      </x:c>
      <x:c r="B189" s="19" t="str">
        <x:v>雾脚蹼靴</x:v>
      </x:c>
      <x:c r="C189" s="24" t="n">
        <x:v>1</x:v>
      </x:c>
      <x:c r="D189" s="24" t="n">
        <x:v>40</x:v>
      </x:c>
      <x:c r="E189" s="24" t="n">
        <x:f>C189*D189</x:f>
        <x:v>40</x:v>
      </x:c>
      <x:c r="F189" s="19" t="str">
        <x:v>C04-M001</x:v>
      </x:c>
      <x:c r="G189" s="19" t="str">
        <x:v>真实穿戴/图鉴/基础件/洗练备件留用；不计同时分解</x:v>
      </x:c>
    </x:row>
    <x:row r="190" ht="19" customHeight="1">
      <x:c r="A190" s="19" t="n">
        <x:v>4</x:v>
      </x:c>
      <x:c r="B190" s="19" t="str">
        <x:v>供盏腕轮</x:v>
      </x:c>
      <x:c r="C190" s="24" t="n">
        <x:v>1</x:v>
      </x:c>
      <x:c r="D190" s="24" t="n">
        <x:v>40</x:v>
      </x:c>
      <x:c r="E190" s="24" t="n">
        <x:f>C190*D190</x:f>
        <x:v>40</x:v>
      </x:c>
      <x:c r="F190" s="19" t="str">
        <x:v>C04-M018</x:v>
      </x:c>
      <x:c r="G190" s="19" t="str">
        <x:v>真实穿戴/图鉴/基础件/洗练备件留用；不计同时分解</x:v>
      </x:c>
    </x:row>
    <x:row r="191" ht="19" customHeight="1">
      <x:c r="A191" s="19" t="n">
        <x:v>4</x:v>
      </x:c>
      <x:c r="B191" s="19" t="str">
        <x:v>双螯束带</x:v>
      </x:c>
      <x:c r="C191" s="24" t="n">
        <x:v>1</x:v>
      </x:c>
      <x:c r="D191" s="24" t="n">
        <x:v>80</x:v>
      </x:c>
      <x:c r="E191" s="24" t="n">
        <x:f>C191*D191</x:f>
        <x:v>80</x:v>
      </x:c>
      <x:c r="F191" s="19" t="str">
        <x:v>C04-M022</x:v>
      </x:c>
      <x:c r="G191" s="19" t="str">
        <x:v>真实穿戴/图鉴/基础件/洗练备件留用；不计同时分解</x:v>
      </x:c>
    </x:row>
    <x:row r="192" ht="19" customHeight="1">
      <x:c r="A192" s="19" t="n">
        <x:v>4</x:v>
      </x:c>
      <x:c r="B192" s="19" t="str">
        <x:v>巡潮重盾</x:v>
      </x:c>
      <x:c r="C192" s="24" t="n">
        <x:v>1</x:v>
      </x:c>
      <x:c r="D192" s="24" t="n">
        <x:v>80</x:v>
      </x:c>
      <x:c r="E192" s="24" t="n">
        <x:f>C192*D192</x:f>
        <x:v>80</x:v>
      </x:c>
      <x:c r="F192" s="19" t="str">
        <x:v>C04-M019</x:v>
      </x:c>
      <x:c r="G192" s="19" t="str">
        <x:v>真实穿戴/图鉴/基础件/洗练备件留用；不计同时分解</x:v>
      </x:c>
    </x:row>
    <x:row r="193" ht="19" customHeight="1">
      <x:c r="A193" s="19" t="n">
        <x:v>4</x:v>
      </x:c>
      <x:c r="B193" s="19" t="str">
        <x:v>摩汶的沉水铡</x:v>
      </x:c>
      <x:c r="C193" s="24" t="n">
        <x:v>1</x:v>
      </x:c>
      <x:c r="D193" s="24" t="n">
        <x:v>160</x:v>
      </x:c>
      <x:c r="E193" s="24" t="n">
        <x:f>C193*D193</x:f>
        <x:v>160</x:v>
      </x:c>
      <x:c r="F193" s="19" t="str">
        <x:v>C04-M023</x:v>
      </x:c>
      <x:c r="G193" s="19" t="str">
        <x:v>真实穿戴/图鉴/基础件/洗练备件留用；不计同时分解</x:v>
      </x:c>
    </x:row>
    <x:row r="194" ht="19" customHeight="1">
      <x:c r="A194" s="19" t="n">
        <x:v>4</x:v>
      </x:c>
      <x:c r="B194" s="19" t="str">
        <x:v>无声潮坠</x:v>
      </x:c>
      <x:c r="C194" s="24" t="n">
        <x:v>1</x:v>
      </x:c>
      <x:c r="D194" s="24" t="n">
        <x:v>160</x:v>
      </x:c>
      <x:c r="E194" s="24" t="n">
        <x:f>C194*D194</x:f>
        <x:v>160</x:v>
      </x:c>
      <x:c r="F194" s="19" t="str">
        <x:v>C04-M024</x:v>
      </x:c>
      <x:c r="G194" s="19" t="str">
        <x:v>真实穿戴/图鉴/基础件/洗练备件留用；不计同时分解</x:v>
      </x:c>
    </x:row>
    <x:row r="195" ht="19" customHeight="1">
      <x:c r="A195" s="19" t="n">
        <x:v>4</x:v>
      </x:c>
      <x:c r="B195" s="19" t="str">
        <x:v>湖狮断链坠</x:v>
      </x:c>
      <x:c r="C195" s="24" t="n">
        <x:v>1</x:v>
      </x:c>
      <x:c r="D195" s="24" t="n">
        <x:v>80</x:v>
      </x:c>
      <x:c r="E195" s="24" t="n">
        <x:f>C195*D195</x:f>
        <x:v>80</x:v>
      </x:c>
      <x:c r="F195" s="19" t="str">
        <x:v>C04-M020</x:v>
      </x:c>
      <x:c r="G195" s="19" t="str">
        <x:v>真实穿戴/图鉴/基础件/洗练备件留用；不计同时分解</x:v>
      </x:c>
    </x:row>
    <x:row r="196" ht="19" customHeight="1">
      <x:c r="A196" s="19" t="n">
        <x:v>4</x:v>
      </x:c>
      <x:c r="B196" s="19" t="str">
        <x:v>藻纹石盔</x:v>
      </x:c>
      <x:c r="C196" s="24" t="n">
        <x:v>1</x:v>
      </x:c>
      <x:c r="D196" s="24" t="n">
        <x:v>40</x:v>
      </x:c>
      <x:c r="E196" s="24" t="n">
        <x:f>C196*D196</x:f>
        <x:v>40</x:v>
      </x:c>
      <x:c r="F196" s="19" t="str">
        <x:v>C04-M014</x:v>
      </x:c>
      <x:c r="G196" s="19" t="str">
        <x:v>真实穿戴/图鉴/基础件/洗练备件留用；不计同时分解</x:v>
      </x:c>
    </x:row>
    <x:row r="197" ht="19" customHeight="1">
      <x:c r="A197" s="19" t="n">
        <x:v>4</x:v>
      </x:c>
      <x:c r="B197" s="19" t="str">
        <x:v>伊蕾莎潮婚衣</x:v>
      </x:c>
      <x:c r="C197" s="24" t="n">
        <x:v>1</x:v>
      </x:c>
      <x:c r="D197" s="24" t="n">
        <x:v>160</x:v>
      </x:c>
      <x:c r="E197" s="24" t="n">
        <x:f>C197*D197</x:f>
        <x:v>160</x:v>
      </x:c>
      <x:c r="F197" s="19" t="str">
        <x:v>C04-M036</x:v>
      </x:c>
      <x:c r="G197" s="19" t="str">
        <x:v>真实穿戴/图鉴/基础件/洗练备件留用；不计同时分解</x:v>
      </x:c>
    </x:row>
    <x:row r="198" ht="19" customHeight="1">
      <x:c r="A198" s="19" t="n">
        <x:v>4</x:v>
      </x:c>
      <x:c r="B198" s="19" t="str">
        <x:v>回流锁腕</x:v>
      </x:c>
      <x:c r="C198" s="24" t="n">
        <x:v>1</x:v>
      </x:c>
      <x:c r="D198" s="24" t="n">
        <x:v>160</x:v>
      </x:c>
      <x:c r="E198" s="24" t="n">
        <x:f>C198*D198</x:f>
        <x:v>160</x:v>
      </x:c>
      <x:c r="F198" s="19" t="str">
        <x:v>C04-M036</x:v>
      </x:c>
      <x:c r="G198" s="19" t="str">
        <x:v>真实穿戴/图鉴/基础件/洗练备件留用；不计同时分解</x:v>
      </x:c>
    </x:row>
    <x:row r="199" ht="19" customHeight="1">
      <x:c r="A199" s="19" t="n">
        <x:v>4</x:v>
      </x:c>
      <x:c r="B199" s="19" t="str">
        <x:v>墓舱壳盾</x:v>
      </x:c>
      <x:c r="C199" s="24" t="n">
        <x:v>1</x:v>
      </x:c>
      <x:c r="D199" s="24" t="n">
        <x:v>40</x:v>
      </x:c>
      <x:c r="E199" s="24" t="n">
        <x:f>C199*D199</x:f>
        <x:v>40</x:v>
      </x:c>
      <x:c r="F199" s="19" t="str">
        <x:v>C04-M029</x:v>
      </x:c>
      <x:c r="G199" s="19" t="str">
        <x:v>真实穿戴/图鉴/基础件/洗练备件留用；不计同时分解</x:v>
      </x:c>
    </x:row>
    <x:row r="200" ht="19" customHeight="1">
      <x:c r="A200" s="19" t="n">
        <x:v>4</x:v>
      </x:c>
      <x:c r="B200" s="19" t="str">
        <x:v>奥杜的锁舱刀</x:v>
      </x:c>
      <x:c r="C200" s="24" t="n">
        <x:v>1</x:v>
      </x:c>
      <x:c r="D200" s="24" t="n">
        <x:v>160</x:v>
      </x:c>
      <x:c r="E200" s="24" t="n">
        <x:f>C200*D200</x:f>
        <x:v>160</x:v>
      </x:c>
      <x:c r="F200" s="19" t="str">
        <x:v>C04-M035</x:v>
      </x:c>
      <x:c r="G200" s="19" t="str">
        <x:v>真实穿戴/图鉴/基础件/洗练备件留用；不计同时分解</x:v>
      </x:c>
    </x:row>
    <x:row r="201" ht="19" customHeight="1">
      <x:c r="A201" s="19" t="n">
        <x:v>4</x:v>
      </x:c>
      <x:c r="B201" s="19" t="str">
        <x:v>棺钉指环</x:v>
      </x:c>
      <x:c r="C201" s="24" t="n">
        <x:v>1</x:v>
      </x:c>
      <x:c r="D201" s="24" t="n">
        <x:v>80</x:v>
      </x:c>
      <x:c r="E201" s="24" t="n">
        <x:f>C201*D201</x:f>
        <x:v>80</x:v>
      </x:c>
      <x:c r="F201" s="19" t="str">
        <x:v>C04-M033</x:v>
      </x:c>
      <x:c r="G201" s="19" t="str">
        <x:v>真实穿戴/图鉴/基础件/洗练备件留用；不计同时分解</x:v>
      </x:c>
    </x:row>
    <x:row r="202" ht="19" customHeight="1">
      <x:c r="A202" s="19" t="n">
        <x:v>4</x:v>
      </x:c>
      <x:c r="B202" s="19" t="str">
        <x:v>白鳍浪客笠</x:v>
      </x:c>
      <x:c r="C202" s="24" t="n">
        <x:v>1</x:v>
      </x:c>
      <x:c r="D202" s="24" t="n">
        <x:v>80</x:v>
      </x:c>
      <x:c r="E202" s="24" t="n">
        <x:f>C202*D202</x:f>
        <x:v>80</x:v>
      </x:c>
      <x:c r="F202" s="19" t="str">
        <x:v>C04-M031</x:v>
      </x:c>
      <x:c r="G202" s="19" t="str">
        <x:v>真实穿戴/图鉴/基础件/洗练备件留用；不计同时分解</x:v>
      </x:c>
    </x:row>
    <x:row r="203" ht="19" customHeight="1">
      <x:c r="A203" s="19" t="n">
        <x:v>4</x:v>
      </x:c>
      <x:c r="B203" s="19" t="str">
        <x:v>盐裹尸衣</x:v>
      </x:c>
      <x:c r="C203" s="24" t="n">
        <x:v>1</x:v>
      </x:c>
      <x:c r="D203" s="24" t="n">
        <x:v>40</x:v>
      </x:c>
      <x:c r="E203" s="24" t="n">
        <x:f>C203*D203</x:f>
        <x:v>40</x:v>
      </x:c>
      <x:c r="F203" s="19" t="str">
        <x:v>C04-M030</x:v>
      </x:c>
      <x:c r="G203" s="19" t="str">
        <x:v>真实穿戴/图鉴/基础件/洗练备件留用；不计同时分解</x:v>
      </x:c>
    </x:row>
    <x:row r="204" ht="19" customHeight="1">
      <x:c r="A204" s="19" t="n">
        <x:v>4</x:v>
      </x:c>
      <x:c r="B204" s="19" t="str">
        <x:v>老舵手镯</x:v>
      </x:c>
      <x:c r="C204" s="24" t="n">
        <x:v>1</x:v>
      </x:c>
      <x:c r="D204" s="24" t="n">
        <x:v>80</x:v>
      </x:c>
      <x:c r="E204" s="24" t="n">
        <x:f>C204*D204</x:f>
        <x:v>80</x:v>
      </x:c>
      <x:c r="F204" s="19" t="str">
        <x:v>C04-M032</x:v>
      </x:c>
      <x:c r="G204" s="19" t="str">
        <x:v>真实穿戴/图鉴/基础件/洗练备件留用；不计同时分解</x:v>
      </x:c>
    </x:row>
    <x:row r="205" ht="19" customHeight="1">
      <x:c r="A205" s="19" t="n">
        <x:v>4</x:v>
      </x:c>
      <x:c r="B205" s="19" t="str">
        <x:v>锚齿鱼盔</x:v>
      </x:c>
      <x:c r="C205" s="24" t="n">
        <x:v>1</x:v>
      </x:c>
      <x:c r="D205" s="24" t="n">
        <x:v>80</x:v>
      </x:c>
      <x:c r="E205" s="24" t="n">
        <x:f>C205*D205</x:f>
        <x:v>80</x:v>
      </x:c>
      <x:c r="F205" s="19" t="str">
        <x:v>C04-M034</x:v>
      </x:c>
      <x:c r="G205" s="19" t="str">
        <x:v>真实穿戴/图鉴/基础件/洗练备件留用；不计同时分解</x:v>
      </x:c>
    </x:row>
    <x:row r="206" ht="19" customHeight="1">
      <x:c r="A206" s="19" t="n">
        <x:v>4</x:v>
      </x:c>
      <x:c r="B206" s="19" t="str">
        <x:v>倒桅瞭望笠</x:v>
      </x:c>
      <x:c r="C206" s="24" t="n">
        <x:v>1</x:v>
      </x:c>
      <x:c r="D206" s="24" t="n">
        <x:v>80</x:v>
      </x:c>
      <x:c r="E206" s="24" t="n">
        <x:f>C206*D206</x:f>
        <x:v>80</x:v>
      </x:c>
      <x:c r="F206" s="19" t="str">
        <x:v>C04-M043</x:v>
      </x:c>
      <x:c r="G206" s="19" t="str">
        <x:v>真实穿戴/图鉴/基础件/洗练备件留用；不计同时分解</x:v>
      </x:c>
    </x:row>
    <x:row r="207" ht="19" customHeight="1">
      <x:c r="A207" s="19" t="n">
        <x:v>4</x:v>
      </x:c>
      <x:c r="B207" s="19" t="str">
        <x:v>引魂铜铃链</x:v>
      </x:c>
      <x:c r="C207" s="24" t="n">
        <x:v>1</x:v>
      </x:c>
      <x:c r="D207" s="24" t="n">
        <x:v>40</x:v>
      </x:c>
      <x:c r="E207" s="24" t="n">
        <x:f>C207*D207</x:f>
        <x:v>40</x:v>
      </x:c>
      <x:c r="F207" s="19" t="str">
        <x:v>C04-M040</x:v>
      </x:c>
      <x:c r="G207" s="19" t="str">
        <x:v>真实穿戴/图鉴/基础件/洗练备件留用；不计同时分解</x:v>
      </x:c>
    </x:row>
    <x:row r="208" ht="19" customHeight="1">
      <x:c r="A208" s="19" t="n">
        <x:v>4</x:v>
      </x:c>
      <x:c r="B208" s="19" t="str">
        <x:v>桨官铁盾</x:v>
      </x:c>
      <x:c r="C208" s="24" t="n">
        <x:v>1</x:v>
      </x:c>
      <x:c r="D208" s="24" t="n">
        <x:v>80</x:v>
      </x:c>
      <x:c r="E208" s="24" t="n">
        <x:f>C208*D208</x:f>
        <x:v>80</x:v>
      </x:c>
      <x:c r="F208" s="19" t="str">
        <x:v>C04-M044</x:v>
      </x:c>
      <x:c r="G208" s="19" t="str">
        <x:v>真实穿戴/图鉴/基础件/洗练备件留用；不计同时分解</x:v>
      </x:c>
    </x:row>
    <x:row r="209" ht="19" customHeight="1">
      <x:c r="A209" s="19" t="n">
        <x:v>4</x:v>
      </x:c>
      <x:c r="B209" s="19" t="str">
        <x:v>沃姆吞魂舱甲</x:v>
      </x:c>
      <x:c r="C209" s="24" t="n">
        <x:v>1</x:v>
      </x:c>
      <x:c r="D209" s="24" t="n">
        <x:v>160</x:v>
      </x:c>
      <x:c r="E209" s="24" t="n">
        <x:f>C209*D209</x:f>
        <x:v>160</x:v>
      </x:c>
      <x:c r="F209" s="19" t="str">
        <x:v>C04-M048</x:v>
      </x:c>
      <x:c r="G209" s="19" t="str">
        <x:v>真实穿戴/图鉴/基础件/洗练备件留用；不计同时分解</x:v>
      </x:c>
    </x:row>
    <x:row r="210" ht="19" customHeight="1">
      <x:c r="A210" s="19" t="n">
        <x:v>4</x:v>
      </x:c>
      <x:c r="B210" s="19" t="str">
        <x:v>赫岚的幽舵刃</x:v>
      </x:c>
      <x:c r="C210" s="24" t="n">
        <x:v>1</x:v>
      </x:c>
      <x:c r="D210" s="24" t="n">
        <x:v>160</x:v>
      </x:c>
      <x:c r="E210" s="24" t="n">
        <x:f>C210*D210</x:f>
        <x:v>160</x:v>
      </x:c>
      <x:c r="F210" s="19" t="str">
        <x:v>C04-M047</x:v>
      </x:c>
      <x:c r="G210" s="19" t="str">
        <x:v>真实穿戴/图鉴/基础件/洗练备件留用；不计同时分解</x:v>
      </x:c>
    </x:row>
    <x:row r="211" ht="19" customHeight="1">
      <x:c r="A211" s="19" t="n">
        <x:v>5</x:v>
      </x:c>
      <x:c r="B211" s="19" t="str">
        <x:v>雾汐踏波履</x:v>
      </x:c>
      <x:c r="C211" s="24" t="n">
        <x:v>1</x:v>
      </x:c>
      <x:c r="D211" s="24" t="n">
        <x:v>50</x:v>
      </x:c>
      <x:c r="E211" s="24" t="n">
        <x:f>C211*D211</x:f>
        <x:v>50</x:v>
      </x:c>
      <x:c r="F211" s="19" t="str">
        <x:v>C05-M001</x:v>
      </x:c>
      <x:c r="G211" s="19" t="str">
        <x:v>真实穿戴/图鉴/基础件/洗练备件留用；不计同时分解</x:v>
      </x:c>
    </x:row>
    <x:row r="212" ht="19" customHeight="1">
      <x:c r="A212" s="19" t="n">
        <x:v>5</x:v>
      </x:c>
      <x:c r="B212" s="19" t="str">
        <x:v>月翳提灯笠</x:v>
      </x:c>
      <x:c r="C212" s="24" t="n">
        <x:v>1</x:v>
      </x:c>
      <x:c r="D212" s="24" t="n">
        <x:v>50</x:v>
      </x:c>
      <x:c r="E212" s="24" t="n">
        <x:f>C212*D212</x:f>
        <x:v>50</x:v>
      </x:c>
      <x:c r="F212" s="19" t="str">
        <x:v>C05-M003</x:v>
      </x:c>
      <x:c r="G212" s="19" t="str">
        <x:v>真实穿戴/图鉴/基础件/洗练备件留用；不计同时分解</x:v>
      </x:c>
    </x:row>
    <x:row r="213" ht="19" customHeight="1">
      <x:c r="A213" s="19" t="n">
        <x:v>5</x:v>
      </x:c>
      <x:c r="B213" s="19" t="str">
        <x:v>凝露蛾月坠</x:v>
      </x:c>
      <x:c r="C213" s="24" t="n">
        <x:v>1</x:v>
      </x:c>
      <x:c r="D213" s="24" t="n">
        <x:v>50</x:v>
      </x:c>
      <x:c r="E213" s="24" t="n">
        <x:f>C213*D213</x:f>
        <x:v>50</x:v>
      </x:c>
      <x:c r="F213" s="19" t="str">
        <x:v>C05-M004</x:v>
      </x:c>
      <x:c r="G213" s="19" t="str">
        <x:v>真实穿戴/图鉴/基础件/洗练备件留用；不计同时分解</x:v>
      </x:c>
    </x:row>
    <x:row r="214" ht="19" customHeight="1">
      <x:c r="A214" s="19" t="n">
        <x:v>5</x:v>
      </x:c>
      <x:c r="B214" s="19" t="str">
        <x:v>静盏银纹镯</x:v>
      </x:c>
      <x:c r="C214" s="24" t="n">
        <x:v>1</x:v>
      </x:c>
      <x:c r="D214" s="24" t="n">
        <x:v>50</x:v>
      </x:c>
      <x:c r="E214" s="24" t="n">
        <x:f>C214*D214</x:f>
        <x:v>50</x:v>
      </x:c>
      <x:c r="F214" s="19" t="str">
        <x:v>C05-M005</x:v>
      </x:c>
      <x:c r="G214" s="19" t="str">
        <x:v>真实穿戴/图鉴/基础件/洗练备件留用；不计同时分解</x:v>
      </x:c>
    </x:row>
    <x:row r="215" ht="19" customHeight="1">
      <x:c r="A215" s="19" t="n">
        <x:v>5</x:v>
      </x:c>
      <x:c r="B215" s="19" t="str">
        <x:v>雷冠申猴</x:v>
      </x:c>
      <x:c r="C215" s="24" t="n">
        <x:v>1</x:v>
      </x:c>
      <x:c r="D215" s="24" t="n">
        <x:v>80</x:v>
      </x:c>
      <x:c r="E215" s="24" t="n">
        <x:f>C215*D215</x:f>
        <x:v>80</x:v>
      </x:c>
      <x:c r="F215" s="19" t="str">
        <x:v>EL-MON-LIM-STORM-011</x:v>
      </x:c>
      <x:c r="G215" s="19" t="str">
        <x:v>真实穿戴/图鉴/基础件/洗练备件留用；不计同时分解</x:v>
      </x:c>
    </x:row>
    <x:row r="216" ht="19" customHeight="1">
      <x:c r="A216" s="19" t="n">
        <x:v>5</x:v>
      </x:c>
      <x:c r="B216" s="19" t="str">
        <x:v>碎辉鳞踏靴</x:v>
      </x:c>
      <x:c r="C216" s="24" t="n">
        <x:v>1</x:v>
      </x:c>
      <x:c r="D216" s="24" t="n">
        <x:v>50</x:v>
      </x:c>
      <x:c r="E216" s="24" t="n">
        <x:f>C216*D216</x:f>
        <x:v>50</x:v>
      </x:c>
      <x:c r="F216" s="19" t="str">
        <x:v>C05-M013</x:v>
      </x:c>
      <x:c r="G216" s="19" t="str">
        <x:v>真实穿戴/图鉴/基础件/洗练备件留用；不计同时分解</x:v>
      </x:c>
    </x:row>
    <x:row r="217" ht="19" customHeight="1">
      <x:c r="A217" s="19" t="n">
        <x:v>5</x:v>
      </x:c>
      <x:c r="B217" s="19" t="str">
        <x:v>遗刻晶纹镯</x:v>
      </x:c>
      <x:c r="C217" s="24" t="n">
        <x:v>3</x:v>
      </x:c>
      <x:c r="D217" s="24" t="n">
        <x:v>50</x:v>
      </x:c>
      <x:c r="E217" s="24" t="n">
        <x:f>C217*D217</x:f>
        <x:v>150</x:v>
      </x:c>
      <x:c r="F217" s="19" t="str">
        <x:v>C05-M014</x:v>
      </x:c>
      <x:c r="G217" s="19" t="str">
        <x:v>真实穿戴/图鉴/基础件/洗练备件留用；不计同时分解</x:v>
      </x:c>
    </x:row>
    <x:row r="218" ht="19" customHeight="1">
      <x:c r="A218" s="19" t="n">
        <x:v>5</x:v>
      </x:c>
      <x:c r="B218" s="19" t="str">
        <x:v>辉壳束腰</x:v>
      </x:c>
      <x:c r="C218" s="24" t="n">
        <x:v>1</x:v>
      </x:c>
      <x:c r="D218" s="24" t="n">
        <x:v>50</x:v>
      </x:c>
      <x:c r="E218" s="24" t="n">
        <x:f>C218*D218</x:f>
        <x:v>50</x:v>
      </x:c>
      <x:c r="F218" s="19" t="str">
        <x:v>C05-M017</x:v>
      </x:c>
      <x:c r="G218" s="19" t="str">
        <x:v>真实穿戴/图鉴/基础件/洗练备件留用；不计同时分解</x:v>
      </x:c>
    </x:row>
    <x:row r="219" ht="19" customHeight="1">
      <x:c r="A219" s="19" t="n">
        <x:v>5</x:v>
      </x:c>
      <x:c r="B219" s="19" t="str">
        <x:v>悬晶祭辉笠</x:v>
      </x:c>
      <x:c r="C219" s="24" t="n">
        <x:v>2</x:v>
      </x:c>
      <x:c r="D219" s="24" t="n">
        <x:v>50</x:v>
      </x:c>
      <x:c r="E219" s="24" t="n">
        <x:f>C219*D219</x:f>
        <x:v>100</x:v>
      </x:c>
      <x:c r="F219" s="19" t="str">
        <x:v>C05-M018</x:v>
      </x:c>
      <x:c r="G219" s="19" t="str">
        <x:v>真实穿戴/图鉴/基础件/洗练备件留用；不计同时分解</x:v>
      </x:c>
    </x:row>
    <x:row r="220" ht="19" customHeight="1">
      <x:c r="A220" s="19" t="n">
        <x:v>5</x:v>
      </x:c>
      <x:c r="B220" s="19" t="str">
        <x:v>黄金树戒</x:v>
      </x:c>
      <x:c r="C220" s="24" t="n">
        <x:v>2</x:v>
      </x:c>
      <x:c r="D220" s="24" t="n">
        <x:v>40</x:v>
      </x:c>
      <x:c r="E220" s="24" t="n">
        <x:f>C220*D220</x:f>
        <x:v>80</x:v>
      </x:c>
      <x:c r="F220" s="19" t="str">
        <x:v>EL-MON-LIM-MIST-008</x:v>
      </x:c>
      <x:c r="G220" s="19" t="str">
        <x:v>真实穿戴/图鉴/基础件/洗练备件留用；不计同时分解</x:v>
      </x:c>
    </x:row>
    <x:row r="221" ht="19" customHeight="1">
      <x:c r="A221" s="19" t="n">
        <x:v>5</x:v>
      </x:c>
      <x:c r="B221" s="19" t="str">
        <x:v>青曜噬光戒</x:v>
      </x:c>
      <x:c r="C221" s="24" t="n">
        <x:v>3</x:v>
      </x:c>
      <x:c r="D221" s="24" t="n">
        <x:v>100</x:v>
      </x:c>
      <x:c r="E221" s="24" t="n">
        <x:f>C221*D221</x:f>
        <x:v>300</x:v>
      </x:c>
      <x:c r="F221" s="19" t="str">
        <x:v>C05-M019</x:v>
      </x:c>
      <x:c r="G221" s="19" t="str">
        <x:v>真实穿戴/图鉴/基础件/洗练备件留用；不计同时分解</x:v>
      </x:c>
    </x:row>
    <x:row r="222" ht="19" customHeight="1">
      <x:c r="A222" s="19" t="n">
        <x:v>5</x:v>
      </x:c>
      <x:c r="B222" s="19" t="str">
        <x:v>月纱回音章</x:v>
      </x:c>
      <x:c r="C222" s="24" t="n">
        <x:v>1</x:v>
      </x:c>
      <x:c r="D222" s="24" t="n">
        <x:v>100</x:v>
      </x:c>
      <x:c r="E222" s="24" t="n">
        <x:f>C222*D222</x:f>
        <x:v>100</x:v>
      </x:c>
      <x:c r="F222" s="19" t="str">
        <x:v>C05-M009</x:v>
      </x:c>
      <x:c r="G222" s="19" t="str">
        <x:v>真实穿戴/图鉴/基础件/洗练备件留用；不计同时分解</x:v>
      </x:c>
    </x:row>
    <x:row r="223" ht="19" customHeight="1">
      <x:c r="A223" s="19" t="n">
        <x:v>5</x:v>
      </x:c>
      <x:c r="B223" s="19" t="str">
        <x:v>墨羽校录笠</x:v>
      </x:c>
      <x:c r="C223" s="24" t="n">
        <x:v>1</x:v>
      </x:c>
      <x:c r="D223" s="24" t="n">
        <x:v>50</x:v>
      </x:c>
      <x:c r="E223" s="24" t="n">
        <x:f>C223*D223</x:f>
        <x:v>50</x:v>
      </x:c>
      <x:c r="F223" s="19" t="str">
        <x:v>C05-M025</x:v>
      </x:c>
      <x:c r="G223" s="19" t="str">
        <x:v>真实穿戴/图鉴/基础件/洗练备件留用；不计同时分解</x:v>
      </x:c>
    </x:row>
    <x:row r="224" ht="19" customHeight="1">
      <x:c r="A224" s="19" t="n">
        <x:v>5</x:v>
      </x:c>
      <x:c r="B224" s="19" t="str">
        <x:v>试术银规镯</x:v>
      </x:c>
      <x:c r="C224" s="24" t="n">
        <x:v>3</x:v>
      </x:c>
      <x:c r="D224" s="24" t="n">
        <x:v>50</x:v>
      </x:c>
      <x:c r="E224" s="24" t="n">
        <x:f>C224*D224</x:f>
        <x:v>150</x:v>
      </x:c>
      <x:c r="F224" s="19" t="str">
        <x:v>C05-M026</x:v>
      </x:c>
      <x:c r="G224" s="19" t="str">
        <x:v>真实穿戴/图鉴/基础件/洗练备件留用；不计同时分解</x:v>
      </x:c>
    </x:row>
    <x:row r="225" ht="19" customHeight="1">
      <x:c r="A225" s="19" t="n">
        <x:v>5</x:v>
      </x:c>
      <x:c r="B225" s="19" t="str">
        <x:v>缄印粉屑戒</x:v>
      </x:c>
      <x:c r="C225" s="24" t="n">
        <x:v>1</x:v>
      </x:c>
      <x:c r="D225" s="24" t="n">
        <x:v>50</x:v>
      </x:c>
      <x:c r="E225" s="24" t="n">
        <x:f>C225*D225</x:f>
        <x:v>50</x:v>
      </x:c>
      <x:c r="F225" s="19" t="str">
        <x:v>C05-M027</x:v>
      </x:c>
      <x:c r="G225" s="19" t="str">
        <x:v>真实穿戴/图鉴/基础件/洗练备件留用；不计同时分解</x:v>
      </x:c>
    </x:row>
    <x:row r="226" ht="19" customHeight="1">
      <x:c r="A226" s="19" t="n">
        <x:v>5</x:v>
      </x:c>
      <x:c r="B226" s="19" t="str">
        <x:v>锁页秘文链</x:v>
      </x:c>
      <x:c r="C226" s="24" t="n">
        <x:v>1</x:v>
      </x:c>
      <x:c r="D226" s="24" t="n">
        <x:v>50</x:v>
      </x:c>
      <x:c r="E226" s="24" t="n">
        <x:f>C226*D226</x:f>
        <x:v>50</x:v>
      </x:c>
      <x:c r="F226" s="19" t="str">
        <x:v>C05-M030</x:v>
      </x:c>
      <x:c r="G226" s="19" t="str">
        <x:v>真实穿戴/图鉴/基础件/洗练备件留用；不计同时分解</x:v>
      </x:c>
    </x:row>
    <x:row r="227" ht="19" customHeight="1">
      <x:c r="A227" s="19" t="n">
        <x:v>5</x:v>
      </x:c>
      <x:c r="B227" s="19" t="str">
        <x:v>汲月雾绦</x:v>
      </x:c>
      <x:c r="C227" s="24" t="n">
        <x:v>1</x:v>
      </x:c>
      <x:c r="D227" s="24" t="n">
        <x:v>100</x:v>
      </x:c>
      <x:c r="E227" s="24" t="n">
        <x:f>C227*D227</x:f>
        <x:v>100</x:v>
      </x:c>
      <x:c r="F227" s="19" t="str">
        <x:v>C05-M007</x:v>
      </x:c>
      <x:c r="G227" s="19" t="str">
        <x:v>真实穿戴/图鉴/基础件/洗练备件留用；不计同时分解</x:v>
      </x:c>
    </x:row>
    <x:row r="228" ht="19" customHeight="1">
      <x:c r="A228" s="19" t="n">
        <x:v>5</x:v>
      </x:c>
      <x:c r="B228" s="19" t="str">
        <x:v>月尘理卷履</x:v>
      </x:c>
      <x:c r="C228" s="24" t="n">
        <x:v>1</x:v>
      </x:c>
      <x:c r="D228" s="24" t="n">
        <x:v>50</x:v>
      </x:c>
      <x:c r="E228" s="24" t="n">
        <x:f>C228*D228</x:f>
        <x:v>50</x:v>
      </x:c>
      <x:c r="F228" s="19" t="str">
        <x:v>C05-M037</x:v>
      </x:c>
      <x:c r="G228" s="19" t="str">
        <x:v>真实穿戴/图鉴/基础件/洗练备件留用；不计同时分解</x:v>
      </x:c>
    </x:row>
    <x:row r="229" ht="19" customHeight="1">
      <x:c r="A229" s="19" t="n">
        <x:v>5</x:v>
      </x:c>
      <x:c r="B229" s="19" t="str">
        <x:v>银页书鸦笠</x:v>
      </x:c>
      <x:c r="C229" s="24" t="n">
        <x:v>1</x:v>
      </x:c>
      <x:c r="D229" s="24" t="n">
        <x:v>50</x:v>
      </x:c>
      <x:c r="E229" s="24" t="n">
        <x:f>C229*D229</x:f>
        <x:v>50</x:v>
      </x:c>
      <x:c r="F229" s="19" t="str">
        <x:v>C05-M038</x:v>
      </x:c>
      <x:c r="G229" s="19" t="str">
        <x:v>真实穿戴/图鉴/基础件/洗练备件留用；不计同时分解</x:v>
      </x:c>
    </x:row>
    <x:row r="230" ht="19" customHeight="1">
      <x:c r="A230" s="19" t="n">
        <x:v>5</x:v>
      </x:c>
      <x:c r="B230" s="19" t="str">
        <x:v>墨潮藏页镯</x:v>
      </x:c>
      <x:c r="C230" s="24" t="n">
        <x:v>4</x:v>
      </x:c>
      <x:c r="D230" s="24" t="n">
        <x:v>50</x:v>
      </x:c>
      <x:c r="E230" s="24" t="n">
        <x:f>C230*D230</x:f>
        <x:v>200</x:v>
      </x:c>
      <x:c r="F230" s="19" t="str">
        <x:v>C05-M041</x:v>
      </x:c>
      <x:c r="G230" s="19" t="str">
        <x:v>真实穿戴/图鉴/基础件/洗练备件留用；不计同时分解</x:v>
      </x:c>
    </x:row>
    <x:row r="231" ht="19" customHeight="1">
      <x:c r="A231" s="19" t="n">
        <x:v>5</x:v>
      </x:c>
      <x:c r="B231" s="19" t="str">
        <x:v>夹页月痕戒</x:v>
      </x:c>
      <x:c r="C231" s="24" t="n">
        <x:v>1</x:v>
      </x:c>
      <x:c r="D231" s="24" t="n">
        <x:v>50</x:v>
      </x:c>
      <x:c r="E231" s="24" t="n">
        <x:f>C231*D231</x:f>
        <x:v>50</x:v>
      </x:c>
      <x:c r="F231" s="19" t="str">
        <x:v>C05-M042</x:v>
      </x:c>
      <x:c r="G231" s="19" t="str">
        <x:v>真实穿戴/图鉴/基础件/洗练备件留用；不计同时分解</x:v>
      </x:c>
    </x:row>
    <x:row r="232" ht="19" customHeight="1">
      <x:c r="A232" s="19" t="n">
        <x:v>5</x:v>
      </x:c>
      <x:c r="B232" s="19" t="str">
        <x:v>沉月镜池华服</x:v>
      </x:c>
      <x:c r="C232" s="24" t="n">
        <x:v>1</x:v>
      </x:c>
      <x:c r="D232" s="24" t="n">
        <x:v>200</x:v>
      </x:c>
      <x:c r="E232" s="24" t="n">
        <x:f>C232*D232</x:f>
        <x:v>200</x:v>
      </x:c>
      <x:c r="F232" s="19" t="str">
        <x:v>C05-M012</x:v>
      </x:c>
      <x:c r="G232" s="19" t="str">
        <x:v>真实穿戴/图鉴/基础件/洗练备件留用；不计同时分解</x:v>
      </x:c>
    </x:row>
    <x:row r="233" ht="19" customHeight="1">
      <x:c r="A233" s="19" t="n">
        <x:v>5</x:v>
      </x:c>
      <x:c r="B233" s="19" t="str">
        <x:v>涟影回波戒</x:v>
      </x:c>
      <x:c r="C233" s="24" t="n">
        <x:v>1</x:v>
      </x:c>
      <x:c r="D233" s="24" t="n">
        <x:v>50</x:v>
      </x:c>
      <x:c r="E233" s="24" t="n">
        <x:f>C233*D233</x:f>
        <x:v>50</x:v>
      </x:c>
      <x:c r="F233" s="19" t="str">
        <x:v>C05-M006</x:v>
      </x:c>
      <x:c r="G233" s="19" t="str">
        <x:v>真实穿戴/图鉴/基础件/洗练备件留用；不计同时分解</x:v>
      </x:c>
    </x:row>
    <x:row r="234" ht="19" customHeight="1">
      <x:c r="A234" s="19" t="n">
        <x:v>5</x:v>
      </x:c>
      <x:c r="B234" s="19" t="str">
        <x:v>月影鳞侍叉</x:v>
      </x:c>
      <x:c r="C234" s="24" t="n">
        <x:v>2</x:v>
      </x:c>
      <x:c r="D234" s="24" t="n">
        <x:v>50</x:v>
      </x:c>
      <x:c r="E234" s="24" t="n">
        <x:f>C234*D234</x:f>
        <x:v>100</x:v>
      </x:c>
      <x:c r="F234" s="19" t="str">
        <x:v>C05-M049</x:v>
      </x:c>
      <x:c r="G234" s="19" t="str">
        <x:v>真实穿戴/图鉴/基础件/洗练备件留用；不计同时分解</x:v>
      </x:c>
    </x:row>
    <x:row r="235" ht="19" customHeight="1">
      <x:c r="A235" s="19" t="n">
        <x:v>5</x:v>
      </x:c>
      <x:c r="B235" s="19" t="str">
        <x:v>月华流扇笠</x:v>
      </x:c>
      <x:c r="C235" s="24" t="n">
        <x:v>1</x:v>
      </x:c>
      <x:c r="D235" s="24" t="n">
        <x:v>50</x:v>
      </x:c>
      <x:c r="E235" s="24" t="n">
        <x:f>C235*D235</x:f>
        <x:v>50</x:v>
      </x:c>
      <x:c r="F235" s="19" t="str">
        <x:v>C05-M051</x:v>
      </x:c>
      <x:c r="G235" s="19" t="str">
        <x:v>真实穿戴/图鉴/基础件/洗练备件留用；不计同时分解</x:v>
      </x:c>
    </x:row>
    <x:row r="236" ht="19" customHeight="1">
      <x:c r="A236" s="19" t="n">
        <x:v>5</x:v>
      </x:c>
      <x:c r="B236" s="19" t="str">
        <x:v>澄潮祭步履</x:v>
      </x:c>
      <x:c r="C236" s="24" t="n">
        <x:v>1</x:v>
      </x:c>
      <x:c r="D236" s="24" t="n">
        <x:v>50</x:v>
      </x:c>
      <x:c r="E236" s="24" t="n">
        <x:f>C236*D236</x:f>
        <x:v>50</x:v>
      </x:c>
      <x:c r="F236" s="19" t="str">
        <x:v>C05-M053</x:v>
      </x:c>
      <x:c r="G236" s="19" t="str">
        <x:v>真实穿戴/图鉴/基础件/洗练备件留用；不计同时分解</x:v>
      </x:c>
    </x:row>
    <x:row r="237" ht="19" customHeight="1">
      <x:c r="A237" s="19" t="n">
        <x:v>5</x:v>
      </x:c>
      <x:c r="B237" s="19" t="str">
        <x:v>月镜游鱼戒</x:v>
      </x:c>
      <x:c r="C237" s="24" t="n">
        <x:v>1</x:v>
      </x:c>
      <x:c r="D237" s="24" t="n">
        <x:v>50</x:v>
      </x:c>
      <x:c r="E237" s="24" t="n">
        <x:f>C237*D237</x:f>
        <x:v>50</x:v>
      </x:c>
      <x:c r="F237" s="19" t="str">
        <x:v>C05-M054</x:v>
      </x:c>
      <x:c r="G237" s="19" t="str">
        <x:v>真实穿戴/图鉴/基础件/洗练备件留用；不计同时分解</x:v>
      </x:c>
    </x:row>
    <x:row r="238" ht="19" customHeight="1">
      <x:c r="A238" s="19" t="n">
        <x:v>5</x:v>
      </x:c>
      <x:c r="B238" s="19" t="str">
        <x:v>苔纹潮壳盾</x:v>
      </x:c>
      <x:c r="C238" s="24" t="n">
        <x:v>1</x:v>
      </x:c>
      <x:c r="D238" s="24" t="n">
        <x:v>50</x:v>
      </x:c>
      <x:c r="E238" s="24" t="n">
        <x:f>C238*D238</x:f>
        <x:v>50</x:v>
      </x:c>
      <x:c r="F238" s="19" t="str">
        <x:v>C05-M002</x:v>
      </x:c>
      <x:c r="G238" s="19" t="str">
        <x:v>真实穿戴/图鉴/基础件/洗练备件留用；不计同时分解</x:v>
      </x:c>
    </x:row>
    <x:row r="239" ht="19" customHeight="1">
      <x:c r="A239" s="19" t="n">
        <x:v>5</x:v>
      </x:c>
      <x:c r="B239" s="19" t="str">
        <x:v>辉石司仪冠</x:v>
      </x:c>
      <x:c r="C239" s="24" t="n">
        <x:v>1</x:v>
      </x:c>
      <x:c r="D239" s="24" t="n">
        <x:v>200</x:v>
      </x:c>
      <x:c r="E239" s="24" t="n">
        <x:f>C239*D239</x:f>
        <x:v>200</x:v>
      </x:c>
      <x:c r="F239" s="19" t="str">
        <x:v>C05-M012</x:v>
      </x:c>
      <x:c r="G239" s="19" t="str">
        <x:v>真实穿戴/图鉴/基础件/洗练备件留用；不计同时分解</x:v>
      </x:c>
    </x:row>
    <x:row r="240" ht="19" customHeight="1">
      <x:c r="A240" s="19" t="n">
        <x:v>5</x:v>
      </x:c>
      <x:c r="B240" s="19" t="str">
        <x:v>断誓侍银剑</x:v>
      </x:c>
      <x:c r="C240" s="24" t="n">
        <x:v>2</x:v>
      </x:c>
      <x:c r="D240" s="24" t="n">
        <x:v>50</x:v>
      </x:c>
      <x:c r="E240" s="24" t="n">
        <x:f>C240*D240</x:f>
        <x:v>100</x:v>
      </x:c>
      <x:c r="F240" s="19" t="str">
        <x:v>C05-M062</x:v>
      </x:c>
      <x:c r="G240" s="19" t="str">
        <x:v>真实穿戴/图鉴/基础件/洗练备件留用；不计同时分解</x:v>
      </x:c>
    </x:row>
    <x:row r="241" ht="19" customHeight="1">
      <x:c r="A241" s="19" t="n">
        <x:v>5</x:v>
      </x:c>
      <x:c r="B241" s="19" t="str">
        <x:v>折月傀镜盾</x:v>
      </x:c>
      <x:c r="C241" s="24" t="n">
        <x:v>1</x:v>
      </x:c>
      <x:c r="D241" s="24" t="n">
        <x:v>50</x:v>
      </x:c>
      <x:c r="E241" s="24" t="n">
        <x:f>C241*D241</x:f>
        <x:v>50</x:v>
      </x:c>
      <x:c r="F241" s="19" t="str">
        <x:v>C05-M063</x:v>
      </x:c>
      <x:c r="G241" s="19" t="str">
        <x:v>真实穿戴/图鉴/基础件/洗练备件留用；不计同时分解</x:v>
      </x:c>
    </x:row>
    <x:row r="242" ht="19" customHeight="1">
      <x:c r="A242" s="19" t="n">
        <x:v>5</x:v>
      </x:c>
      <x:c r="B242" s="19" t="str">
        <x:v>银纹封庭镯</x:v>
      </x:c>
      <x:c r="C242" s="24" t="n">
        <x:v>1</x:v>
      </x:c>
      <x:c r="D242" s="24" t="n">
        <x:v>50</x:v>
      </x:c>
      <x:c r="E242" s="24" t="n">
        <x:f>C242*D242</x:f>
        <x:v>50</x:v>
      </x:c>
      <x:c r="F242" s="19" t="str">
        <x:v>C05-M064</x:v>
      </x:c>
      <x:c r="G242" s="19" t="str">
        <x:v>真实穿戴/图鉴/基础件/洗练备件留用；不计同时分解</x:v>
      </x:c>
    </x:row>
    <x:row r="243" ht="19" customHeight="1">
      <x:c r="A243" s="19" t="n">
        <x:v>5</x:v>
      </x:c>
      <x:c r="B243" s="19" t="str">
        <x:v>噬辉蛾蚀月笠</x:v>
      </x:c>
      <x:c r="C243" s="24" t="n">
        <x:v>1</x:v>
      </x:c>
      <x:c r="D243" s="24" t="n">
        <x:v>50</x:v>
      </x:c>
      <x:c r="E243" s="24" t="n">
        <x:f>C243*D243</x:f>
        <x:v>50</x:v>
      </x:c>
      <x:c r="F243" s="19" t="str">
        <x:v>C05-M065</x:v>
      </x:c>
      <x:c r="G243" s="19" t="str">
        <x:v>真实穿戴/图鉴/基础件/洗练备件留用；不计同时分解</x:v>
      </x:c>
    </x:row>
    <x:row r="244" ht="19" customHeight="1">
      <x:c r="A244" s="19" t="n">
        <x:v>5</x:v>
      </x:c>
      <x:c r="B244" s="19" t="str">
        <x:v>深潮王女权杖</x:v>
      </x:c>
      <x:c r="C244" s="24" t="n">
        <x:v>2</x:v>
      </x:c>
      <x:c r="D244" s="24" t="n">
        <x:v>200</x:v>
      </x:c>
      <x:c r="E244" s="24" t="n">
        <x:f>C244*D244</x:f>
        <x:v>400</x:v>
      </x:c>
      <x:c r="F244" s="19" t="str">
        <x:v>C05-M060</x:v>
      </x:c>
      <x:c r="G244" s="19" t="str">
        <x:v>真实穿戴/图鉴/基础件/洗练备件留用；不计同时分解</x:v>
      </x:c>
    </x:row>
    <x:row r="245" ht="19" customHeight="1">
      <x:c r="A245" s="19" t="n">
        <x:v>5</x:v>
      </x:c>
      <x:c r="B245" s="19" t="str">
        <x:v>摄政灵辉杖</x:v>
      </x:c>
      <x:c r="C245" s="24" t="n">
        <x:v>2</x:v>
      </x:c>
      <x:c r="D245" s="24" t="n">
        <x:v>200</x:v>
      </x:c>
      <x:c r="E245" s="24" t="n">
        <x:f>C245*D245</x:f>
        <x:v>400</x:v>
      </x:c>
      <x:c r="F245" s="19" t="str">
        <x:v>C05-M072</x:v>
      </x:c>
      <x:c r="G245" s="19" t="str">
        <x:v>真实穿戴/图鉴/基础件/洗练备件留用；不计同时分解</x:v>
      </x:c>
    </x:row>
    <x:row r="246" ht="19" customHeight="1">
      <x:c r="A246" s="19" t="n">
        <x:v>5</x:v>
      </x:c>
      <x:c r="B246" s="19" t="str">
        <x:v>无月卯兔</x:v>
      </x:c>
      <x:c r="C246" s="24" t="n">
        <x:v>1</x:v>
      </x:c>
      <x:c r="D246" s="24" t="n">
        <x:v>80</x:v>
      </x:c>
      <x:c r="E246" s="24" t="n">
        <x:f>C246*D246</x:f>
        <x:v>80</x:v>
      </x:c>
      <x:c r="F246" s="19" t="str">
        <x:v>EL-MON-LIM-GATE-012</x:v>
      </x:c>
      <x:c r="G246" s="19" t="str">
        <x:v>真实穿戴/图鉴/基础件/洗练备件留用；不计同时分解</x:v>
      </x:c>
    </x:row>
    <x:row r="247" ht="19" customHeight="1">
      <x:c r="A247" s="19" t="n">
        <x:v>5</x:v>
      </x:c>
      <x:c r="B247" s="19" t="str">
        <x:v>月契封印带</x:v>
      </x:c>
      <x:c r="C247" s="24" t="n">
        <x:v>1</x:v>
      </x:c>
      <x:c r="D247" s="24" t="n">
        <x:v>100</x:v>
      </x:c>
      <x:c r="E247" s="24" t="n">
        <x:f>C247*D247</x:f>
        <x:v>100</x:v>
      </x:c>
      <x:c r="F247" s="19" t="str">
        <x:v>C05-M069</x:v>
      </x:c>
      <x:c r="G247" s="19" t="str">
        <x:v>真实穿戴/图鉴/基础件/洗练备件留用；不计同时分解</x:v>
      </x:c>
    </x:row>
    <x:row r="248" ht="19" customHeight="1">
      <x:c r="A248" s="19" t="n">
        <x:v>5</x:v>
      </x:c>
      <x:c r="B248" s="19" t="str">
        <x:v>镜荷眠梦冠</x:v>
      </x:c>
      <x:c r="C248" s="24" t="n">
        <x:v>1</x:v>
      </x:c>
      <x:c r="D248" s="24" t="n">
        <x:v>100</x:v>
      </x:c>
      <x:c r="E248" s="24" t="n">
        <x:f>C248*D248</x:f>
        <x:v>100</x:v>
      </x:c>
      <x:c r="F248" s="19" t="str">
        <x:v>C05-M008</x:v>
      </x:c>
      <x:c r="G248" s="19" t="str">
        <x:v>真实穿戴/图鉴/基础件/洗练备件留用；不计同时分解</x:v>
      </x:c>
    </x:row>
    <x:row r="249" ht="19" customHeight="1">
      <x:c r="A249" s="19" t="n">
        <x:v>5</x:v>
      </x:c>
      <x:c r="B249" s="19" t="str">
        <x:v>雾冠巡庭刃</x:v>
      </x:c>
      <x:c r="C249" s="24" t="n">
        <x:v>1</x:v>
      </x:c>
      <x:c r="D249" s="24" t="n">
        <x:v>200</x:v>
      </x:c>
      <x:c r="E249" s="24" t="n">
        <x:f>C249*D249</x:f>
        <x:v>200</x:v>
      </x:c>
      <x:c r="F249" s="19" t="str">
        <x:v>C05-M011</x:v>
      </x:c>
      <x:c r="G249" s="19" t="str">
        <x:v>真实穿戴/图鉴/基础件/洗练备件留用；不计同时分解</x:v>
      </x:c>
    </x:row>
    <x:row r="250" ht="19" customHeight="1">
      <x:c r="A250" s="19" t="n">
        <x:v>5</x:v>
      </x:c>
      <x:c r="B250" s="19" t="str">
        <x:v>静潮祷仪袍</x:v>
      </x:c>
      <x:c r="C250" s="24" t="n">
        <x:v>1</x:v>
      </x:c>
      <x:c r="D250" s="24" t="n">
        <x:v>100</x:v>
      </x:c>
      <x:c r="E250" s="24" t="n">
        <x:f>C250*D250</x:f>
        <x:v>100</x:v>
      </x:c>
      <x:c r="F250" s="19" t="str">
        <x:v>C05-M010</x:v>
      </x:c>
      <x:c r="G250" s="19" t="str">
        <x:v>真实穿戴/图鉴/基础件/洗练备件留用；不计同时分解</x:v>
      </x:c>
    </x:row>
    <x:row r="251" ht="19" customHeight="1">
      <x:c r="A251" s="19" t="n">
        <x:v>5</x:v>
      </x:c>
      <x:c r="B251" s="19" t="str">
        <x:v>万棱圣坛鳞衣</x:v>
      </x:c>
      <x:c r="C251" s="24" t="n">
        <x:v>1</x:v>
      </x:c>
      <x:c r="D251" s="24" t="n">
        <x:v>200</x:v>
      </x:c>
      <x:c r="E251" s="24" t="n">
        <x:f>C251*D251</x:f>
        <x:v>200</x:v>
      </x:c>
      <x:c r="F251" s="19" t="str">
        <x:v>C05-M024</x:v>
      </x:c>
      <x:c r="G251" s="19" t="str">
        <x:v>真实穿戴/图鉴/基础件/洗练备件留用；不计同时分解</x:v>
      </x:c>
    </x:row>
    <x:row r="252" ht="19" customHeight="1">
      <x:c r="A252" s="19" t="n">
        <x:v>5</x:v>
      </x:c>
      <x:c r="B252" s="19" t="str">
        <x:v>前庭晶戟勋</x:v>
      </x:c>
      <x:c r="C252" s="24" t="n">
        <x:v>1</x:v>
      </x:c>
      <x:c r="D252" s="24" t="n">
        <x:v>100</x:v>
      </x:c>
      <x:c r="E252" s="24" t="n">
        <x:f>C252*D252</x:f>
        <x:v>100</x:v>
      </x:c>
      <x:c r="F252" s="19" t="str">
        <x:v>C05-M021</x:v>
      </x:c>
      <x:c r="G252" s="19" t="str">
        <x:v>真实穿戴/图鉴/基础件/洗练备件留用；不计同时分解</x:v>
      </x:c>
    </x:row>
    <x:row r="253" ht="19" customHeight="1">
      <x:c r="A253" s="19" t="n">
        <x:v>5</x:v>
      </x:c>
      <x:c r="B253" s="19" t="str">
        <x:v>折光翅晶链</x:v>
      </x:c>
      <x:c r="C253" s="24" t="n">
        <x:v>1</x:v>
      </x:c>
      <x:c r="D253" s="24" t="n">
        <x:v>50</x:v>
      </x:c>
      <x:c r="E253" s="24" t="n">
        <x:f>C253*D253</x:f>
        <x:v>50</x:v>
      </x:c>
      <x:c r="F253" s="19" t="str">
        <x:v>C05-M015</x:v>
      </x:c>
      <x:c r="G253" s="19" t="str">
        <x:v>真实穿戴/图鉴/基础件/洗练备件留用；不计同时分解</x:v>
      </x:c>
    </x:row>
    <x:row r="254" ht="19" customHeight="1">
      <x:c r="A254" s="19" t="n">
        <x:v>5</x:v>
      </x:c>
      <x:c r="B254" s="19" t="str">
        <x:v>星泪誓链</x:v>
      </x:c>
      <x:c r="C254" s="24" t="n">
        <x:v>1</x:v>
      </x:c>
      <x:c r="D254" s="24" t="n">
        <x:v>200</x:v>
      </x:c>
      <x:c r="E254" s="24" t="n">
        <x:f>C254*D254</x:f>
        <x:v>200</x:v>
      </x:c>
      <x:c r="F254" s="19" t="str">
        <x:v>C05-M024</x:v>
      </x:c>
      <x:c r="G254" s="19" t="str">
        <x:v>真实穿戴/图鉴/基础件/洗练备件留用；不计同时分解</x:v>
      </x:c>
    </x:row>
    <x:row r="255" ht="19" customHeight="1">
      <x:c r="A255" s="19" t="n">
        <x:v>5</x:v>
      </x:c>
      <x:c r="B255" s="19" t="str">
        <x:v>棱光术冠</x:v>
      </x:c>
      <x:c r="C255" s="24" t="n">
        <x:v>1</x:v>
      </x:c>
      <x:c r="D255" s="24" t="n">
        <x:v>100</x:v>
      </x:c>
      <x:c r="E255" s="24" t="n">
        <x:f>C255*D255</x:f>
        <x:v>100</x:v>
      </x:c>
      <x:c r="F255" s="19" t="str">
        <x:v>C05-M020</x:v>
      </x:c>
      <x:c r="G255" s="19" t="str">
        <x:v>真实穿戴/图鉴/基础件/洗练备件留用；不计同时分解</x:v>
      </x:c>
    </x:row>
    <x:row r="256" ht="19" customHeight="1">
      <x:c r="A256" s="19" t="n">
        <x:v>5</x:v>
      </x:c>
      <x:c r="B256" s="19" t="str">
        <x:v>砾晶护庭盾</x:v>
      </x:c>
      <x:c r="C256" s="24" t="n">
        <x:v>1</x:v>
      </x:c>
      <x:c r="D256" s="24" t="n">
        <x:v>50</x:v>
      </x:c>
      <x:c r="E256" s="24" t="n">
        <x:f>C256*D256</x:f>
        <x:v>50</x:v>
      </x:c>
      <x:c r="F256" s="19" t="str">
        <x:v>C05-M016</x:v>
      </x:c>
      <x:c r="G256" s="19" t="str">
        <x:v>真实穿戴/图鉴/基础件/洗练备件留用；不计同时分解</x:v>
      </x:c>
    </x:row>
    <x:row r="257" ht="19" customHeight="1">
      <x:c r="A257" s="19" t="n">
        <x:v>5</x:v>
      </x:c>
      <x:c r="B257" s="19" t="str">
        <x:v>裂辉监院长戟</x:v>
      </x:c>
      <x:c r="C257" s="24" t="n">
        <x:v>1</x:v>
      </x:c>
      <x:c r="D257" s="24" t="n">
        <x:v>200</x:v>
      </x:c>
      <x:c r="E257" s="24" t="n">
        <x:f>C257*D257</x:f>
        <x:v>200</x:v>
      </x:c>
      <x:c r="F257" s="19" t="str">
        <x:v>C05-M023</x:v>
      </x:c>
      <x:c r="G257" s="19" t="str">
        <x:v>真实穿戴/图鉴/基础件/洗练备件留用；不计同时分解</x:v>
      </x:c>
    </x:row>
    <x:row r="258" ht="19" customHeight="1">
      <x:c r="A258" s="19" t="n">
        <x:v>5</x:v>
      </x:c>
      <x:c r="B258" s="19" t="str">
        <x:v>辉核铸像衣</x:v>
      </x:c>
      <x:c r="C258" s="24" t="n">
        <x:v>1</x:v>
      </x:c>
      <x:c r="D258" s="24" t="n">
        <x:v>100</x:v>
      </x:c>
      <x:c r="E258" s="24" t="n">
        <x:f>C258*D258</x:f>
        <x:v>100</x:v>
      </x:c>
      <x:c r="F258" s="19" t="str">
        <x:v>C05-M022</x:v>
      </x:c>
      <x:c r="G258" s="19" t="str">
        <x:v>真实穿戴/图鉴/基础件/洗练备件留用；不计同时分解</x:v>
      </x:c>
    </x:row>
    <x:row r="259" ht="19" customHeight="1">
      <x:c r="A259" s="19" t="n">
        <x:v>5</x:v>
      </x:c>
      <x:c r="B259" s="19" t="str">
        <x:v>七印讲堂法杖</x:v>
      </x:c>
      <x:c r="C259" s="24" t="n">
        <x:v>1</x:v>
      </x:c>
      <x:c r="D259" s="24" t="n">
        <x:v>200</x:v>
      </x:c>
      <x:c r="E259" s="24" t="n">
        <x:f>C259*D259</x:f>
        <x:v>200</x:v>
      </x:c>
      <x:c r="F259" s="19" t="str">
        <x:v>C05-M035</x:v>
      </x:c>
      <x:c r="G259" s="19" t="str">
        <x:v>真实穿戴/图鉴/基础件/洗练备件留用；不计同时分解</x:v>
      </x:c>
    </x:row>
    <x:row r="260" ht="19" customHeight="1">
      <x:c r="A260" s="19" t="n">
        <x:v>5</x:v>
      </x:c>
      <x:c r="B260" s="19" t="str">
        <x:v>倒书客勋章</x:v>
      </x:c>
      <x:c r="C260" s="24" t="n">
        <x:v>1</x:v>
      </x:c>
      <x:c r="D260" s="24" t="n">
        <x:v>100</x:v>
      </x:c>
      <x:c r="E260" s="24" t="n">
        <x:f>C260*D260</x:f>
        <x:v>100</x:v>
      </x:c>
      <x:c r="F260" s="19" t="str">
        <x:v>C05-M033</x:v>
      </x:c>
      <x:c r="G260" s="19" t="str">
        <x:v>真实穿戴/图鉴/基础件/洗练备件留用；不计同时分解</x:v>
      </x:c>
    </x:row>
    <x:row r="261" ht="19" customHeight="1">
      <x:c r="A261" s="19" t="n">
        <x:v>5</x:v>
      </x:c>
      <x:c r="B261" s="19" t="str">
        <x:v>卷蠹轻步履</x:v>
      </x:c>
      <x:c r="C261" s="24" t="n">
        <x:v>1</x:v>
      </x:c>
      <x:c r="D261" s="24" t="n">
        <x:v>50</x:v>
      </x:c>
      <x:c r="E261" s="24" t="n">
        <x:f>C261*D261</x:f>
        <x:v>50</x:v>
      </x:c>
      <x:c r="F261" s="19" t="str">
        <x:v>C05-M029</x:v>
      </x:c>
      <x:c r="G261" s="19" t="str">
        <x:v>真实穿戴/图鉴/基础件/洗练备件留用；不计同时分解</x:v>
      </x:c>
    </x:row>
    <x:row r="262" ht="19" customHeight="1">
      <x:c r="A262" s="19" t="n">
        <x:v>5</x:v>
      </x:c>
      <x:c r="B262" s="19" t="str">
        <x:v>星墨活页袍</x:v>
      </x:c>
      <x:c r="C262" s="24" t="n">
        <x:v>1</x:v>
      </x:c>
      <x:c r="D262" s="24" t="n">
        <x:v>100</x:v>
      </x:c>
      <x:c r="E262" s="24" t="n">
        <x:f>C262*D262</x:f>
        <x:v>100</x:v>
      </x:c>
      <x:c r="F262" s="19" t="str">
        <x:v>C05-M034</x:v>
      </x:c>
      <x:c r="G262" s="19" t="str">
        <x:v>真实穿戴/图鉴/基础件/洗练备件留用；不计同时分解</x:v>
      </x:c>
    </x:row>
    <x:row r="263" ht="19" customHeight="1">
      <x:c r="A263" s="19" t="n">
        <x:v>5</x:v>
      </x:c>
      <x:c r="B263" s="19" t="str">
        <x:v>月蚀镜镯</x:v>
      </x:c>
      <x:c r="C263" s="24" t="n">
        <x:v>1</x:v>
      </x:c>
      <x:c r="D263" s="24" t="n">
        <x:v>200</x:v>
      </x:c>
      <x:c r="E263" s="24" t="n">
        <x:f>C263*D263</x:f>
        <x:v>200</x:v>
      </x:c>
      <x:c r="F263" s="19" t="str">
        <x:v>C05-M036</x:v>
      </x:c>
      <x:c r="G263" s="19" t="str">
        <x:v>真实穿戴/图鉴/基础件/洗练备件留用；不计同时分解</x:v>
      </x:c>
    </x:row>
    <x:row r="264" ht="19" customHeight="1">
      <x:c r="A264" s="19" t="n">
        <x:v>5</x:v>
      </x:c>
      <x:c r="B264" s="19" t="str">
        <x:v>禁声讲师冠</x:v>
      </x:c>
      <x:c r="C264" s="24" t="n">
        <x:v>1</x:v>
      </x:c>
      <x:c r="D264" s="24" t="n">
        <x:v>100</x:v>
      </x:c>
      <x:c r="E264" s="24" t="n">
        <x:f>C264*D264</x:f>
        <x:v>100</x:v>
      </x:c>
      <x:c r="F264" s="19" t="str">
        <x:v>C05-M032</x:v>
      </x:c>
      <x:c r="G264" s="19" t="str">
        <x:v>真实穿戴/图鉴/基础件/洗练备件留用；不计同时分解</x:v>
      </x:c>
    </x:row>
    <x:row r="265" ht="19" customHeight="1">
      <x:c r="A265" s="19" t="n">
        <x:v>5</x:v>
      </x:c>
      <x:c r="B265" s="19" t="str">
        <x:v>缄咒讲台盾</x:v>
      </x:c>
      <x:c r="C265" s="24" t="n">
        <x:v>1</x:v>
      </x:c>
      <x:c r="D265" s="24" t="n">
        <x:v>50</x:v>
      </x:c>
      <x:c r="E265" s="24" t="n">
        <x:f>C265*D265</x:f>
        <x:v>50</x:v>
      </x:c>
      <x:c r="F265" s="19" t="str">
        <x:v>C05-M028</x:v>
      </x:c>
      <x:c r="G265" s="19" t="str">
        <x:v>真实穿戴/图鉴/基础件/洗练备件留用；不计同时分解</x:v>
      </x:c>
    </x:row>
    <x:row r="266" ht="19" customHeight="1">
      <x:c r="A266" s="19" t="n">
        <x:v>5</x:v>
      </x:c>
      <x:c r="B266" s="19" t="str">
        <x:v>逆页导师长衣</x:v>
      </x:c>
      <x:c r="C266" s="24" t="n">
        <x:v>1</x:v>
      </x:c>
      <x:c r="D266" s="24" t="n">
        <x:v>200</x:v>
      </x:c>
      <x:c r="E266" s="24" t="n">
        <x:f>C266*D266</x:f>
        <x:v>200</x:v>
      </x:c>
      <x:c r="F266" s="19" t="str">
        <x:v>C05-M036</x:v>
      </x:c>
      <x:c r="G266" s="19" t="str">
        <x:v>真实穿戴/图鉴/基础件/洗练备件留用；不计同时分解</x:v>
      </x:c>
    </x:row>
    <x:row r="267" ht="19" customHeight="1">
      <x:c r="A267" s="19" t="n">
        <x:v>5</x:v>
      </x:c>
      <x:c r="B267" s="19" t="str">
        <x:v>银规巡课束带</x:v>
      </x:c>
      <x:c r="C267" s="24" t="n">
        <x:v>1</x:v>
      </x:c>
      <x:c r="D267" s="24" t="n">
        <x:v>100</x:v>
      </x:c>
      <x:c r="E267" s="24" t="n">
        <x:f>C267*D267</x:f>
        <x:v>100</x:v>
      </x:c>
      <x:c r="F267" s="19" t="str">
        <x:v>C05-M031</x:v>
      </x:c>
      <x:c r="G267" s="19" t="str">
        <x:v>真实穿戴/图鉴/基础件/洗练备件留用；不计同时分解</x:v>
      </x:c>
    </x:row>
    <x:row r="268" ht="19" customHeight="1">
      <x:c r="A268" s="19" t="n">
        <x:v>5</x:v>
      </x:c>
      <x:c r="B268" s="19" t="str">
        <x:v>噤语灯芯坠</x:v>
      </x:c>
      <x:c r="C268" s="24" t="n">
        <x:v>1</x:v>
      </x:c>
      <x:c r="D268" s="24" t="n">
        <x:v>50</x:v>
      </x:c>
      <x:c r="E268" s="24" t="n">
        <x:f>C268*D268</x:f>
        <x:v>50</x:v>
      </x:c>
      <x:c r="F268" s="19" t="str">
        <x:v>C05-M039</x:v>
      </x:c>
      <x:c r="G268" s="19" t="str">
        <x:v>真实穿戴/图鉴/基础件/洗练备件留用；不计同时分解</x:v>
      </x:c>
    </x:row>
    <x:row r="269" ht="19" customHeight="1">
      <x:c r="A269" s="19" t="n">
        <x:v>5</x:v>
      </x:c>
      <x:c r="B269" s="19" t="str">
        <x:v>巡卷傀书盾</x:v>
      </x:c>
      <x:c r="C269" s="24" t="n">
        <x:v>1</x:v>
      </x:c>
      <x:c r="D269" s="24" t="n">
        <x:v>50</x:v>
      </x:c>
      <x:c r="E269" s="24" t="n">
        <x:f>C269*D269</x:f>
        <x:v>50</x:v>
      </x:c>
      <x:c r="F269" s="19" t="str">
        <x:v>C05-M040</x:v>
      </x:c>
      <x:c r="G269" s="19" t="str">
        <x:v>真实穿戴/图鉴/基础件/洗练备件留用；不计同时分解</x:v>
      </x:c>
    </x:row>
    <x:row r="270" ht="19" customHeight="1">
      <x:c r="A270" s="19" t="n">
        <x:v>5</x:v>
      </x:c>
      <x:c r="B270" s="19" t="str">
        <x:v>无声禁典刃</x:v>
      </x:c>
      <x:c r="C270" s="24" t="n">
        <x:v>1</x:v>
      </x:c>
      <x:c r="D270" s="24" t="n">
        <x:v>200</x:v>
      </x:c>
      <x:c r="E270" s="24" t="n">
        <x:f>C270*D270</x:f>
        <x:v>200</x:v>
      </x:c>
      <x:c r="F270" s="19" t="str">
        <x:v>C05-M047</x:v>
      </x:c>
      <x:c r="G270" s="19" t="str">
        <x:v>真实穿戴/图鉴/基础件/洗练备件留用；不计同时分解</x:v>
      </x:c>
    </x:row>
    <x:row r="271" ht="19" customHeight="1">
      <x:c r="A271" s="19" t="n">
        <x:v>6</x:v>
      </x:c>
      <x:c r="B271" s="19" t="str">
        <x:v>墨潮藏页镯</x:v>
      </x:c>
      <x:c r="C271" s="24" t="n">
        <x:v>1</x:v>
      </x:c>
      <x:c r="D271" s="24" t="n">
        <x:v>50</x:v>
      </x:c>
      <x:c r="E271" s="24" t="n">
        <x:f>C271*D271</x:f>
        <x:v>50</x:v>
      </x:c>
      <x:c r="F271" s="19" t="str">
        <x:v>C05-M041</x:v>
      </x:c>
      <x:c r="G271" s="19" t="str">
        <x:v>真实穿戴/图鉴/基础件/洗练备件留用；不计同时分解</x:v>
      </x:c>
    </x:row>
    <x:row r="272" ht="19" customHeight="1">
      <x:c r="A272" s="19" t="n">
        <x:v>6</x:v>
      </x:c>
      <x:c r="B272" s="19" t="str">
        <x:v>拾骸骨盔</x:v>
      </x:c>
      <x:c r="C272" s="24" t="n">
        <x:v>1</x:v>
      </x:c>
      <x:c r="D272" s="24" t="n">
        <x:v>60</x:v>
      </x:c>
      <x:c r="E272" s="24" t="n">
        <x:f>C272*D272</x:f>
        <x:v>60</x:v>
      </x:c>
      <x:c r="F272" s="19" t="str">
        <x:v>C06-M002</x:v>
      </x:c>
      <x:c r="G272" s="19" t="str">
        <x:v>真实穿戴/图鉴/基础件/洗练备件留用；不计同时分解</x:v>
      </x:c>
    </x:row>
    <x:row r="273" ht="19" customHeight="1">
      <x:c r="A273" s="19" t="n">
        <x:v>6</x:v>
      </x:c>
      <x:c r="B273" s="19" t="str">
        <x:v>岩河鳞衣</x:v>
      </x:c>
      <x:c r="C273" s="24" t="n">
        <x:v>3</x:v>
      </x:c>
      <x:c r="D273" s="24" t="n">
        <x:v>60</x:v>
      </x:c>
      <x:c r="E273" s="24" t="n">
        <x:f>C273*D273</x:f>
        <x:v>180</x:v>
      </x:c>
      <x:c r="F273" s="19" t="str">
        <x:v>C06-M003</x:v>
      </x:c>
      <x:c r="G273" s="19" t="str">
        <x:v>真实穿戴/图鉴/基础件/洗练备件留用；不计同时分解</x:v>
      </x:c>
    </x:row>
    <x:row r="274" ht="19" customHeight="1">
      <x:c r="A274" s="19" t="n">
        <x:v>6</x:v>
      </x:c>
      <x:c r="B274" s="19" t="str">
        <x:v>执炭腰封</x:v>
      </x:c>
      <x:c r="C274" s="24" t="n">
        <x:v>1</x:v>
      </x:c>
      <x:c r="D274" s="24" t="n">
        <x:v>60</x:v>
      </x:c>
      <x:c r="E274" s="24" t="n">
        <x:f>C274*D274</x:f>
        <x:v>60</x:v>
      </x:c>
      <x:c r="F274" s="19" t="str">
        <x:v>C06-M004</x:v>
      </x:c>
      <x:c r="G274" s="19" t="str">
        <x:v>真实穿戴/图鉴/基础件/洗练备件留用；不计同时分解</x:v>
      </x:c>
    </x:row>
    <x:row r="275" ht="19" customHeight="1">
      <x:c r="A275" s="19" t="n">
        <x:v>6</x:v>
      </x:c>
      <x:c r="B275" s="19" t="str">
        <x:v>赤螯腕甲</x:v>
      </x:c>
      <x:c r="C275" s="24" t="n">
        <x:v>1</x:v>
      </x:c>
      <x:c r="D275" s="24" t="n">
        <x:v>60</x:v>
      </x:c>
      <x:c r="E275" s="24" t="n">
        <x:f>C275*D275</x:f>
        <x:v>60</x:v>
      </x:c>
      <x:c r="F275" s="19" t="str">
        <x:v>C06-M005</x:v>
      </x:c>
      <x:c r="G275" s="19" t="str">
        <x:v>真实穿戴/图鉴/基础件/洗练备件留用；不计同时分解</x:v>
      </x:c>
    </x:row>
    <x:row r="276" ht="19" customHeight="1">
      <x:c r="A276" s="19" t="n">
        <x:v>6</x:v>
      </x:c>
      <x:c r="B276" s="19" t="str">
        <x:v>腐狱铁链</x:v>
      </x:c>
      <x:c r="C276" s="24" t="n">
        <x:v>3</x:v>
      </x:c>
      <x:c r="D276" s="24" t="n">
        <x:v>60</x:v>
      </x:c>
      <x:c r="E276" s="24" t="n">
        <x:f>C276*D276</x:f>
        <x:v>180</x:v>
      </x:c>
      <x:c r="F276" s="19" t="str">
        <x:v>C06-M013</x:v>
      </x:c>
      <x:c r="G276" s="19" t="str">
        <x:v>真实穿戴/图鉴/基础件/洗练备件留用；不计同时分解</x:v>
      </x:c>
    </x:row>
    <x:row r="277" ht="19" customHeight="1">
      <x:c r="A277" s="19" t="n">
        <x:v>6</x:v>
      </x:c>
      <x:c r="B277" s="19" t="str">
        <x:v>灼刑断刃</x:v>
      </x:c>
      <x:c r="C277" s="24" t="n">
        <x:v>1</x:v>
      </x:c>
      <x:c r="D277" s="24" t="n">
        <x:v>60</x:v>
      </x:c>
      <x:c r="E277" s="24" t="n">
        <x:f>C277*D277</x:f>
        <x:v>60</x:v>
      </x:c>
      <x:c r="F277" s="19" t="str">
        <x:v>C06-M014</x:v>
      </x:c>
      <x:c r="G277" s="19" t="str">
        <x:v>真实穿戴/图鉴/基础件/洗练备件留用；不计同时分解</x:v>
      </x:c>
    </x:row>
    <x:row r="278" ht="19" customHeight="1">
      <x:c r="A278" s="19" t="n">
        <x:v>6</x:v>
      </x:c>
      <x:c r="B278" s="19" t="str">
        <x:v>烙印斗笠</x:v>
      </x:c>
      <x:c r="C278" s="24" t="n">
        <x:v>2</x:v>
      </x:c>
      <x:c r="D278" s="24" t="n">
        <x:v>60</x:v>
      </x:c>
      <x:c r="E278" s="24" t="n">
        <x:f>C278*D278</x:f>
        <x:v>120</x:v>
      </x:c>
      <x:c r="F278" s="19" t="str">
        <x:v>C06-M017</x:v>
      </x:c>
      <x:c r="G278" s="19" t="str">
        <x:v>真实穿戴/图鉴/基础件/洗练备件留用；不计同时分解</x:v>
      </x:c>
    </x:row>
    <x:row r="279" ht="19" customHeight="1">
      <x:c r="A279" s="19" t="n">
        <x:v>6</x:v>
      </x:c>
      <x:c r="B279" s="19" t="str">
        <x:v>锁门重盾</x:v>
      </x:c>
      <x:c r="C279" s="24" t="n">
        <x:v>2</x:v>
      </x:c>
      <x:c r="D279" s="24" t="n">
        <x:v>60</x:v>
      </x:c>
      <x:c r="E279" s="24" t="n">
        <x:f>C279*D279</x:f>
        <x:v>120</x:v>
      </x:c>
      <x:c r="F279" s="19" t="str">
        <x:v>C06-M018</x:v>
      </x:c>
      <x:c r="G279" s="19" t="str">
        <x:v>真实穿戴/图鉴/基础件/洗练备件留用；不计同时分解</x:v>
      </x:c>
    </x:row>
    <x:row r="280" ht="19" customHeight="1">
      <x:c r="A280" s="19" t="n">
        <x:v>6</x:v>
      </x:c>
      <x:c r="B280" s="19" t="str">
        <x:v>巴洛熔拳</x:v>
      </x:c>
      <x:c r="C280" s="24" t="n">
        <x:v>1</x:v>
      </x:c>
      <x:c r="D280" s="24" t="n">
        <x:v>250</x:v>
      </x:c>
      <x:c r="E280" s="24" t="n">
        <x:f>C280*D280</x:f>
        <x:v>250</x:v>
      </x:c>
      <x:c r="F280" s="19" t="str">
        <x:v>C06-M011</x:v>
      </x:c>
      <x:c r="G280" s="19" t="str">
        <x:v>真实穿戴/图鉴/基础件/洗练备件留用；不计同时分解</x:v>
      </x:c>
    </x:row>
    <x:row r="281" ht="19" customHeight="1">
      <x:c r="A281" s="19" t="n">
        <x:v>6</x:v>
      </x:c>
      <x:c r="B281" s="19" t="str">
        <x:v>烬鳞护腕</x:v>
      </x:c>
      <x:c r="C281" s="24" t="n">
        <x:v>5</x:v>
      </x:c>
      <x:c r="D281" s="24" t="n">
        <x:v>60</x:v>
      </x:c>
      <x:c r="E281" s="24" t="n">
        <x:f>C281*D281</x:f>
        <x:v>300</x:v>
      </x:c>
      <x:c r="F281" s="19" t="str">
        <x:v>C06-M025</x:v>
      </x:c>
      <x:c r="G281" s="19" t="str">
        <x:v>真实穿戴/图鉴/基础件/洗练备件留用；不计同时分解</x:v>
      </x:c>
    </x:row>
    <x:row r="282" ht="19" customHeight="1">
      <x:c r="A282" s="19" t="n">
        <x:v>6</x:v>
      </x:c>
      <x:c r="B282" s="19" t="str">
        <x:v>崎路狮盔</x:v>
      </x:c>
      <x:c r="C282" s="24" t="n">
        <x:v>1</x:v>
      </x:c>
      <x:c r="D282" s="24" t="n">
        <x:v>60</x:v>
      </x:c>
      <x:c r="E282" s="24" t="n">
        <x:f>C282*D282</x:f>
        <x:v>60</x:v>
      </x:c>
      <x:c r="F282" s="19" t="str">
        <x:v>C06-M026</x:v>
      </x:c>
      <x:c r="G282" s="19" t="str">
        <x:v>真实穿戴/图鉴/基础件/洗练备件留用；不计同时分解</x:v>
      </x:c>
    </x:row>
    <x:row r="283" ht="19" customHeight="1">
      <x:c r="A283" s="19" t="n">
        <x:v>6</x:v>
      </x:c>
      <x:c r="B283" s="19" t="str">
        <x:v>火弩指环</x:v>
      </x:c>
      <x:c r="C283" s="24" t="n">
        <x:v>1</x:v>
      </x:c>
      <x:c r="D283" s="24" t="n">
        <x:v>60</x:v>
      </x:c>
      <x:c r="E283" s="24" t="n">
        <x:f>C283*D283</x:f>
        <x:v>60</x:v>
      </x:c>
      <x:c r="F283" s="19" t="str">
        <x:v>C06-M027</x:v>
      </x:c>
      <x:c r="G283" s="19" t="str">
        <x:v>真实穿戴/图鉴/基础件/洗练备件留用；不计同时分解</x:v>
      </x:c>
    </x:row>
    <x:row r="284" ht="19" customHeight="1">
      <x:c r="A284" s="19" t="n">
        <x:v>6</x:v>
      </x:c>
      <x:c r="B284" s="19" t="str">
        <x:v>护卵鳞衣</x:v>
      </x:c>
      <x:c r="C284" s="24" t="n">
        <x:v>2</x:v>
      </x:c>
      <x:c r="D284" s="24" t="n">
        <x:v>60</x:v>
      </x:c>
      <x:c r="E284" s="24" t="n">
        <x:f>C284*D284</x:f>
        <x:v>120</x:v>
      </x:c>
      <x:c r="F284" s="19" t="str">
        <x:v>C06-M028</x:v>
      </x:c>
      <x:c r="G284" s="19" t="str">
        <x:v>真实穿戴/图鉴/基础件/洗练备件留用；不计同时分解</x:v>
      </x:c>
    </x:row>
    <x:row r="285" ht="19" customHeight="1">
      <x:c r="A285" s="19" t="n">
        <x:v>6</x:v>
      </x:c>
      <x:c r="B285" s="19" t="str">
        <x:v>雷奥尼斯狮铠</x:v>
      </x:c>
      <x:c r="C285" s="24" t="n">
        <x:v>2</x:v>
      </x:c>
      <x:c r="D285" s="24" t="n">
        <x:v>250</x:v>
      </x:c>
      <x:c r="E285" s="24" t="n">
        <x:f>C285*D285</x:f>
        <x:v>500</x:v>
      </x:c>
      <x:c r="F285" s="19" t="str">
        <x:v>C06-M036</x:v>
      </x:c>
      <x:c r="G285" s="19" t="str">
        <x:v>真实穿戴/图鉴/基础件/洗练备件留用；不计同时分解</x:v>
      </x:c>
    </x:row>
    <x:row r="286" ht="19" customHeight="1">
      <x:c r="A286" s="19" t="n">
        <x:v>6</x:v>
      </x:c>
      <x:c r="B286" s="19" t="str">
        <x:v>瑟芮血衣</x:v>
      </x:c>
      <x:c r="C286" s="24" t="n">
        <x:v>3</x:v>
      </x:c>
      <x:c r="D286" s="24" t="n">
        <x:v>250</x:v>
      </x:c>
      <x:c r="E286" s="24" t="n">
        <x:f>C286*D286</x:f>
        <x:v>750</x:v>
      </x:c>
      <x:c r="F286" s="19" t="str">
        <x:v>C06-M012</x:v>
      </x:c>
      <x:c r="G286" s="19" t="str">
        <x:v>真实穿戴/图鉴/基础件/洗练备件留用；不计同时分解</x:v>
      </x:c>
    </x:row>
    <x:row r="287" ht="19" customHeight="1">
      <x:c r="A287" s="19" t="n">
        <x:v>6</x:v>
      </x:c>
      <x:c r="B287" s="19" t="str">
        <x:v>血菌腕轮</x:v>
      </x:c>
      <x:c r="C287" s="24" t="n">
        <x:v>5</x:v>
      </x:c>
      <x:c r="D287" s="24" t="n">
        <x:v>60</x:v>
      </x:c>
      <x:c r="E287" s="24" t="n">
        <x:f>C287*D287</x:f>
        <x:v>300</x:v>
      </x:c>
      <x:c r="F287" s="19" t="str">
        <x:v>C06-M016</x:v>
      </x:c>
      <x:c r="G287" s="19" t="str">
        <x:v>真实穿戴/图鉴/基础件/洗练备件留用；不计同时分解</x:v>
      </x:c>
    </x:row>
    <x:row r="288" ht="19" customHeight="1">
      <x:c r="A288" s="19" t="n">
        <x:v>6</x:v>
      </x:c>
      <x:c r="B288" s="19" t="str">
        <x:v>塞维拉狱衣</x:v>
      </x:c>
      <x:c r="C288" s="24" t="n">
        <x:v>3</x:v>
      </x:c>
      <x:c r="D288" s="24" t="n">
        <x:v>250</x:v>
      </x:c>
      <x:c r="E288" s="24" t="n">
        <x:f>C288*D288</x:f>
        <x:v>750</x:v>
      </x:c>
      <x:c r="F288" s="19" t="str">
        <x:v>C06-M024</x:v>
      </x:c>
      <x:c r="G288" s="19" t="str">
        <x:v>真实穿戴/图鉴/基础件/洗练备件留用；不计同时分解</x:v>
      </x:c>
    </x:row>
    <x:row r="289" ht="19" customHeight="1">
      <x:c r="A289" s="19" t="n">
        <x:v>6</x:v>
      </x:c>
      <x:c r="B289" s="19" t="str">
        <x:v>阿格纳龙牙</x:v>
      </x:c>
      <x:c r="C289" s="24" t="n">
        <x:v>3</x:v>
      </x:c>
      <x:c r="D289" s="24" t="n">
        <x:v>250</x:v>
      </x:c>
      <x:c r="E289" s="24" t="n">
        <x:f>C289*D289</x:f>
        <x:v>750</x:v>
      </x:c>
      <x:c r="F289" s="19" t="str">
        <x:v>C06-M035</x:v>
      </x:c>
      <x:c r="G289" s="19" t="str">
        <x:v>真实穿戴/图鉴/基础件/洗练备件留用；不计同时分解</x:v>
      </x:c>
    </x:row>
    <x:row r="290" ht="19" customHeight="1">
      <x:c r="A290" s="19" t="n">
        <x:v>6</x:v>
      </x:c>
      <x:c r="B290" s="19" t="str">
        <x:v>长戟寅虎</x:v>
      </x:c>
      <x:c r="C290" s="24" t="n">
        <x:v>1</x:v>
      </x:c>
      <x:c r="D290" s="24" t="n">
        <x:v>80</x:v>
      </x:c>
      <x:c r="E290" s="24" t="n">
        <x:f>C290*D290</x:f>
        <x:v>80</x:v>
      </x:c>
      <x:c r="F290" s="19" t="str">
        <x:v>EL-MON-LIM-GATE-011</x:v>
      </x:c>
      <x:c r="G290" s="19" t="str">
        <x:v>真实穿戴/图鉴/基础件/洗练备件留用；不计同时分解</x:v>
      </x:c>
    </x:row>
    <x:row r="291" ht="19" customHeight="1">
      <x:c r="A291" s="19" t="n">
        <x:v>6</x:v>
      </x:c>
      <x:c r="B291" s="19" t="str">
        <x:v>灰烬裁印</x:v>
      </x:c>
      <x:c r="C291" s="24" t="n">
        <x:v>1</x:v>
      </x:c>
      <x:c r="D291" s="24" t="n">
        <x:v>120</x:v>
      </x:c>
      <x:c r="E291" s="24" t="n">
        <x:f>C291*D291</x:f>
        <x:v>120</x:v>
      </x:c>
      <x:c r="F291" s="19" t="str">
        <x:v>C06-M010</x:v>
      </x:c>
      <x:c r="G291" s="19" t="str">
        <x:v>真实穿戴/图鉴/基础件/洗练备件留用；不计同时分解</x:v>
      </x:c>
    </x:row>
    <x:row r="292" ht="19" customHeight="1">
      <x:c r="A292" s="19" t="n">
        <x:v>6</x:v>
      </x:c>
      <x:c r="B292" s="19" t="str">
        <x:v>灰背灼牙</x:v>
      </x:c>
      <x:c r="C292" s="24" t="n">
        <x:v>1</x:v>
      </x:c>
      <x:c r="D292" s="24" t="n">
        <x:v>60</x:v>
      </x:c>
      <x:c r="E292" s="24" t="n">
        <x:f>C292*D292</x:f>
        <x:v>60</x:v>
      </x:c>
      <x:c r="F292" s="19" t="str">
        <x:v>C06-M001</x:v>
      </x:c>
      <x:c r="G292" s="19" t="str">
        <x:v>真实穿戴/图鉴/基础件/洗练备件留用；不计同时分解</x:v>
      </x:c>
    </x:row>
    <x:row r="293" ht="19" customHeight="1">
      <x:c r="A293" s="19" t="n">
        <x:v>6</x:v>
      </x:c>
      <x:c r="B293" s="19" t="str">
        <x:v>焦脉祭链</x:v>
      </x:c>
      <x:c r="C293" s="24" t="n">
        <x:v>1</x:v>
      </x:c>
      <x:c r="D293" s="24" t="n">
        <x:v>120</x:v>
      </x:c>
      <x:c r="E293" s="24" t="n">
        <x:f>C293*D293</x:f>
        <x:v>120</x:v>
      </x:c>
      <x:c r="F293" s="19" t="str">
        <x:v>C06-M008</x:v>
      </x:c>
      <x:c r="G293" s="19" t="str">
        <x:v>真实穿戴/图鉴/基础件/洗练备件留用；不计同时分解</x:v>
      </x:c>
    </x:row>
    <x:row r="294" ht="19" customHeight="1">
      <x:c r="A294" s="19" t="n">
        <x:v>6</x:v>
      </x:c>
      <x:c r="B294" s="19" t="str">
        <x:v>血尘猎靴</x:v>
      </x:c>
      <x:c r="C294" s="24" t="n">
        <x:v>1</x:v>
      </x:c>
      <x:c r="D294" s="24" t="n">
        <x:v>60</x:v>
      </x:c>
      <x:c r="E294" s="24" t="n">
        <x:f>C294*D294</x:f>
        <x:v>60</x:v>
      </x:c>
      <x:c r="F294" s="19" t="str">
        <x:v>C06-M006</x:v>
      </x:c>
      <x:c r="G294" s="19" t="str">
        <x:v>真实穿戴/图鉴/基础件/洗练备件留用；不计同时分解</x:v>
      </x:c>
    </x:row>
    <x:row r="295" ht="19" customHeight="1">
      <x:c r="A295" s="19" t="n">
        <x:v>6</x:v>
      </x:c>
      <x:c r="B295" s="19" t="str">
        <x:v>负甲熔盾</x:v>
      </x:c>
      <x:c r="C295" s="24" t="n">
        <x:v>1</x:v>
      </x:c>
      <x:c r="D295" s="24" t="n">
        <x:v>120</x:v>
      </x:c>
      <x:c r="E295" s="24" t="n">
        <x:f>C295*D295</x:f>
        <x:v>120</x:v>
      </x:c>
      <x:c r="F295" s="19" t="str">
        <x:v>C06-M009</x:v>
      </x:c>
      <x:c r="G295" s="19" t="str">
        <x:v>真实穿戴/图鉴/基础件/洗练备件留用；不计同时分解</x:v>
      </x:c>
    </x:row>
    <x:row r="296" ht="19" customHeight="1">
      <x:c r="A296" s="19" t="n">
        <x:v>6</x:v>
      </x:c>
      <x:c r="B296" s="19" t="str">
        <x:v>赤棘重戒</x:v>
      </x:c>
      <x:c r="C296" s="24" t="n">
        <x:v>1</x:v>
      </x:c>
      <x:c r="D296" s="24" t="n">
        <x:v>120</x:v>
      </x:c>
      <x:c r="E296" s="24" t="n">
        <x:f>C296*D296</x:f>
        <x:v>120</x:v>
      </x:c>
      <x:c r="F296" s="19" t="str">
        <x:v>C06-M007</x:v>
      </x:c>
      <x:c r="G296" s="19" t="str">
        <x:v>真实穿戴/图鉴/基础件/洗练备件留用；不计同时分解</x:v>
      </x:c>
    </x:row>
    <x:row r="297" ht="19" customHeight="1">
      <x:c r="A297" s="19" t="n">
        <x:v>6</x:v>
      </x:c>
      <x:c r="B297" s="19" t="str">
        <x:v>龙焰流冠</x:v>
      </x:c>
      <x:c r="C297" s="24" t="n">
        <x:v>1</x:v>
      </x:c>
      <x:c r="D297" s="24" t="n">
        <x:v>250</x:v>
      </x:c>
      <x:c r="E297" s="24" t="n">
        <x:f>C297*D297</x:f>
        <x:v>250</x:v>
      </x:c>
      <x:c r="F297" s="19" t="str">
        <x:v>C06-M012</x:v>
      </x:c>
      <x:c r="G297" s="19" t="str">
        <x:v>真实穿戴/图鉴/基础件/洗练备件留用；不计同时分解</x:v>
      </x:c>
    </x:row>
    <x:row r="298" ht="19" customHeight="1">
      <x:c r="A298" s="19" t="n">
        <x:v>6</x:v>
      </x:c>
      <x:c r="B298" s="19" t="str">
        <x:v>伊弗腐冠</x:v>
      </x:c>
      <x:c r="C298" s="24" t="n">
        <x:v>1</x:v>
      </x:c>
      <x:c r="D298" s="24" t="n">
        <x:v>250</x:v>
      </x:c>
      <x:c r="E298" s="24" t="n">
        <x:f>C298*D298</x:f>
        <x:v>250</x:v>
      </x:c>
      <x:c r="F298" s="19" t="str">
        <x:v>C06-M023</x:v>
      </x:c>
      <x:c r="G298" s="19" t="str">
        <x:v>真实穿戴/图鉴/基础件/洗练备件留用；不计同时分解</x:v>
      </x:c>
    </x:row>
    <x:row r="299" ht="19" customHeight="1">
      <x:c r="A299" s="19" t="n">
        <x:v>6</x:v>
      </x:c>
      <x:c r="B299" s="19" t="str">
        <x:v>灼骨腰甲</x:v>
      </x:c>
      <x:c r="C299" s="24" t="n">
        <x:v>1</x:v>
      </x:c>
      <x:c r="D299" s="24" t="n">
        <x:v>120</x:v>
      </x:c>
      <x:c r="E299" s="24" t="n">
        <x:f>C299*D299</x:f>
        <x:v>120</x:v>
      </x:c>
      <x:c r="F299" s="19" t="str">
        <x:v>C06-M020</x:v>
      </x:c>
      <x:c r="G299" s="19" t="str">
        <x:v>真实穿戴/图鉴/基础件/洗练备件留用；不计同时分解</x:v>
      </x:c>
    </x:row>
    <x:row r="300" ht="19" customHeight="1">
      <x:c r="A300" s="19" t="n">
        <x:v>6</x:v>
      </x:c>
      <x:c r="B300" s="19" t="str">
        <x:v>熔喉牙戒</x:v>
      </x:c>
      <x:c r="C300" s="24" t="n">
        <x:v>1</x:v>
      </x:c>
      <x:c r="D300" s="24" t="n">
        <x:v>120</x:v>
      </x:c>
      <x:c r="E300" s="24" t="n">
        <x:f>C300*D300</x:f>
        <x:v>120</x:v>
      </x:c>
      <x:c r="F300" s="19" t="str">
        <x:v>C06-M021</x:v>
      </x:c>
      <x:c r="G300" s="19" t="str">
        <x:v>真实穿戴/图鉴/基础件/洗练备件留用；不计同时分解</x:v>
      </x:c>
    </x:row>
    <x:row r="301" ht="19" customHeight="1">
      <x:c r="A301" s="19" t="n">
        <x:v>6</x:v>
      </x:c>
      <x:c r="B301" s="19" t="str">
        <x:v>熔壳甲衣</x:v>
      </x:c>
      <x:c r="C301" s="24" t="n">
        <x:v>1</x:v>
      </x:c>
      <x:c r="D301" s="24" t="n">
        <x:v>60</x:v>
      </x:c>
      <x:c r="E301" s="24" t="n">
        <x:f>C301*D301</x:f>
        <x:v>60</x:v>
      </x:c>
      <x:c r="F301" s="19" t="str">
        <x:v>C06-M015</x:v>
      </x:c>
      <x:c r="G301" s="19" t="str">
        <x:v>真实穿戴/图鉴/基础件/洗练备件留用；不计同时分解</x:v>
      </x:c>
    </x:row>
    <x:row r="302" ht="19" customHeight="1">
      <x:c r="A302" s="19" t="n">
        <x:v>6</x:v>
      </x:c>
      <x:c r="B302" s="19" t="str">
        <x:v>祷刑罪章</x:v>
      </x:c>
      <x:c r="C302" s="24" t="n">
        <x:v>1</x:v>
      </x:c>
      <x:c r="D302" s="24" t="n">
        <x:v>120</x:v>
      </x:c>
      <x:c r="E302" s="24" t="n">
        <x:f>C302*D302</x:f>
        <x:v>120</x:v>
      </x:c>
      <x:c r="F302" s="19" t="str">
        <x:v>C06-M022</x:v>
      </x:c>
      <x:c r="G302" s="19" t="str">
        <x:v>真实穿戴/图鉴/基础件/洗练备件留用；不计同时分解</x:v>
      </x:c>
    </x:row>
    <x:row r="303" ht="19" customHeight="1">
      <x:c r="A303" s="19" t="n">
        <x:v>6</x:v>
      </x:c>
      <x:c r="B303" s="19" t="str">
        <x:v>缝尸骨针</x:v>
      </x:c>
      <x:c r="C303" s="24" t="n">
        <x:v>1</x:v>
      </x:c>
      <x:c r="D303" s="24" t="n">
        <x:v>120</x:v>
      </x:c>
      <x:c r="E303" s="24" t="n">
        <x:f>C303*D303</x:f>
        <x:v>120</x:v>
      </x:c>
      <x:c r="F303" s="19" t="str">
        <x:v>C06-M019</x:v>
      </x:c>
      <x:c r="G303" s="19" t="str">
        <x:v>真实穿戴/图鉴/基础件/洗练备件留用；不计同时分解</x:v>
      </x:c>
    </x:row>
    <x:row r="304" ht="19" customHeight="1">
      <x:c r="A304" s="19" t="n">
        <x:v>6</x:v>
      </x:c>
      <x:c r="B304" s="19" t="str">
        <x:v>血原骨坠</x:v>
      </x:c>
      <x:c r="C304" s="24" t="n">
        <x:v>1</x:v>
      </x:c>
      <x:c r="D304" s="24" t="n">
        <x:v>250</x:v>
      </x:c>
      <x:c r="E304" s="24" t="n">
        <x:f>C304*D304</x:f>
        <x:v>250</x:v>
      </x:c>
      <x:c r="F304" s="19" t="str">
        <x:v>C06-M024</x:v>
      </x:c>
      <x:c r="G304" s="19" t="str">
        <x:v>真实穿戴/图鉴/基础件/洗练备件留用；不计同时分解</x:v>
      </x:c>
    </x:row>
    <x:row r="305" ht="19" customHeight="1">
      <x:c r="A305" s="19" t="n">
        <x:v>7</x:v>
      </x:c>
      <x:c r="B305" s="19" t="str">
        <x:v>冻角护腕</x:v>
      </x:c>
      <x:c r="C305" s="24" t="n">
        <x:v>1</x:v>
      </x:c>
      <x:c r="D305" s="24" t="n">
        <x:v>80</x:v>
      </x:c>
      <x:c r="E305" s="24" t="n">
        <x:f>C305*D305</x:f>
        <x:v>80</x:v>
      </x:c>
      <x:c r="F305" s="19" t="str">
        <x:v>C07-M001</x:v>
      </x:c>
      <x:c r="G305" s="19" t="str">
        <x:v>真实穿戴/图鉴/基础件/洗练备件留用；不计同时分解</x:v>
      </x:c>
    </x:row>
    <x:row r="306" ht="19" customHeight="1">
      <x:c r="A306" s="19" t="n">
        <x:v>7</x:v>
      </x:c>
      <x:c r="B306" s="19" t="str">
        <x:v>放逐雪刃</x:v>
      </x:c>
      <x:c r="C306" s="24" t="n">
        <x:v>1</x:v>
      </x:c>
      <x:c r="D306" s="24" t="n">
        <x:v>80</x:v>
      </x:c>
      <x:c r="E306" s="24" t="n">
        <x:f>C306*D306</x:f>
        <x:v>80</x:v>
      </x:c>
      <x:c r="F306" s="19" t="str">
        <x:v>C07-M002</x:v>
      </x:c>
      <x:c r="G306" s="19" t="str">
        <x:v>真实穿戴/图鉴/基础件/洗练备件留用；不计同时分解</x:v>
      </x:c>
    </x:row>
    <x:row r="307" ht="19" customHeight="1">
      <x:c r="A307" s="19" t="n">
        <x:v>7</x:v>
      </x:c>
      <x:c r="B307" s="19" t="str">
        <x:v>白烛礼冠</x:v>
      </x:c>
      <x:c r="C307" s="24" t="n">
        <x:v>1</x:v>
      </x:c>
      <x:c r="D307" s="24" t="n">
        <x:v>80</x:v>
      </x:c>
      <x:c r="E307" s="24" t="n">
        <x:f>C307*D307</x:f>
        <x:v>80</x:v>
      </x:c>
      <x:c r="F307" s="19" t="str">
        <x:v>C07-M004</x:v>
      </x:c>
      <x:c r="G307" s="19" t="str">
        <x:v>真实穿戴/图鉴/基础件/洗练备件留用；不计同时分解</x:v>
      </x:c>
    </x:row>
    <x:row r="308" ht="19" customHeight="1">
      <x:c r="A308" s="19" t="n">
        <x:v>7</x:v>
      </x:c>
      <x:c r="B308" s="19" t="str">
        <x:v>苍鬃牙戒</x:v>
      </x:c>
      <x:c r="C308" s="24" t="n">
        <x:v>1</x:v>
      </x:c>
      <x:c r="D308" s="24" t="n">
        <x:v>80</x:v>
      </x:c>
      <x:c r="E308" s="24" t="n">
        <x:f>C308*D308</x:f>
        <x:v>80</x:v>
      </x:c>
      <x:c r="F308" s="19" t="str">
        <x:v>C07-M005</x:v>
      </x:c>
      <x:c r="G308" s="19" t="str">
        <x:v>真实穿戴/图鉴/基础件/洗练备件留用；不计同时分解</x:v>
      </x:c>
    </x:row>
    <x:row r="309" ht="19" customHeight="1">
      <x:c r="A309" s="19" t="n">
        <x:v>7</x:v>
      </x:c>
      <x:c r="B309" s="19" t="str">
        <x:v>雷冠申猴</x:v>
      </x:c>
      <x:c r="C309" s="24" t="n">
        <x:v>1</x:v>
      </x:c>
      <x:c r="D309" s="24" t="n">
        <x:v>80</x:v>
      </x:c>
      <x:c r="E309" s="24" t="n">
        <x:f>C309*D309</x:f>
        <x:v>80</x:v>
      </x:c>
      <x:c r="F309" s="19" t="str">
        <x:v>EL-MON-LIM-STORM-011</x:v>
      </x:c>
      <x:c r="G309" s="19" t="str">
        <x:v>真实穿戴/图鉴/基础件/洗练备件留用；不计同时分解</x:v>
      </x:c>
    </x:row>
    <x:row r="310" ht="19" customHeight="1">
      <x:c r="A310" s="19" t="n">
        <x:v>7</x:v>
      </x:c>
      <x:c r="B310" s="19" t="str">
        <x:v>雪壳腕甲</x:v>
      </x:c>
      <x:c r="C310" s="24" t="n">
        <x:v>1</x:v>
      </x:c>
      <x:c r="D310" s="24" t="n">
        <x:v>80</x:v>
      </x:c>
      <x:c r="E310" s="24" t="n">
        <x:f>C310*D310</x:f>
        <x:v>80</x:v>
      </x:c>
      <x:c r="F310" s="19" t="str">
        <x:v>C07-M013</x:v>
      </x:c>
      <x:c r="G310" s="19" t="str">
        <x:v>真实穿戴/图鉴/基础件/洗练备件留用；不计同时分解</x:v>
      </x:c>
    </x:row>
    <x:row r="311" ht="19" customHeight="1">
      <x:c r="A311" s="19" t="n">
        <x:v>7</x:v>
      </x:c>
      <x:c r="B311" s="19" t="str">
        <x:v>流亡冰刀</x:v>
      </x:c>
      <x:c r="C311" s="24" t="n">
        <x:v>1</x:v>
      </x:c>
      <x:c r="D311" s="24" t="n">
        <x:v>80</x:v>
      </x:c>
      <x:c r="E311" s="24" t="n">
        <x:f>C311*D311</x:f>
        <x:v>80</x:v>
      </x:c>
      <x:c r="F311" s="19" t="str">
        <x:v>C07-M014</x:v>
      </x:c>
      <x:c r="G311" s="19" t="str">
        <x:v>真实穿戴/图鉴/基础件/洗练备件留用；不计同时分解</x:v>
      </x:c>
    </x:row>
    <x:row r="312" ht="19" customHeight="1">
      <x:c r="A312" s="19" t="n">
        <x:v>7</x:v>
      </x:c>
      <x:c r="B312" s="19" t="str">
        <x:v>霜牙指环</x:v>
      </x:c>
      <x:c r="C312" s="24" t="n">
        <x:v>3</x:v>
      </x:c>
      <x:c r="D312" s="24" t="n">
        <x:v>80</x:v>
      </x:c>
      <x:c r="E312" s="24" t="n">
        <x:f>C312*D312</x:f>
        <x:v>240</x:v>
      </x:c>
      <x:c r="F312" s="19" t="str">
        <x:v>C07-M017</x:v>
      </x:c>
      <x:c r="G312" s="19" t="str">
        <x:v>真实穿戴/图鉴/基础件/洗练备件留用；不计同时分解</x:v>
      </x:c>
    </x:row>
    <x:row r="313" ht="19" customHeight="1">
      <x:c r="A313" s="19" t="n">
        <x:v>7</x:v>
      </x:c>
      <x:c r="B313" s="19" t="str">
        <x:v>寒弓束带</x:v>
      </x:c>
      <x:c r="C313" s="24" t="n">
        <x:v>1</x:v>
      </x:c>
      <x:c r="D313" s="24" t="n">
        <x:v>80</x:v>
      </x:c>
      <x:c r="E313" s="24" t="n">
        <x:f>C313*D313</x:f>
        <x:v>80</x:v>
      </x:c>
      <x:c r="F313" s="19" t="str">
        <x:v>C07-M018</x:v>
      </x:c>
      <x:c r="G313" s="19" t="str">
        <x:v>真实穿戴/图鉴/基础件/洗练备件留用；不计同时分解</x:v>
      </x:c>
    </x:row>
    <x:row r="314" ht="19" customHeight="1">
      <x:c r="A314" s="19" t="n">
        <x:v>7</x:v>
      </x:c>
      <x:c r="B314" s="19" t="str">
        <x:v>葬日未羊</x:v>
      </x:c>
      <x:c r="C314" s="24" t="n">
        <x:v>1</x:v>
      </x:c>
      <x:c r="D314" s="24" t="n">
        <x:v>40</x:v>
      </x:c>
      <x:c r="E314" s="24" t="n">
        <x:f>C314*D314</x:f>
        <x:v>40</x:v>
      </x:c>
      <x:c r="F314" s="19" t="str">
        <x:v>EL-MON-LIM-STORM-010</x:v>
      </x:c>
      <x:c r="G314" s="19" t="str">
        <x:v>真实穿戴/图鉴/基础件/洗练备件留用；不计同时分解</x:v>
      </x:c>
    </x:row>
    <x:row r="315" ht="19" customHeight="1">
      <x:c r="A315" s="19" t="n">
        <x:v>7</x:v>
      </x:c>
      <x:c r="B315" s="19" t="str">
        <x:v>芙蕾冰冠</x:v>
      </x:c>
      <x:c r="C315" s="24" t="n">
        <x:v>2</x:v>
      </x:c>
      <x:c r="D315" s="24" t="n">
        <x:v>320</x:v>
      </x:c>
      <x:c r="E315" s="24" t="n">
        <x:f>C315*D315</x:f>
        <x:v>640</x:v>
      </x:c>
      <x:c r="F315" s="19" t="str">
        <x:v>C07-M023</x:v>
      </x:c>
      <x:c r="G315" s="19" t="str">
        <x:v>真实穿戴/图鉴/基础件/洗练备件留用；不计同时分解</x:v>
      </x:c>
    </x:row>
    <x:row r="316" ht="19" customHeight="1">
      <x:c r="A316" s="19" t="n">
        <x:v>7</x:v>
      </x:c>
      <x:c r="B316" s="19" t="str">
        <x:v>寒羽猎链</x:v>
      </x:c>
      <x:c r="C316" s="24" t="n">
        <x:v>1</x:v>
      </x:c>
      <x:c r="D316" s="24" t="n">
        <x:v>80</x:v>
      </x:c>
      <x:c r="E316" s="24" t="n">
        <x:f>C316*D316</x:f>
        <x:v>80</x:v>
      </x:c>
      <x:c r="F316" s="19" t="str">
        <x:v>C07-M006</x:v>
      </x:c>
      <x:c r="G316" s="19" t="str">
        <x:v>真实穿戴/图鉴/基础件/洗练备件留用；不计同时分解</x:v>
      </x:c>
    </x:row>
    <x:row r="317" ht="19" customHeight="1">
      <x:c r="A317" s="19" t="n">
        <x:v>7</x:v>
      </x:c>
      <x:c r="B317" s="19" t="str">
        <x:v>掘冰腰带</x:v>
      </x:c>
      <x:c r="C317" s="24" t="n">
        <x:v>1</x:v>
      </x:c>
      <x:c r="D317" s="24" t="n">
        <x:v>80</x:v>
      </x:c>
      <x:c r="E317" s="24" t="n">
        <x:f>C317*D317</x:f>
        <x:v>80</x:v>
      </x:c>
      <x:c r="F317" s="19" t="str">
        <x:v>C07-M003</x:v>
      </x:c>
      <x:c r="G317" s="19" t="str">
        <x:v>真实穿戴/图鉴/基础件/洗练备件留用；不计同时分解</x:v>
      </x:c>
    </x:row>
    <x:row r="318" ht="19" customHeight="1">
      <x:c r="A318" s="19" t="n">
        <x:v>7</x:v>
      </x:c>
      <x:c r="B318" s="19" t="str">
        <x:v>冻喉牙刃</x:v>
      </x:c>
      <x:c r="C318" s="24" t="n">
        <x:v>1</x:v>
      </x:c>
      <x:c r="D318" s="24" t="n">
        <x:v>80</x:v>
      </x:c>
      <x:c r="E318" s="24" t="n">
        <x:f>C318*D318</x:f>
        <x:v>80</x:v>
      </x:c>
      <x:c r="F318" s="19" t="str">
        <x:v>C07-M025</x:v>
      </x:c>
      <x:c r="G318" s="19" t="str">
        <x:v>真实穿戴/图鉴/基础件/洗练备件留用；不计同时分解</x:v>
      </x:c>
    </x:row>
    <x:row r="319" ht="19" customHeight="1">
      <x:c r="A319" s="19" t="n">
        <x:v>7</x:v>
      </x:c>
      <x:c r="B319" s="19" t="str">
        <x:v>雾界斗笠</x:v>
      </x:c>
      <x:c r="C319" s="24" t="n">
        <x:v>1</x:v>
      </x:c>
      <x:c r="D319" s="24" t="n">
        <x:v>80</x:v>
      </x:c>
      <x:c r="E319" s="24" t="n">
        <x:f>C319*D319</x:f>
        <x:v>80</x:v>
      </x:c>
      <x:c r="F319" s="19" t="str">
        <x:v>C07-M026</x:v>
      </x:c>
      <x:c r="G319" s="19" t="str">
        <x:v>真实穿戴/图鉴/基础件/洗练备件留用；不计同时分解</x:v>
      </x:c>
    </x:row>
    <x:row r="320" ht="19" customHeight="1">
      <x:c r="A320" s="19" t="n">
        <x:v>7</x:v>
      </x:c>
      <x:c r="B320" s="19" t="str">
        <x:v>寒狱铁镯</x:v>
      </x:c>
      <x:c r="C320" s="24" t="n">
        <x:v>1</x:v>
      </x:c>
      <x:c r="D320" s="24" t="n">
        <x:v>80</x:v>
      </x:c>
      <x:c r="E320" s="24" t="n">
        <x:f>C320*D320</x:f>
        <x:v>80</x:v>
      </x:c>
      <x:c r="F320" s="19" t="str">
        <x:v>C07-M027</x:v>
      </x:c>
      <x:c r="G320" s="19" t="str">
        <x:v>真实穿戴/图鉴/基础件/洗练备件留用；不计同时分解</x:v>
      </x:c>
    </x:row>
    <x:row r="321" ht="19" customHeight="1">
      <x:c r="A321" s="19" t="n">
        <x:v>7</x:v>
      </x:c>
      <x:c r="B321" s="19" t="str">
        <x:v>守烛项链</x:v>
      </x:c>
      <x:c r="C321" s="24" t="n">
        <x:v>1</x:v>
      </x:c>
      <x:c r="D321" s="24" t="n">
        <x:v>80</x:v>
      </x:c>
      <x:c r="E321" s="24" t="n">
        <x:f>C321*D321</x:f>
        <x:v>80</x:v>
      </x:c>
      <x:c r="F321" s="19" t="str">
        <x:v>C07-M028</x:v>
      </x:c>
      <x:c r="G321" s="19" t="str">
        <x:v>真实穿戴/图鉴/基础件/洗练备件留用；不计同时分解</x:v>
      </x:c>
    </x:row>
    <x:row r="322" ht="19" customHeight="1">
      <x:c r="A322" s="19" t="n">
        <x:v>7</x:v>
      </x:c>
      <x:c r="B322" s="19" t="str">
        <x:v>诺薇霜镰</x:v>
      </x:c>
      <x:c r="C322" s="24" t="n">
        <x:v>2</x:v>
      </x:c>
      <x:c r="D322" s="24" t="n">
        <x:v>320</x:v>
      </x:c>
      <x:c r="E322" s="24" t="n">
        <x:f>C322*D322</x:f>
        <x:v>640</x:v>
      </x:c>
      <x:c r="F322" s="19" t="str">
        <x:v>C07-M035</x:v>
      </x:c>
      <x:c r="G322" s="19" t="str">
        <x:v>真实穿戴/图鉴/基础件/洗练备件留用；不计同时分解</x:v>
      </x:c>
    </x:row>
    <x:row r="323" ht="19" customHeight="1">
      <x:c r="A323" s="19" t="n">
        <x:v>7</x:v>
      </x:c>
      <x:c r="B323" s="19" t="str">
        <x:v>赫洛冻拳</x:v>
      </x:c>
      <x:c r="C323" s="24" t="n">
        <x:v>3</x:v>
      </x:c>
      <x:c r="D323" s="24" t="n">
        <x:v>320</x:v>
      </x:c>
      <x:c r="E323" s="24" t="n">
        <x:f>C323*D323</x:f>
        <x:v>960</x:v>
      </x:c>
      <x:c r="F323" s="19" t="str">
        <x:v>C07-M011</x:v>
      </x:c>
      <x:c r="G323" s="19" t="str">
        <x:v>真实穿戴/图鉴/基础件/洗练备件留用；不计同时分解</x:v>
      </x:c>
    </x:row>
    <x:row r="324" ht="19" customHeight="1">
      <x:c r="A324" s="19" t="n">
        <x:v>7</x:v>
      </x:c>
      <x:c r="B324" s="19" t="str">
        <x:v>乌尔寒铠</x:v>
      </x:c>
      <x:c r="C324" s="24" t="n">
        <x:v>3</x:v>
      </x:c>
      <x:c r="D324" s="24" t="n">
        <x:v>320</x:v>
      </x:c>
      <x:c r="E324" s="24" t="n">
        <x:f>C324*D324</x:f>
        <x:v>960</x:v>
      </x:c>
      <x:c r="F324" s="19" t="str">
        <x:v>C07-M024</x:v>
      </x:c>
      <x:c r="G324" s="19" t="str">
        <x:v>真实穿戴/图鉴/基础件/洗练备件留用；不计同时分解</x:v>
      </x:c>
    </x:row>
    <x:row r="325" ht="19" customHeight="1">
      <x:c r="A325" s="19" t="n">
        <x:v>7</x:v>
      </x:c>
      <x:c r="B325" s="19" t="str">
        <x:v>希尔达圣冠</x:v>
      </x:c>
      <x:c r="C325" s="24" t="n">
        <x:v>2</x:v>
      </x:c>
      <x:c r="D325" s="24" t="n">
        <x:v>320</x:v>
      </x:c>
      <x:c r="E325" s="24" t="n">
        <x:f>C325*D325</x:f>
        <x:v>640</x:v>
      </x:c>
      <x:c r="F325" s="19" t="str">
        <x:v>C07-M036</x:v>
      </x:c>
      <x:c r="G325" s="19" t="str">
        <x:v>真实穿戴/图鉴/基础件/洗练备件留用；不计同时分解</x:v>
      </x:c>
    </x:row>
    <x:row r="326" ht="19" customHeight="1">
      <x:c r="A326" s="19" t="n">
        <x:v>7</x:v>
      </x:c>
      <x:c r="B326" s="19" t="str">
        <x:v>无火圣冠</x:v>
      </x:c>
      <x:c r="C326" s="24" t="n">
        <x:v>1</x:v>
      </x:c>
      <x:c r="D326" s="24" t="n">
        <x:v>320</x:v>
      </x:c>
      <x:c r="E326" s="24" t="n">
        <x:f>C326*D326</x:f>
        <x:v>320</x:v>
      </x:c>
      <x:c r="F326" s="19" t="str">
        <x:v>C07-M012</x:v>
      </x:c>
      <x:c r="G326" s="19" t="str">
        <x:v>真实穿戴/图鉴/基础件/洗练备件留用；不计同时分解</x:v>
      </x:c>
    </x:row>
    <x:row r="327" ht="19" customHeight="1">
      <x:c r="A327" s="19" t="n">
        <x:v>7</x:v>
      </x:c>
      <x:c r="B327" s="19" t="str">
        <x:v>晶背塔盾</x:v>
      </x:c>
      <x:c r="C327" s="24" t="n">
        <x:v>1</x:v>
      </x:c>
      <x:c r="D327" s="24" t="n">
        <x:v>160</x:v>
      </x:c>
      <x:c r="E327" s="24" t="n">
        <x:f>C327*D327</x:f>
        <x:v>160</x:v>
      </x:c>
      <x:c r="F327" s="19" t="str">
        <x:v>C07-M009</x:v>
      </x:c>
      <x:c r="G327" s="19" t="str">
        <x:v>真实穿戴/图鉴/基础件/洗练备件留用；不计同时分解</x:v>
      </x:c>
    </x:row>
    <x:row r="328" ht="19" customHeight="1">
      <x:c r="A328" s="19" t="n">
        <x:v>7</x:v>
      </x:c>
      <x:c r="B328" s="19" t="str">
        <x:v>白霜重衣</x:v>
      </x:c>
      <x:c r="C328" s="24" t="n">
        <x:v>1</x:v>
      </x:c>
      <x:c r="D328" s="24" t="n">
        <x:v>160</x:v>
      </x:c>
      <x:c r="E328" s="24" t="n">
        <x:f>C328*D328</x:f>
        <x:v>160</x:v>
      </x:c>
      <x:c r="F328" s="19" t="str">
        <x:v>C07-M007</x:v>
      </x:c>
      <x:c r="G328" s="19" t="str">
        <x:v>真实穿戴/图鉴/基础件/洗练备件留用；不计同时分解</x:v>
      </x:c>
    </x:row>
    <x:row r="329" ht="19" customHeight="1">
      <x:c r="A329" s="19" t="n">
        <x:v>7</x:v>
      </x:c>
      <x:c r="B329" s="19" t="str">
        <x:v>艾尔维霜冠</x:v>
      </x:c>
      <x:c r="C329" s="24" t="n">
        <x:v>1</x:v>
      </x:c>
      <x:c r="D329" s="24" t="n">
        <x:v>320</x:v>
      </x:c>
      <x:c r="E329" s="24" t="n">
        <x:f>C329*D329</x:f>
        <x:v>320</x:v>
      </x:c>
      <x:c r="F329" s="19" t="str">
        <x:v>C07-M012</x:v>
      </x:c>
      <x:c r="G329" s="19" t="str">
        <x:v>真实穿戴/图鉴/基础件/洗练备件留用；不计同时分解</x:v>
      </x:c>
    </x:row>
    <x:row r="330" ht="19" customHeight="1">
      <x:c r="A330" s="19" t="n">
        <x:v>7</x:v>
      </x:c>
      <x:c r="B330" s="19" t="str">
        <x:v>苍白圣徽</x:v>
      </x:c>
      <x:c r="C330" s="24" t="n">
        <x:v>1</x:v>
      </x:c>
      <x:c r="D330" s="24" t="n">
        <x:v>160</x:v>
      </x:c>
      <x:c r="E330" s="24" t="n">
        <x:f>C330*D330</x:f>
        <x:v>160</x:v>
      </x:c>
      <x:c r="F330" s="19" t="str">
        <x:v>C07-M010</x:v>
      </x:c>
      <x:c r="G330" s="19" t="str">
        <x:v>真实穿戴/图鉴/基础件/洗练备件留用；不计同时分解</x:v>
      </x:c>
    </x:row>
    <x:row r="331" ht="19" customHeight="1">
      <x:c r="A331" s="19" t="n">
        <x:v>7</x:v>
      </x:c>
      <x:c r="B331" s="19" t="str">
        <x:v>霜风战靴</x:v>
      </x:c>
      <x:c r="C331" s="24" t="n">
        <x:v>1</x:v>
      </x:c>
      <x:c r="D331" s="24" t="n">
        <x:v>160</x:v>
      </x:c>
      <x:c r="E331" s="24" t="n">
        <x:f>C331*D331</x:f>
        <x:v>160</x:v>
      </x:c>
      <x:c r="F331" s="19" t="str">
        <x:v>C07-M008</x:v>
      </x:c>
      <x:c r="G331" s="19" t="str">
        <x:v>真实穿戴/图鉴/基础件/洗练备件留用；不计同时分解</x:v>
      </x:c>
    </x:row>
    <x:row r="332" ht="19" customHeight="1">
      <x:c r="A332" s="19" t="n">
        <x:v>7</x:v>
      </x:c>
      <x:c r="B332" s="19" t="str">
        <x:v>冰甲重盾</x:v>
      </x:c>
      <x:c r="C332" s="24" t="n">
        <x:v>1</x:v>
      </x:c>
      <x:c r="D332" s="24" t="n">
        <x:v>160</x:v>
      </x:c>
      <x:c r="E332" s="24" t="n">
        <x:f>C332*D332</x:f>
        <x:v>160</x:v>
      </x:c>
      <x:c r="F332" s="19" t="str">
        <x:v>C07-M019</x:v>
      </x:c>
      <x:c r="G332" s="19" t="str">
        <x:v>真实穿戴/图鉴/基础件/洗练备件留用；不计同时分解</x:v>
      </x:c>
    </x:row>
    <x:row r="333" ht="19" customHeight="1">
      <x:c r="A333" s="19" t="n">
        <x:v>7</x:v>
      </x:c>
      <x:c r="B333" s="19" t="str">
        <x:v>守碑斗笠</x:v>
      </x:c>
      <x:c r="C333" s="24" t="n">
        <x:v>1</x:v>
      </x:c>
      <x:c r="D333" s="24" t="n">
        <x:v>80</x:v>
      </x:c>
      <x:c r="E333" s="24" t="n">
        <x:f>C333*D333</x:f>
        <x:v>80</x:v>
      </x:c>
      <x:c r="F333" s="19" t="str">
        <x:v>C07-M016</x:v>
      </x:c>
      <x:c r="G333" s="19" t="str">
        <x:v>真实穿戴/图鉴/基础件/洗练备件留用；不计同时分解</x:v>
      </x:c>
    </x:row>
    <x:row r="334" ht="19" customHeight="1">
      <x:c r="A334" s="19" t="n">
        <x:v>7</x:v>
      </x:c>
      <x:c r="B334" s="19" t="str">
        <x:v>审判长靴</x:v>
      </x:c>
      <x:c r="C334" s="24" t="n">
        <x:v>1</x:v>
      </x:c>
      <x:c r="D334" s="24" t="n">
        <x:v>160</x:v>
      </x:c>
      <x:c r="E334" s="24" t="n">
        <x:f>C334*D334</x:f>
        <x:v>160</x:v>
      </x:c>
      <x:c r="F334" s="19" t="str">
        <x:v>C07-M020</x:v>
      </x:c>
      <x:c r="G334" s="19" t="str">
        <x:v>真实穿戴/图鉴/基础件/洗练备件留用；不计同时分解</x:v>
      </x:c>
    </x:row>
    <x:row r="335" ht="19" customHeight="1">
      <x:c r="A335" s="19" t="n">
        <x:v>7</x:v>
      </x:c>
      <x:c r="B335" s="19" t="str">
        <x:v>白翼颈链</x:v>
      </x:c>
      <x:c r="C335" s="24" t="n">
        <x:v>1</x:v>
      </x:c>
      <x:c r="D335" s="24" t="n">
        <x:v>160</x:v>
      </x:c>
      <x:c r="E335" s="24" t="n">
        <x:f>C335*D335</x:f>
        <x:v>160</x:v>
      </x:c>
      <x:c r="F335" s="19" t="str">
        <x:v>C07-M021</x:v>
      </x:c>
      <x:c r="G335" s="19" t="str">
        <x:v>真实穿戴/图鉴/基础件/洗练备件留用；不计同时分解</x:v>
      </x:c>
    </x:row>
    <x:row r="336" ht="19" customHeight="1">
      <x:c r="A336" s="19" t="n">
        <x:v>7</x:v>
      </x:c>
      <x:c r="B336" s="19" t="str">
        <x:v>白金雪坠</x:v>
      </x:c>
      <x:c r="C336" s="24" t="n">
        <x:v>1</x:v>
      </x:c>
      <x:c r="D336" s="24" t="n">
        <x:v>320</x:v>
      </x:c>
      <x:c r="E336" s="24" t="n">
        <x:f>C336*D336</x:f>
        <x:v>320</x:v>
      </x:c>
      <x:c r="F336" s="19" t="str">
        <x:v>C07-M024</x:v>
      </x:c>
      <x:c r="G336" s="19" t="str">
        <x:v>真实穿戴/图鉴/基础件/洗练备件留用；不计同时分解</x:v>
      </x:c>
    </x:row>
    <x:row r="337" ht="19" customHeight="1">
      <x:c r="A337" s="19" t="n">
        <x:v>7</x:v>
      </x:c>
      <x:c r="B337" s="19" t="str">
        <x:v>逐光雪衣</x:v>
      </x:c>
      <x:c r="C337" s="24" t="n">
        <x:v>1</x:v>
      </x:c>
      <x:c r="D337" s="24" t="n">
        <x:v>80</x:v>
      </x:c>
      <x:c r="E337" s="24" t="n">
        <x:f>C337*D337</x:f>
        <x:v>80</x:v>
      </x:c>
      <x:c r="F337" s="19" t="str">
        <x:v>C07-M015</x:v>
      </x:c>
      <x:c r="G337" s="19" t="str">
        <x:v>真实穿戴/图鉴/基础件/洗练备件留用；不计同时分解</x:v>
      </x:c>
    </x:row>
    <x:row r="338" ht="19" customHeight="1">
      <x:c r="A338" s="19" t="n">
        <x:v>7</x:v>
      </x:c>
      <x:c r="B338" s="19" t="str">
        <x:v>默祷雪章</x:v>
      </x:c>
      <x:c r="C338" s="24" t="n">
        <x:v>1</x:v>
      </x:c>
      <x:c r="D338" s="24" t="n">
        <x:v>160</x:v>
      </x:c>
      <x:c r="E338" s="24" t="n">
        <x:f>C338*D338</x:f>
        <x:v>160</x:v>
      </x:c>
      <x:c r="F338" s="19" t="str">
        <x:v>C07-M022</x:v>
      </x:c>
      <x:c r="G338" s="19" t="str">
        <x:v>真实穿戴/图鉴/基础件/洗练备件留用；不计同时分解</x:v>
      </x:c>
    </x:row>
    <x:row r="339" ht="19" customHeight="1">
      <x:c r="A339" s="19" t="n">
        <x:v>8</x:v>
      </x:c>
      <x:c r="B339" s="19" t="str">
        <x:v>拾荒冰镐</x:v>
      </x:c>
      <x:c r="C339" s="24" t="n">
        <x:v>1</x:v>
      </x:c>
      <x:c r="D339" s="24" t="n">
        <x:v>100</x:v>
      </x:c>
      <x:c r="E339" s="24" t="n">
        <x:f>C339*D339</x:f>
        <x:v>100</x:v>
      </x:c>
      <x:c r="F339" s="19" t="str">
        <x:v>C08-M002</x:v>
      </x:c>
      <x:c r="G339" s="19" t="str">
        <x:v>真实穿戴/图鉴/基础件/洗练备件留用；不计同时分解</x:v>
      </x:c>
    </x:row>
    <x:row r="340" ht="19" customHeight="1">
      <x:c r="A340" s="19" t="n">
        <x:v>8</x:v>
      </x:c>
      <x:c r="B340" s="19" t="str">
        <x:v>雪猿鬃甲</x:v>
      </x:c>
      <x:c r="C340" s="24" t="n">
        <x:v>1</x:v>
      </x:c>
      <x:c r="D340" s="24" t="n">
        <x:v>100</x:v>
      </x:c>
      <x:c r="E340" s="24" t="n">
        <x:f>C340*D340</x:f>
        <x:v>100</x:v>
      </x:c>
      <x:c r="F340" s="19" t="str">
        <x:v>C08-M003</x:v>
      </x:c>
      <x:c r="G340" s="19" t="str">
        <x:v>真实穿戴/图鉴/基础件/洗练备件留用；不计同时分解</x:v>
      </x:c>
    </x:row>
    <x:row r="341" ht="19" customHeight="1">
      <x:c r="A341" s="19" t="n">
        <x:v>8</x:v>
      </x:c>
      <x:c r="B341" s="19" t="str">
        <x:v>冻骨圆盾</x:v>
      </x:c>
      <x:c r="C341" s="24" t="n">
        <x:v>2</x:v>
      </x:c>
      <x:c r="D341" s="24" t="n">
        <x:v>100</x:v>
      </x:c>
      <x:c r="E341" s="24" t="n">
        <x:f>C341*D341</x:f>
        <x:v>200</x:v>
      </x:c>
      <x:c r="F341" s="19" t="str">
        <x:v>C08-M004</x:v>
      </x:c>
      <x:c r="G341" s="19" t="str">
        <x:v>真实穿戴/图鉴/基础件/洗练备件留用；不计同时分解</x:v>
      </x:c>
    </x:row>
    <x:row r="342" ht="19" customHeight="1">
      <x:c r="A342" s="19" t="n">
        <x:v>8</x:v>
      </x:c>
      <x:c r="B342" s="19" t="str">
        <x:v>青隼翎盔</x:v>
      </x:c>
      <x:c r="C342" s="24" t="n">
        <x:v>1</x:v>
      </x:c>
      <x:c r="D342" s="24" t="n">
        <x:v>100</x:v>
      </x:c>
      <x:c r="E342" s="24" t="n">
        <x:f>C342*D342</x:f>
        <x:v>100</x:v>
      </x:c>
      <x:c r="F342" s="19" t="str">
        <x:v>C08-M005</x:v>
      </x:c>
      <x:c r="G342" s="19" t="str">
        <x:v>真实穿戴/图鉴/基础件/洗练备件留用；不计同时分解</x:v>
      </x:c>
    </x:row>
    <x:row r="343" ht="19" customHeight="1">
      <x:c r="A343" s="19" t="n">
        <x:v>8</x:v>
      </x:c>
      <x:c r="B343" s="19" t="str">
        <x:v>死水午马</x:v>
      </x:c>
      <x:c r="C343" s="24" t="n">
        <x:v>1</x:v>
      </x:c>
      <x:c r="D343" s="24" t="n">
        <x:v>80</x:v>
      </x:c>
      <x:c r="E343" s="24" t="n">
        <x:f>C343*D343</x:f>
        <x:v>80</x:v>
      </x:c>
      <x:c r="F343" s="19" t="str">
        <x:v>EL-MON-LIM-MIST-011</x:v>
      </x:c>
      <x:c r="G343" s="19" t="str">
        <x:v>真实穿戴/图鉴/基础件/洗练备件留用；不计同时分解</x:v>
      </x:c>
    </x:row>
    <x:row r="344" ht="19" customHeight="1">
      <x:c r="A344" s="19" t="n">
        <x:v>8</x:v>
      </x:c>
      <x:c r="B344" s="19" t="str">
        <x:v>赫罗姆凿峰槌</x:v>
      </x:c>
      <x:c r="C344" s="24" t="n">
        <x:v>2</x:v>
      </x:c>
      <x:c r="D344" s="24" t="n">
        <x:v>400</x:v>
      </x:c>
      <x:c r="E344" s="24" t="n">
        <x:f>C344*D344</x:f>
        <x:v>800</x:v>
      </x:c>
      <x:c r="F344" s="19" t="str">
        <x:v>C08-M011</x:v>
      </x:c>
      <x:c r="G344" s="19" t="str">
        <x:v>真实穿戴/图鉴/基础件/洗练备件留用；不计同时分解</x:v>
      </x:c>
    </x:row>
    <x:row r="345" ht="19" customHeight="1">
      <x:c r="A345" s="19" t="n">
        <x:v>8</x:v>
      </x:c>
      <x:c r="B345" s="19" t="str">
        <x:v>伊芙迦霜祀衣</x:v>
      </x:c>
      <x:c r="C345" s="24" t="n">
        <x:v>1</x:v>
      </x:c>
      <x:c r="D345" s="24" t="n">
        <x:v>400</x:v>
      </x:c>
      <x:c r="E345" s="24" t="n">
        <x:f>C345*D345</x:f>
        <x:v>400</x:v>
      </x:c>
      <x:c r="F345" s="19" t="str">
        <x:v>C08-M012</x:v>
      </x:c>
      <x:c r="G345" s="19" t="str">
        <x:v>真实穿戴/图鉴/基础件/洗练备件留用；不计同时分解</x:v>
      </x:c>
    </x:row>
    <x:row r="346" ht="19" customHeight="1">
      <x:c r="A346" s="19" t="n">
        <x:v>8</x:v>
      </x:c>
      <x:c r="B346" s="19" t="str">
        <x:v>岩獾碎石履</x:v>
      </x:c>
      <x:c r="C346" s="24" t="n">
        <x:v>1</x:v>
      </x:c>
      <x:c r="D346" s="24" t="n">
        <x:v>100</x:v>
      </x:c>
      <x:c r="E346" s="24" t="n">
        <x:f>C346*D346</x:f>
        <x:v>100</x:v>
      </x:c>
      <x:c r="F346" s="19" t="str">
        <x:v>C08-M013</x:v>
      </x:c>
      <x:c r="G346" s="19" t="str">
        <x:v>真实穿戴/图鉴/基础件/洗练备件留用；不计同时分解</x:v>
      </x:c>
    </x:row>
    <x:row r="347" ht="19" customHeight="1">
      <x:c r="A347" s="19" t="n">
        <x:v>8</x:v>
      </x:c>
      <x:c r="B347" s="19" t="str">
        <x:v>桥卒破冰弩</x:v>
      </x:c>
      <x:c r="C347" s="24" t="n">
        <x:v>1</x:v>
      </x:c>
      <x:c r="D347" s="24" t="n">
        <x:v>100</x:v>
      </x:c>
      <x:c r="E347" s="24" t="n">
        <x:f>C347*D347</x:f>
        <x:v>100</x:v>
      </x:c>
      <x:c r="F347" s="19" t="str">
        <x:v>C08-M015</x:v>
      </x:c>
      <x:c r="G347" s="19" t="str">
        <x:v>真实穿戴/图鉴/基础件/洗练备件留用；不计同时分解</x:v>
      </x:c>
    </x:row>
    <x:row r="348" ht="19" customHeight="1">
      <x:c r="A348" s="19" t="n">
        <x:v>8</x:v>
      </x:c>
      <x:c r="B348" s="19" t="str">
        <x:v>冰甲棱盾</x:v>
      </x:c>
      <x:c r="C348" s="24" t="n">
        <x:v>2</x:v>
      </x:c>
      <x:c r="D348" s="24" t="n">
        <x:v>100</x:v>
      </x:c>
      <x:c r="E348" s="24" t="n">
        <x:f>C348*D348</x:f>
        <x:v>200</x:v>
      </x:c>
      <x:c r="F348" s="19" t="str">
        <x:v>C08-M016</x:v>
      </x:c>
      <x:c r="G348" s="19" t="str">
        <x:v>真实穿戴/图鉴/基础件/洗练备件留用；不计同时分解</x:v>
      </x:c>
    </x:row>
    <x:row r="349" ht="19" customHeight="1">
      <x:c r="A349" s="19" t="n">
        <x:v>8</x:v>
      </x:c>
      <x:c r="B349" s="19" t="str">
        <x:v>残斧魂腕环</x:v>
      </x:c>
      <x:c r="C349" s="24" t="n">
        <x:v>1</x:v>
      </x:c>
      <x:c r="D349" s="24" t="n">
        <x:v>100</x:v>
      </x:c>
      <x:c r="E349" s="24" t="n">
        <x:f>C349*D349</x:f>
        <x:v>100</x:v>
      </x:c>
      <x:c r="F349" s="19" t="str">
        <x:v>C08-M018</x:v>
      </x:c>
      <x:c r="G349" s="19" t="str">
        <x:v>真实穿戴/图鉴/基础件/洗练备件留用；不计同时分解</x:v>
      </x:c>
    </x:row>
    <x:row r="350" ht="19" customHeight="1">
      <x:c r="A350" s="19" t="n">
        <x:v>8</x:v>
      </x:c>
      <x:c r="B350" s="19" t="str">
        <x:v>封誓霜纹戒</x:v>
      </x:c>
      <x:c r="C350" s="24" t="n">
        <x:v>1</x:v>
      </x:c>
      <x:c r="D350" s="24" t="n">
        <x:v>200</x:v>
      </x:c>
      <x:c r="E350" s="24" t="n">
        <x:f>C350*D350</x:f>
        <x:v>200</x:v>
      </x:c>
      <x:c r="F350" s="19" t="str">
        <x:v>C08-M010</x:v>
      </x:c>
      <x:c r="G350" s="19" t="str">
        <x:v>真实穿戴/图鉴/基础件/洗练备件留用；不计同时分解</x:v>
      </x:c>
    </x:row>
    <x:row r="351" ht="19" customHeight="1">
      <x:c r="A351" s="19" t="n">
        <x:v>8</x:v>
      </x:c>
      <x:c r="B351" s="19" t="str">
        <x:v>御阶雪铲</x:v>
      </x:c>
      <x:c r="C351" s="24" t="n">
        <x:v>1</x:v>
      </x:c>
      <x:c r="D351" s="24" t="n">
        <x:v>100</x:v>
      </x:c>
      <x:c r="E351" s="24" t="n">
        <x:f>C351*D351</x:f>
        <x:v>100</x:v>
      </x:c>
      <x:c r="F351" s="19" t="str">
        <x:v>C08-M026</x:v>
      </x:c>
      <x:c r="G351" s="19" t="str">
        <x:v>真实穿戴/图鉴/基础件/洗练备件留用；不计同时分解</x:v>
      </x:c>
    </x:row>
    <x:row r="352" ht="19" customHeight="1">
      <x:c r="A352" s="19" t="n">
        <x:v>8</x:v>
      </x:c>
      <x:c r="B352" s="19" t="str">
        <x:v>外廊纹冰盾</x:v>
      </x:c>
      <x:c r="C352" s="24" t="n">
        <x:v>4</x:v>
      </x:c>
      <x:c r="D352" s="24" t="n">
        <x:v>100</x:v>
      </x:c>
      <x:c r="E352" s="24" t="n">
        <x:f>C352*D352</x:f>
        <x:v>400</x:v>
      </x:c>
      <x:c r="F352" s="19" t="str">
        <x:v>C08-M027</x:v>
      </x:c>
      <x:c r="G352" s="19" t="str">
        <x:v>真实穿戴/图鉴/基础件/洗练备件留用；不计同时分解</x:v>
      </x:c>
    </x:row>
    <x:row r="353" ht="19" customHeight="1">
      <x:c r="A353" s="19" t="n">
        <x:v>8</x:v>
      </x:c>
      <x:c r="B353" s="19" t="str">
        <x:v>石髯记事镯</x:v>
      </x:c>
      <x:c r="C353" s="24" t="n">
        <x:v>1</x:v>
      </x:c>
      <x:c r="D353" s="24" t="n">
        <x:v>100</x:v>
      </x:c>
      <x:c r="E353" s="24" t="n">
        <x:f>C353*D353</x:f>
        <x:v>100</x:v>
      </x:c>
      <x:c r="F353" s="19" t="str">
        <x:v>C08-M029</x:v>
      </x:c>
      <x:c r="G353" s="19" t="str">
        <x:v>真实穿戴/图鉴/基础件/洗练备件留用；不计同时分解</x:v>
      </x:c>
    </x:row>
    <x:row r="354" ht="19" customHeight="1">
      <x:c r="A354" s="19" t="n">
        <x:v>8</x:v>
      </x:c>
      <x:c r="B354" s="19" t="str">
        <x:v>寒灯侍履</x:v>
      </x:c>
      <x:c r="C354" s="24" t="n">
        <x:v>1</x:v>
      </x:c>
      <x:c r="D354" s="24" t="n">
        <x:v>100</x:v>
      </x:c>
      <x:c r="E354" s="24" t="n">
        <x:f>C354*D354</x:f>
        <x:v>100</x:v>
      </x:c>
      <x:c r="F354" s="19" t="str">
        <x:v>C08-M030</x:v>
      </x:c>
      <x:c r="G354" s="19" t="str">
        <x:v>真实穿戴/图鉴/基础件/洗练备件留用；不计同时分解</x:v>
      </x:c>
    </x:row>
    <x:row r="355" ht="19" customHeight="1">
      <x:c r="A355" s="19" t="n">
        <x:v>8</x:v>
      </x:c>
      <x:c r="B355" s="19" t="str">
        <x:v>雪鸦冰喙坠</x:v>
      </x:c>
      <x:c r="C355" s="24" t="n">
        <x:v>2</x:v>
      </x:c>
      <x:c r="D355" s="24" t="n">
        <x:v>100</x:v>
      </x:c>
      <x:c r="E355" s="24" t="n">
        <x:f>C355*D355</x:f>
        <x:v>200</x:v>
      </x:c>
      <x:c r="F355" s="19" t="str">
        <x:v>C08-M025</x:v>
      </x:c>
      <x:c r="G355" s="19" t="str">
        <x:v>真实穿戴/图鉴/基础件/洗练备件留用；不计同时分解</x:v>
      </x:c>
    </x:row>
    <x:row r="356" ht="19" customHeight="1">
      <x:c r="A356" s="19" t="n">
        <x:v>8</x:v>
      </x:c>
      <x:c r="B356" s="19" t="str">
        <x:v>寒翼听风坠</x:v>
      </x:c>
      <x:c r="C356" s="24" t="n">
        <x:v>3</x:v>
      </x:c>
      <x:c r="D356" s="24" t="n">
        <x:v>100</x:v>
      </x:c>
      <x:c r="E356" s="24" t="n">
        <x:f>C356*D356</x:f>
        <x:v>300</x:v>
      </x:c>
      <x:c r="F356" s="19" t="str">
        <x:v>C08-M017</x:v>
      </x:c>
      <x:c r="G356" s="19" t="str">
        <x:v>真实穿戴/图鉴/基础件/洗练备件留用；不计同时分解</x:v>
      </x:c>
    </x:row>
    <x:row r="357" ht="19" customHeight="1">
      <x:c r="A357" s="19" t="n">
        <x:v>8</x:v>
      </x:c>
      <x:c r="B357" s="19" t="str">
        <x:v>白魈啸风镯</x:v>
      </x:c>
      <x:c r="C357" s="24" t="n">
        <x:v>1</x:v>
      </x:c>
      <x:c r="D357" s="24" t="n">
        <x:v>200</x:v>
      </x:c>
      <x:c r="E357" s="24" t="n">
        <x:f>C357*D357</x:f>
        <x:v>200</x:v>
      </x:c>
      <x:c r="F357" s="19" t="str">
        <x:v>C08-M009</x:v>
      </x:c>
      <x:c r="G357" s="19" t="str">
        <x:v>真实穿戴/图鉴/基础件/洗练备件留用；不计同时分解</x:v>
      </x:c>
    </x:row>
    <x:row r="358" ht="19" customHeight="1">
      <x:c r="A358" s="19" t="n">
        <x:v>8</x:v>
      </x:c>
      <x:c r="B358" s="19" t="str">
        <x:v>铸霜庭卫戟</x:v>
      </x:c>
      <x:c r="C358" s="24" t="n">
        <x:v>1</x:v>
      </x:c>
      <x:c r="D358" s="24" t="n">
        <x:v>100</x:v>
      </x:c>
      <x:c r="E358" s="24" t="n">
        <x:f>C358*D358</x:f>
        <x:v>100</x:v>
      </x:c>
      <x:c r="F358" s="19" t="str">
        <x:v>C08-M037</x:v>
      </x:c>
      <x:c r="G358" s="19" t="str">
        <x:v>真实穿戴/图鉴/基础件/洗练备件留用；不计同时分解</x:v>
      </x:c>
    </x:row>
    <x:row r="359" ht="19" customHeight="1">
      <x:c r="A359" s="19" t="n">
        <x:v>8</x:v>
      </x:c>
      <x:c r="B359" s="19" t="str">
        <x:v>雪鬃獒踏靴</x:v>
      </x:c>
      <x:c r="C359" s="24" t="n">
        <x:v>1</x:v>
      </x:c>
      <x:c r="D359" s="24" t="n">
        <x:v>100</x:v>
      </x:c>
      <x:c r="E359" s="24" t="n">
        <x:f>C359*D359</x:f>
        <x:v>100</x:v>
      </x:c>
      <x:c r="F359" s="19" t="str">
        <x:v>C08-M038</x:v>
      </x:c>
      <x:c r="G359" s="19" t="str">
        <x:v>真实穿戴/图鉴/基础件/洗练备件留用；不计同时分解</x:v>
      </x:c>
    </x:row>
    <x:row r="360" ht="19" customHeight="1">
      <x:c r="A360" s="19" t="n">
        <x:v>8</x:v>
      </x:c>
      <x:c r="B360" s="19" t="str">
        <x:v>白毡宫衣</x:v>
      </x:c>
      <x:c r="C360" s="24" t="n">
        <x:v>1</x:v>
      </x:c>
      <x:c r="D360" s="24" t="n">
        <x:v>100</x:v>
      </x:c>
      <x:c r="E360" s="24" t="n">
        <x:f>C360*D360</x:f>
        <x:v>100</x:v>
      </x:c>
      <x:c r="F360" s="19" t="str">
        <x:v>C08-M039</x:v>
      </x:c>
      <x:c r="G360" s="19" t="str">
        <x:v>真实穿戴/图鉴/基础件/洗练备件留用；不计同时分解</x:v>
      </x:c>
    </x:row>
    <x:row r="361" ht="19" customHeight="1">
      <x:c r="A361" s="19" t="n">
        <x:v>8</x:v>
      </x:c>
      <x:c r="B361" s="19" t="str">
        <x:v>冰铃童腕镯</x:v>
      </x:c>
      <x:c r="C361" s="24" t="n">
        <x:v>1</x:v>
      </x:c>
      <x:c r="D361" s="24" t="n">
        <x:v>100</x:v>
      </x:c>
      <x:c r="E361" s="24" t="n">
        <x:f>C361*D361</x:f>
        <x:v>100</x:v>
      </x:c>
      <x:c r="F361" s="19" t="str">
        <x:v>C08-M042</x:v>
      </x:c>
      <x:c r="G361" s="19" t="str">
        <x:v>真实穿戴/图鉴/基础件/洗练备件留用；不计同时分解</x:v>
      </x:c>
    </x:row>
    <x:row r="362" ht="19" customHeight="1">
      <x:c r="A362" s="19" t="n">
        <x:v>8</x:v>
      </x:c>
      <x:c r="B362" s="19" t="str">
        <x:v>负碑王座盾</x:v>
      </x:c>
      <x:c r="C362" s="24" t="n">
        <x:v>2</x:v>
      </x:c>
      <x:c r="D362" s="24" t="n">
        <x:v>100</x:v>
      </x:c>
      <x:c r="E362" s="24" t="n">
        <x:f>C362*D362</x:f>
        <x:v>200</x:v>
      </x:c>
      <x:c r="F362" s="19" t="str">
        <x:v>C08-M041</x:v>
      </x:c>
      <x:c r="G362" s="19" t="str">
        <x:v>真实穿戴/图鉴/基础件/洗练备件留用；不计同时分解</x:v>
      </x:c>
    </x:row>
    <x:row r="363" ht="19" customHeight="1">
      <x:c r="A363" s="19" t="n">
        <x:v>8</x:v>
      </x:c>
      <x:c r="B363" s="19" t="str">
        <x:v>赫芮迦穹霜王衣</x:v>
      </x:c>
      <x:c r="C363" s="24" t="n">
        <x:v>1</x:v>
      </x:c>
      <x:c r="D363" s="24" t="n">
        <x:v>400</x:v>
      </x:c>
      <x:c r="E363" s="24" t="n">
        <x:f>C363*D363</x:f>
        <x:v>400</x:v>
      </x:c>
      <x:c r="F363" s="19" t="str">
        <x:v>C08-M048</x:v>
      </x:c>
      <x:c r="G363" s="19" t="str">
        <x:v>真实穿戴/图鉴/基础件/洗练备件留用；不计同时分解</x:v>
      </x:c>
    </x:row>
    <x:row r="364" ht="19" customHeight="1">
      <x:c r="A364" s="19" t="n">
        <x:v>8</x:v>
      </x:c>
      <x:c r="B364" s="19" t="str">
        <x:v>格罗尔冬眠刃</x:v>
      </x:c>
      <x:c r="C364" s="24" t="n">
        <x:v>1</x:v>
      </x:c>
      <x:c r="D364" s="24" t="n">
        <x:v>400</x:v>
      </x:c>
      <x:c r="E364" s="24" t="n">
        <x:f>C364*D364</x:f>
        <x:v>400</x:v>
      </x:c>
      <x:c r="F364" s="19" t="str">
        <x:v>C08-M047</x:v>
      </x:c>
      <x:c r="G364" s="19" t="str">
        <x:v>真实穿戴/图鉴/基础件/洗练备件留用；不计同时分解</x:v>
      </x:c>
    </x:row>
    <x:row r="365" ht="19" customHeight="1">
      <x:c r="A365" s="19" t="n">
        <x:v>8</x:v>
      </x:c>
      <x:c r="B365" s="19" t="str">
        <x:v>穹霜祷冠</x:v>
      </x:c>
      <x:c r="C365" s="24" t="n">
        <x:v>1</x:v>
      </x:c>
      <x:c r="D365" s="24" t="n">
        <x:v>400</x:v>
      </x:c>
      <x:c r="E365" s="24" t="n">
        <x:f>C365*D365</x:f>
        <x:v>400</x:v>
      </x:c>
      <x:c r="F365" s="19" t="str">
        <x:v>C08-M012</x:v>
      </x:c>
      <x:c r="G365" s="19" t="str">
        <x:v>真实穿戴/图鉴/基础件/洗练备件留用；不计同时分解</x:v>
      </x:c>
    </x:row>
    <x:row r="366" ht="19" customHeight="1">
      <x:c r="A366" s="19" t="n">
        <x:v>8</x:v>
      </x:c>
      <x:c r="B366" s="19" t="str">
        <x:v>雾凇引路笠</x:v>
      </x:c>
      <x:c r="C366" s="24" t="n">
        <x:v>1</x:v>
      </x:c>
      <x:c r="D366" s="24" t="n">
        <x:v>200</x:v>
      </x:c>
      <x:c r="E366" s="24" t="n">
        <x:f>C366*D366</x:f>
        <x:v>200</x:v>
      </x:c>
      <x:c r="F366" s="19" t="str">
        <x:v>C08-M007</x:v>
      </x:c>
      <x:c r="G366" s="19" t="str">
        <x:v>真实穿戴/图鉴/基础件/洗练备件留用；不计同时分解</x:v>
      </x:c>
    </x:row>
    <x:row r="367" ht="19" customHeight="1">
      <x:c r="A367" s="19" t="n">
        <x:v>8</x:v>
      </x:c>
      <x:c r="B367" s="19" t="str">
        <x:v>霜烛垂链</x:v>
      </x:c>
      <x:c r="C367" s="24" t="n">
        <x:v>1</x:v>
      </x:c>
      <x:c r="D367" s="24" t="n">
        <x:v>100</x:v>
      </x:c>
      <x:c r="E367" s="24" t="n">
        <x:f>C367*D367</x:f>
        <x:v>100</x:v>
      </x:c>
      <x:c r="F367" s="19" t="str">
        <x:v>C08-M006</x:v>
      </x:c>
      <x:c r="G367" s="19" t="str">
        <x:v>真实穿戴/图鉴/基础件/洗练备件留用；不计同时分解</x:v>
      </x:c>
    </x:row>
    <x:row r="368" ht="19" customHeight="1">
      <x:c r="A368" s="19" t="n">
        <x:v>8</x:v>
      </x:c>
      <x:c r="B368" s="19" t="str">
        <x:v>霜蹄踏雪靴</x:v>
      </x:c>
      <x:c r="C368" s="24" t="n">
        <x:v>1</x:v>
      </x:c>
      <x:c r="D368" s="24" t="n">
        <x:v>100</x:v>
      </x:c>
      <x:c r="E368" s="24" t="n">
        <x:f>C368*D368</x:f>
        <x:v>100</x:v>
      </x:c>
      <x:c r="F368" s="19" t="str">
        <x:v>C08-M001</x:v>
      </x:c>
      <x:c r="G368" s="19" t="str">
        <x:v>真实穿戴/图鉴/基础件/洗练备件留用；不计同时分解</x:v>
      </x:c>
    </x:row>
    <x:row r="369" ht="19" customHeight="1">
      <x:c r="A369" s="19" t="n">
        <x:v>8</x:v>
      </x:c>
      <x:c r="B369" s="19" t="str">
        <x:v>驮碑束腰</x:v>
      </x:c>
      <x:c r="C369" s="24" t="n">
        <x:v>1</x:v>
      </x:c>
      <x:c r="D369" s="24" t="n">
        <x:v>200</x:v>
      </x:c>
      <x:c r="E369" s="24" t="n">
        <x:f>C369*D369</x:f>
        <x:v>200</x:v>
      </x:c>
      <x:c r="F369" s="19" t="str">
        <x:v>C08-M008</x:v>
      </x:c>
      <x:c r="G369" s="19" t="str">
        <x:v>真实穿戴/图鉴/基础件/洗练备件留用；不计同时分解</x:v>
      </x:c>
    </x:row>
    <x:row r="370" ht="19" customHeight="1">
      <x:c r="A370" s="19" t="n">
        <x:v>8</x:v>
      </x:c>
      <x:c r="B370" s="19" t="str">
        <x:v>冰宫残铃</x:v>
      </x:c>
      <x:c r="C370" s="24" t="n">
        <x:v>1</x:v>
      </x:c>
      <x:c r="D370" s="24" t="n">
        <x:v>400</x:v>
      </x:c>
      <x:c r="E370" s="24" t="n">
        <x:f>C370*D370</x:f>
        <x:v>400</x:v>
      </x:c>
      <x:c r="F370" s="19" t="str">
        <x:v>C08-M024</x:v>
      </x:c>
      <x:c r="G370" s="19" t="str">
        <x:v>真实穿戴/图鉴/基础件/洗练备件留用；不计同时分解</x:v>
      </x:c>
    </x:row>
    <x:row r="371" ht="19" customHeight="1">
      <x:c r="A371" s="19" t="n">
        <x:v>8</x:v>
      </x:c>
      <x:c r="B371" s="19" t="str">
        <x:v>德鲁伽裂峰斧</x:v>
      </x:c>
      <x:c r="C371" s="24" t="n">
        <x:v>1</x:v>
      </x:c>
      <x:c r="D371" s="24" t="n">
        <x:v>400</x:v>
      </x:c>
      <x:c r="E371" s="24" t="n">
        <x:f>C371*D371</x:f>
        <x:v>400</x:v>
      </x:c>
      <x:c r="F371" s="19" t="str">
        <x:v>C08-M023</x:v>
      </x:c>
      <x:c r="G371" s="19" t="str">
        <x:v>真实穿戴/图鉴/基础件/洗练备件留用；不计同时分解</x:v>
      </x:c>
    </x:row>
    <x:row r="372" ht="19" customHeight="1">
      <x:c r="A372" s="19" t="n">
        <x:v>8</x:v>
      </x:c>
      <x:c r="B372" s="19" t="str">
        <x:v>猎旗霜披</x:v>
      </x:c>
      <x:c r="C372" s="24" t="n">
        <x:v>1</x:v>
      </x:c>
      <x:c r="D372" s="24" t="n">
        <x:v>200</x:v>
      </x:c>
      <x:c r="E372" s="24" t="n">
        <x:f>C372*D372</x:f>
        <x:v>200</x:v>
      </x:c>
      <x:c r="F372" s="19" t="str">
        <x:v>C08-M019</x:v>
      </x:c>
      <x:c r="G372" s="19" t="str">
        <x:v>真实穿戴/图鉴/基础件/洗练备件留用；不计同时分解</x:v>
      </x:c>
    </x:row>
    <x:row r="373" ht="19" customHeight="1">
      <x:c r="A373" s="19" t="n">
        <x:v>8</x:v>
      </x:c>
      <x:c r="B373" s="19" t="str">
        <x:v>维瑟娅霜祭衣</x:v>
      </x:c>
      <x:c r="C373" s="24" t="n">
        <x:v>1</x:v>
      </x:c>
      <x:c r="D373" s="24" t="n">
        <x:v>400</x:v>
      </x:c>
      <x:c r="E373" s="24" t="n">
        <x:f>C373*D373</x:f>
        <x:v>400</x:v>
      </x:c>
      <x:c r="F373" s="19" t="str">
        <x:v>C08-M024</x:v>
      </x:c>
      <x:c r="G373" s="19" t="str">
        <x:v>真实穿戴/图鉴/基础件/洗练备件留用；不计同时分解</x:v>
      </x:c>
    </x:row>
    <x:row r="374" ht="19" customHeight="1">
      <x:c r="A374" s="19" t="n">
        <x:v>8</x:v>
      </x:c>
      <x:c r="B374" s="19" t="str">
        <x:v>缄誓寒铁戒</x:v>
      </x:c>
      <x:c r="C374" s="24" t="n">
        <x:v>1</x:v>
      </x:c>
      <x:c r="D374" s="24" t="n">
        <x:v>200</x:v>
      </x:c>
      <x:c r="E374" s="24" t="n">
        <x:f>C374*D374</x:f>
        <x:v>200</x:v>
      </x:c>
      <x:c r="F374" s="19" t="str">
        <x:v>C08-M022</x:v>
      </x:c>
      <x:c r="G374" s="19" t="str">
        <x:v>真实穿戴/图鉴/基础件/洗练备件留用；不计同时分解</x:v>
      </x:c>
    </x:row>
    <x:row r="375" ht="19" customHeight="1">
      <x:c r="A375" s="19" t="n">
        <x:v>8</x:v>
      </x:c>
      <x:c r="B375" s="19" t="str">
        <x:v>负霜钉腰带</x:v>
      </x:c>
      <x:c r="C375" s="24" t="n">
        <x:v>1</x:v>
      </x:c>
      <x:c r="D375" s="24" t="n">
        <x:v>100</x:v>
      </x:c>
      <x:c r="E375" s="24" t="n">
        <x:f>C375*D375</x:f>
        <x:v>100</x:v>
      </x:c>
      <x:c r="F375" s="19" t="str">
        <x:v>C08-M014</x:v>
      </x:c>
      <x:c r="G375" s="19" t="str">
        <x:v>真实穿戴/图鉴/基础件/洗练备件留用；不计同时分解</x:v>
      </x:c>
    </x:row>
    <x:row r="376" ht="19" customHeight="1">
      <x:c r="A376" s="19" t="n">
        <x:v>8</x:v>
      </x:c>
      <x:c r="B376" s="19" t="str">
        <x:v>踏索雪笠</x:v>
      </x:c>
      <x:c r="C376" s="24" t="n">
        <x:v>1</x:v>
      </x:c>
      <x:c r="D376" s="24" t="n">
        <x:v>200</x:v>
      </x:c>
      <x:c r="E376" s="24" t="n">
        <x:f>C376*D376</x:f>
        <x:v>200</x:v>
      </x:c>
      <x:c r="F376" s="19" t="str">
        <x:v>C08-M020</x:v>
      </x:c>
      <x:c r="G376" s="19" t="str">
        <x:v>真实穿戴/图鉴/基础件/洗练备件留用；不计同时分解</x:v>
      </x:c>
    </x:row>
    <x:row r="377" ht="19" customHeight="1">
      <x:c r="A377" s="19" t="n">
        <x:v>8</x:v>
      </x:c>
      <x:c r="B377" s="19" t="str">
        <x:v>雪嚎裂角盔</x:v>
      </x:c>
      <x:c r="C377" s="24" t="n">
        <x:v>1</x:v>
      </x:c>
      <x:c r="D377" s="24" t="n">
        <x:v>200</x:v>
      </x:c>
      <x:c r="E377" s="24" t="n">
        <x:f>C377*D377</x:f>
        <x:v>200</x:v>
      </x:c>
      <x:c r="F377" s="19" t="str">
        <x:v>C08-M021</x:v>
      </x:c>
      <x:c r="G377" s="19" t="str">
        <x:v>真实穿戴/图鉴/基础件/洗练备件留用；不计同时分解</x:v>
      </x:c>
    </x:row>
    <x:row r="378" ht="19" customHeight="1">
      <x:c r="A378" s="19" t="n">
        <x:v>8</x:v>
      </x:c>
      <x:c r="B378" s="19" t="str">
        <x:v>伊瑟芮冰绡袍</x:v>
      </x:c>
      <x:c r="C378" s="24" t="n">
        <x:v>1</x:v>
      </x:c>
      <x:c r="D378" s="24" t="n">
        <x:v>400</x:v>
      </x:c>
      <x:c r="E378" s="24" t="n">
        <x:f>C378*D378</x:f>
        <x:v>400</x:v>
      </x:c>
      <x:c r="F378" s="19" t="str">
        <x:v>C08-M036</x:v>
      </x:c>
      <x:c r="G378" s="19" t="str">
        <x:v>真实穿戴/图鉴/基础件/洗练备件留用；不计同时分解</x:v>
      </x:c>
    </x:row>
    <x:row r="379" ht="19" customHeight="1">
      <x:c r="A379" s="19" t="n">
        <x:v>8</x:v>
      </x:c>
      <x:c r="B379" s="19" t="str">
        <x:v>古律铭板带</x:v>
      </x:c>
      <x:c r="C379" s="24" t="n">
        <x:v>1</x:v>
      </x:c>
      <x:c r="D379" s="24" t="n">
        <x:v>200</x:v>
      </x:c>
      <x:c r="E379" s="24" t="n">
        <x:f>C379*D379</x:f>
        <x:v>200</x:v>
      </x:c>
      <x:c r="F379" s="19" t="str">
        <x:v>C08-M033</x:v>
      </x:c>
      <x:c r="G379" s="19" t="str">
        <x:v>真实穿戴/图鉴/基础件/洗练备件留用；不计同时分解</x:v>
      </x:c>
    </x:row>
    <x:row r="380" ht="19" customHeight="1">
      <x:c r="A380" s="19" t="n">
        <x:v>9</x:v>
      </x:c>
      <x:c r="B380" s="19" t="str">
        <x:v>角鹿逐叶履</x:v>
      </x:c>
      <x:c r="C380" s="24" t="n">
        <x:v>2</x:v>
      </x:c>
      <x:c r="D380" s="24" t="n">
        <x:v>120</x:v>
      </x:c>
      <x:c r="E380" s="24" t="n">
        <x:f>C380*D380</x:f>
        <x:v>240</x:v>
      </x:c>
      <x:c r="F380" s="19" t="str">
        <x:v>C09-M001</x:v>
      </x:c>
      <x:c r="G380" s="19" t="str">
        <x:v>真实穿戴/图鉴/基础件/洗练备件留用；不计同时分解</x:v>
      </x:c>
    </x:row>
    <x:row r="381" ht="19" customHeight="1">
      <x:c r="A381" s="19" t="n">
        <x:v>9</x:v>
      </x:c>
      <x:c r="B381" s="19" t="str">
        <x:v>拾穗弯刃</x:v>
      </x:c>
      <x:c r="C381" s="24" t="n">
        <x:v>1</x:v>
      </x:c>
      <x:c r="D381" s="24" t="n">
        <x:v>120</x:v>
      </x:c>
      <x:c r="E381" s="24" t="n">
        <x:f>C381*D381</x:f>
        <x:v>120</x:v>
      </x:c>
      <x:c r="F381" s="19" t="str">
        <x:v>C09-M002</x:v>
      </x:c>
      <x:c r="G381" s="19" t="str">
        <x:v>真实穿戴/图鉴/基础件/洗练备件留用；不计同时分解</x:v>
      </x:c>
    </x:row>
    <x:row r="382" ht="19" customHeight="1">
      <x:c r="A382" s="19" t="n">
        <x:v>9</x:v>
      </x:c>
      <x:c r="B382" s="19" t="str">
        <x:v>驮甲叶纹盾</x:v>
      </x:c>
      <x:c r="C382" s="24" t="n">
        <x:v>1</x:v>
      </x:c>
      <x:c r="D382" s="24" t="n">
        <x:v>120</x:v>
      </x:c>
      <x:c r="E382" s="24" t="n">
        <x:f>C382*D382</x:f>
        <x:v>120</x:v>
      </x:c>
      <x:c r="F382" s="19" t="str">
        <x:v>C09-M004</x:v>
      </x:c>
      <x:c r="G382" s="19" t="str">
        <x:v>真实穿戴/图鉴/基础件/洗练备件留用；不计同时分解</x:v>
      </x:c>
    </x:row>
    <x:row r="383" ht="19" customHeight="1">
      <x:c r="A383" s="19" t="n">
        <x:v>9</x:v>
      </x:c>
      <x:c r="B383" s="19" t="str">
        <x:v>鎏苔守陵衣</x:v>
      </x:c>
      <x:c r="C383" s="24" t="n">
        <x:v>1</x:v>
      </x:c>
      <x:c r="D383" s="24" t="n">
        <x:v>120</x:v>
      </x:c>
      <x:c r="E383" s="24" t="n">
        <x:f>C383*D383</x:f>
        <x:v>120</x:v>
      </x:c>
      <x:c r="F383" s="19" t="str">
        <x:v>C09-M005</x:v>
      </x:c>
      <x:c r="G383" s="19" t="str">
        <x:v>真实穿戴/图鉴/基础件/洗练备件留用；不计同时分解</x:v>
      </x:c>
    </x:row>
    <x:row r="384" ht="19" customHeight="1">
      <x:c r="A384" s="19" t="n">
        <x:v>9</x:v>
      </x:c>
      <x:c r="B384" s="19" t="str">
        <x:v>雷冠申猴</x:v>
      </x:c>
      <x:c r="C384" s="24" t="n">
        <x:v>1</x:v>
      </x:c>
      <x:c r="D384" s="24" t="n">
        <x:v>80</x:v>
      </x:c>
      <x:c r="E384" s="24" t="n">
        <x:f>C384*D384</x:f>
        <x:v>80</x:v>
      </x:c>
      <x:c r="F384" s="19" t="str">
        <x:v>EL-MON-LIM-STORM-011</x:v>
      </x:c>
      <x:c r="G384" s="19" t="str">
        <x:v>真实穿戴/图鉴/基础件/洗练备件留用；不计同时分解</x:v>
      </x:c>
    </x:row>
    <x:row r="385" ht="19" customHeight="1">
      <x:c r="A385" s="19" t="n">
        <x:v>9</x:v>
      </x:c>
      <x:c r="B385" s="19" t="str">
        <x:v>占路秋叶笠</x:v>
      </x:c>
      <x:c r="C385" s="24" t="n">
        <x:v>1</x:v>
      </x:c>
      <x:c r="D385" s="24" t="n">
        <x:v>240</x:v>
      </x:c>
      <x:c r="E385" s="24" t="n">
        <x:f>C385*D385</x:f>
        <x:v>240</x:v>
      </x:c>
      <x:c r="F385" s="19" t="str">
        <x:v>C09-M007</x:v>
      </x:c>
      <x:c r="G385" s="19" t="str">
        <x:v>真实穿戴/图鉴/基础件/洗练备件留用；不计同时分解</x:v>
      </x:c>
    </x:row>
    <x:row r="386" ht="19" customHeight="1">
      <x:c r="A386" s="19" t="n">
        <x:v>9</x:v>
      </x:c>
      <x:c r="B386" s="19" t="str">
        <x:v>啮岩鼠爪靴</x:v>
      </x:c>
      <x:c r="C386" s="24" t="n">
        <x:v>1</x:v>
      </x:c>
      <x:c r="D386" s="24" t="n">
        <x:v>120</x:v>
      </x:c>
      <x:c r="E386" s="24" t="n">
        <x:f>C386*D386</x:f>
        <x:v>120</x:v>
      </x:c>
      <x:c r="F386" s="19" t="str">
        <x:v>C09-M013</x:v>
      </x:c>
      <x:c r="G386" s="19" t="str">
        <x:v>真实穿戴/图鉴/基础件/洗练备件留用；不计同时分解</x:v>
      </x:c>
    </x:row>
    <x:row r="387" ht="19" customHeight="1">
      <x:c r="A387" s="19" t="n">
        <x:v>9</x:v>
      </x:c>
      <x:c r="B387" s="19" t="str">
        <x:v>探脉听石坠</x:v>
      </x:c>
      <x:c r="C387" s="24" t="n">
        <x:v>1</x:v>
      </x:c>
      <x:c r="D387" s="24" t="n">
        <x:v>120</x:v>
      </x:c>
      <x:c r="E387" s="24" t="n">
        <x:f>C387*D387</x:f>
        <x:v>120</x:v>
      </x:c>
      <x:c r="F387" s="19" t="str">
        <x:v>C09-M014</x:v>
      </x:c>
      <x:c r="G387" s="19" t="str">
        <x:v>真实穿戴/图鉴/基础件/洗练备件留用；不计同时分解</x:v>
      </x:c>
    </x:row>
    <x:row r="388" ht="19" customHeight="1">
      <x:c r="A388" s="19" t="n">
        <x:v>9</x:v>
      </x:c>
      <x:c r="B388" s="19" t="str">
        <x:v>凿工尖喙镐</x:v>
      </x:c>
      <x:c r="C388" s="24" t="n">
        <x:v>3</x:v>
      </x:c>
      <x:c r="D388" s="24" t="n">
        <x:v>120</x:v>
      </x:c>
      <x:c r="E388" s="24" t="n">
        <x:f>C388*D388</x:f>
        <x:v>360</x:v>
      </x:c>
      <x:c r="F388" s="19" t="str">
        <x:v>C09-M015</x:v>
      </x:c>
      <x:c r="G388" s="19" t="str">
        <x:v>真实穿戴/图鉴/基础件/洗练备件留用；不计同时分解</x:v>
      </x:c>
    </x:row>
    <x:row r="389" ht="19" customHeight="1">
      <x:c r="A389" s="19" t="n">
        <x:v>9</x:v>
      </x:c>
      <x:c r="B389" s="19" t="str">
        <x:v>负筐矿奴衣</x:v>
      </x:c>
      <x:c r="C389" s="24" t="n">
        <x:v>1</x:v>
      </x:c>
      <x:c r="D389" s="24" t="n">
        <x:v>120</x:v>
      </x:c>
      <x:c r="E389" s="24" t="n">
        <x:f>C389*D389</x:f>
        <x:v>120</x:v>
      </x:c>
      <x:c r="F389" s="19" t="str">
        <x:v>C09-M017</x:v>
      </x:c>
      <x:c r="G389" s="19" t="str">
        <x:v>真实穿戴/图鉴/基础件/洗练备件留用；不计同时分解</x:v>
      </x:c>
    </x:row>
    <x:row r="390" ht="19" customHeight="1">
      <x:c r="A390" s="19" t="n">
        <x:v>9</x:v>
      </x:c>
      <x:c r="B390" s="19" t="str">
        <x:v>献梦琥金戒</x:v>
      </x:c>
      <x:c r="C390" s="24" t="n">
        <x:v>1</x:v>
      </x:c>
      <x:c r="D390" s="24" t="n">
        <x:v>240</x:v>
      </x:c>
      <x:c r="E390" s="24" t="n">
        <x:f>C390*D390</x:f>
        <x:v>240</x:v>
      </x:c>
      <x:c r="F390" s="19" t="str">
        <x:v>C09-M010</x:v>
      </x:c>
      <x:c r="G390" s="19" t="str">
        <x:v>真实穿戴/图鉴/基础件/洗练备件留用；不计同时分解</x:v>
      </x:c>
    </x:row>
    <x:row r="391" ht="19" customHeight="1">
      <x:c r="A391" s="19" t="n">
        <x:v>9</x:v>
      </x:c>
      <x:c r="B391" s="19" t="str">
        <x:v>剪枝傀镰</x:v>
      </x:c>
      <x:c r="C391" s="24" t="n">
        <x:v>1</x:v>
      </x:c>
      <x:c r="D391" s="24" t="n">
        <x:v>120</x:v>
      </x:c>
      <x:c r="E391" s="24" t="n">
        <x:f>C391*D391</x:f>
        <x:v>120</x:v>
      </x:c>
      <x:c r="F391" s="19" t="str">
        <x:v>C09-M025</x:v>
      </x:c>
      <x:c r="G391" s="19" t="str">
        <x:v>真实穿戴/图鉴/基础件/洗练备件留用；不计同时分解</x:v>
      </x:c>
    </x:row>
    <x:row r="392" ht="19" customHeight="1">
      <x:c r="A392" s="19" t="n">
        <x:v>9</x:v>
      </x:c>
      <x:c r="B392" s="19" t="str">
        <x:v>金翅碑尘履</x:v>
      </x:c>
      <x:c r="C392" s="24" t="n">
        <x:v>1</x:v>
      </x:c>
      <x:c r="D392" s="24" t="n">
        <x:v>120</x:v>
      </x:c>
      <x:c r="E392" s="24" t="n">
        <x:f>C392*D392</x:f>
        <x:v>120</x:v>
      </x:c>
      <x:c r="F392" s="19" t="str">
        <x:v>C09-M026</x:v>
      </x:c>
      <x:c r="G392" s="19" t="str">
        <x:v>真实穿戴/图鉴/基础件/洗练备件留用；不计同时分解</x:v>
      </x:c>
    </x:row>
    <x:row r="393" ht="19" customHeight="1">
      <x:c r="A393" s="19" t="n">
        <x:v>9</x:v>
      </x:c>
      <x:c r="B393" s="19" t="str">
        <x:v>扶棺铜纹盾</x:v>
      </x:c>
      <x:c r="C393" s="24" t="n">
        <x:v>1</x:v>
      </x:c>
      <x:c r="D393" s="24" t="n">
        <x:v>120</x:v>
      </x:c>
      <x:c r="E393" s="24" t="n">
        <x:f>C393*D393</x:f>
        <x:v>120</x:v>
      </x:c>
      <x:c r="F393" s="19" t="str">
        <x:v>C09-M027</x:v>
      </x:c>
      <x:c r="G393" s="19" t="str">
        <x:v>真实穿戴/图鉴/基础件/洗练备件留用；不计同时分解</x:v>
      </x:c>
    </x:row>
    <x:row r="394" ht="19" customHeight="1">
      <x:c r="A394" s="19" t="n">
        <x:v>9</x:v>
      </x:c>
      <x:c r="B394" s="19" t="str">
        <x:v>敛袍侍素衣</x:v>
      </x:c>
      <x:c r="C394" s="24" t="n">
        <x:v>1</x:v>
      </x:c>
      <x:c r="D394" s="24" t="n">
        <x:v>120</x:v>
      </x:c>
      <x:c r="E394" s="24" t="n">
        <x:f>C394*D394</x:f>
        <x:v>120</x:v>
      </x:c>
      <x:c r="F394" s="19" t="str">
        <x:v>C09-M029</x:v>
      </x:c>
      <x:c r="G394" s="19" t="str">
        <x:v>真实穿戴/图鉴/基础件/洗练备件留用；不计同时分解</x:v>
      </x:c>
    </x:row>
    <x:row r="395" ht="19" customHeight="1">
      <x:c r="A395" s="19" t="n">
        <x:v>9</x:v>
      </x:c>
      <x:c r="B395" s="19" t="str">
        <x:v>萨鲁恩金叶祭衣</x:v>
      </x:c>
      <x:c r="C395" s="24" t="n">
        <x:v>1</x:v>
      </x:c>
      <x:c r="D395" s="24" t="n">
        <x:v>500</x:v>
      </x:c>
      <x:c r="E395" s="24" t="n">
        <x:f>C395*D395</x:f>
        <x:v>500</x:v>
      </x:c>
      <x:c r="F395" s="19" t="str">
        <x:v>C09-M012</x:v>
      </x:c>
      <x:c r="G395" s="19" t="str">
        <x:v>真实穿戴/图鉴/基础件/洗练备件留用；不计同时分解</x:v>
      </x:c>
    </x:row>
    <x:row r="396" ht="19" customHeight="1">
      <x:c r="A396" s="19" t="n">
        <x:v>9</x:v>
      </x:c>
      <x:c r="B396" s="19" t="str">
        <x:v>鎏檐拱门盾</x:v>
      </x:c>
      <x:c r="C396" s="24" t="n">
        <x:v>1</x:v>
      </x:c>
      <x:c r="D396" s="24" t="n">
        <x:v>120</x:v>
      </x:c>
      <x:c r="E396" s="24" t="n">
        <x:f>C396*D396</x:f>
        <x:v>120</x:v>
      </x:c>
      <x:c r="F396" s="19" t="str">
        <x:v>C09-M038</x:v>
      </x:c>
      <x:c r="G396" s="19" t="str">
        <x:v>真实穿戴/图鉴/基础件/洗练备件留用；不计同时分解</x:v>
      </x:c>
    </x:row>
    <x:row r="397" ht="19" customHeight="1">
      <x:c r="A397" s="19" t="n">
        <x:v>9</x:v>
      </x:c>
      <x:c r="B397" s="19" t="str">
        <x:v>白袍唱诗衣</x:v>
      </x:c>
      <x:c r="C397" s="24" t="n">
        <x:v>1</x:v>
      </x:c>
      <x:c r="D397" s="24" t="n">
        <x:v>120</x:v>
      </x:c>
      <x:c r="E397" s="24" t="n">
        <x:f>C397*D397</x:f>
        <x:v>120</x:v>
      </x:c>
      <x:c r="F397" s="19" t="str">
        <x:v>C09-M039</x:v>
      </x:c>
      <x:c r="G397" s="19" t="str">
        <x:v>真实穿戴/图鉴/基础件/洗练备件留用；不计同时分解</x:v>
      </x:c>
    </x:row>
    <x:row r="398" ht="19" customHeight="1">
      <x:c r="A398" s="19" t="n">
        <x:v>9</x:v>
      </x:c>
      <x:c r="B398" s="19" t="str">
        <x:v>焚香奴腕镯</x:v>
      </x:c>
      <x:c r="C398" s="24" t="n">
        <x:v>1</x:v>
      </x:c>
      <x:c r="D398" s="24" t="n">
        <x:v>120</x:v>
      </x:c>
      <x:c r="E398" s="24" t="n">
        <x:f>C398*D398</x:f>
        <x:v>120</x:v>
      </x:c>
      <x:c r="F398" s="19" t="str">
        <x:v>C09-M040</x:v>
      </x:c>
      <x:c r="G398" s="19" t="str">
        <x:v>真实穿戴/图鉴/基础件/洗练备件留用；不计同时分解</x:v>
      </x:c>
    </x:row>
    <x:row r="399" ht="19" customHeight="1">
      <x:c r="A399" s="19" t="n">
        <x:v>9</x:v>
      </x:c>
      <x:c r="B399" s="19" t="str">
        <x:v>祷弓手日轮弓</x:v>
      </x:c>
      <x:c r="C399" s="24" t="n">
        <x:v>2</x:v>
      </x:c>
      <x:c r="D399" s="24" t="n">
        <x:v>120</x:v>
      </x:c>
      <x:c r="E399" s="24" t="n">
        <x:f>C399*D399</x:f>
        <x:v>240</x:v>
      </x:c>
      <x:c r="F399" s="19" t="str">
        <x:v>C09-M042</x:v>
      </x:c>
      <x:c r="G399" s="19" t="str">
        <x:v>真实穿戴/图鉴/基础件/洗练备件留用；不计同时分解</x:v>
      </x:c>
    </x:row>
    <x:row r="400" ht="19" customHeight="1">
      <x:c r="A400" s="19" t="n">
        <x:v>9</x:v>
      </x:c>
      <x:c r="B400" s="19" t="str">
        <x:v>恶兆酉鸡</x:v>
      </x:c>
      <x:c r="C400" s="24" t="n">
        <x:v>1</x:v>
      </x:c>
      <x:c r="D400" s="24" t="n">
        <x:v>80</x:v>
      </x:c>
      <x:c r="E400" s="24" t="n">
        <x:f>C400*D400</x:f>
        <x:v>80</x:v>
      </x:c>
      <x:c r="F400" s="19" t="str">
        <x:v>EL-MON-LIM-STORM-012</x:v>
      </x:c>
      <x:c r="G400" s="19" t="str">
        <x:v>真实穿戴/图鉴/基础件/洗练备件留用；不计同时分解</x:v>
      </x:c>
    </x:row>
    <x:row r="401" ht="19" customHeight="1">
      <x:c r="A401" s="19" t="n">
        <x:v>9</x:v>
      </x:c>
      <x:c r="B401" s="19" t="str">
        <x:v>赛维兰裁阳杖</x:v>
      </x:c>
      <x:c r="C401" s="24" t="n">
        <x:v>3</x:v>
      </x:c>
      <x:c r="D401" s="24" t="n">
        <x:v>500</x:v>
      </x:c>
      <x:c r="E401" s="24" t="n">
        <x:f>C401*D401</x:f>
        <x:v>1500</x:v>
      </x:c>
      <x:c r="F401" s="19" t="str">
        <x:v>C09-M047</x:v>
      </x:c>
      <x:c r="G401" s="19" t="str">
        <x:v>真实穿戴/图鉴/基础件/洗练备件留用；不计同时分解</x:v>
      </x:c>
    </x:row>
    <x:row r="402" ht="19" customHeight="1">
      <x:c r="A402" s="19" t="n">
        <x:v>9</x:v>
      </x:c>
      <x:c r="B402" s="19" t="str">
        <x:v>衔烛鸦羽坠</x:v>
      </x:c>
      <x:c r="C402" s="24" t="n">
        <x:v>1</x:v>
      </x:c>
      <x:c r="D402" s="24" t="n">
        <x:v>120</x:v>
      </x:c>
      <x:c r="E402" s="24" t="n">
        <x:f>C402*D402</x:f>
        <x:v>120</x:v>
      </x:c>
      <x:c r="F402" s="19" t="str">
        <x:v>C09-M006</x:v>
      </x:c>
      <x:c r="G402" s="19" t="str">
        <x:v>真实穿戴/图鉴/基础件/洗练备件留用；不计同时分解</x:v>
      </x:c>
    </x:row>
    <x:row r="403" ht="19" customHeight="1">
      <x:c r="A403" s="19" t="n">
        <x:v>9</x:v>
      </x:c>
      <x:c r="B403" s="19" t="str">
        <x:v>铆甲兵垒盾</x:v>
      </x:c>
      <x:c r="C403" s="24" t="n">
        <x:v>1</x:v>
      </x:c>
      <x:c r="D403" s="24" t="n">
        <x:v>120</x:v>
      </x:c>
      <x:c r="E403" s="24" t="n">
        <x:f>C403*D403</x:f>
        <x:v>120</x:v>
      </x:c>
      <x:c r="F403" s="19" t="str">
        <x:v>C09-M049</x:v>
      </x:c>
      <x:c r="G403" s="19" t="str">
        <x:v>真实穿戴/图鉴/基础件/洗练备件留用；不计同时分解</x:v>
      </x:c>
    </x:row>
    <x:row r="404" ht="19" customHeight="1">
      <x:c r="A404" s="19" t="n">
        <x:v>9</x:v>
      </x:c>
      <x:c r="B404" s="19" t="str">
        <x:v>拾箭童疾履</x:v>
      </x:c>
      <x:c r="C404" s="24" t="n">
        <x:v>1</x:v>
      </x:c>
      <x:c r="D404" s="24" t="n">
        <x:v>120</x:v>
      </x:c>
      <x:c r="E404" s="24" t="n">
        <x:f>C404*D404</x:f>
        <x:v>120</x:v>
      </x:c>
      <x:c r="F404" s="19" t="str">
        <x:v>C09-M050</x:v>
      </x:c>
      <x:c r="G404" s="19" t="str">
        <x:v>真实穿戴/图鉴/基础件/洗练备件留用；不计同时分解</x:v>
      </x:c>
    </x:row>
    <x:row r="405" ht="19" customHeight="1">
      <x:c r="A405" s="19" t="n">
        <x:v>9</x:v>
      </x:c>
      <x:c r="B405" s="19" t="str">
        <x:v>持炬枪卒矛</x:v>
      </x:c>
      <x:c r="C405" s="24" t="n">
        <x:v>1</x:v>
      </x:c>
      <x:c r="D405" s="24" t="n">
        <x:v>120</x:v>
      </x:c>
      <x:c r="E405" s="24" t="n">
        <x:f>C405*D405</x:f>
        <x:v>120</x:v>
      </x:c>
      <x:c r="F405" s="19" t="str">
        <x:v>C09-M051</x:v>
      </x:c>
      <x:c r="G405" s="19" t="str">
        <x:v>真实穿戴/图鉴/基础件/洗练备件留用；不计同时分解</x:v>
      </x:c>
    </x:row>
    <x:row r="406" ht="19" customHeight="1">
      <x:c r="A406" s="19" t="n">
        <x:v>9</x:v>
      </x:c>
      <x:c r="B406" s="19" t="str">
        <x:v>炊兵铁勺镯</x:v>
      </x:c>
      <x:c r="C406" s="24" t="n">
        <x:v>1</x:v>
      </x:c>
      <x:c r="D406" s="24" t="n">
        <x:v>120</x:v>
      </x:c>
      <x:c r="E406" s="24" t="n">
        <x:f>C406*D406</x:f>
        <x:v>120</x:v>
      </x:c>
      <x:c r="F406" s="19" t="str">
        <x:v>C09-M052</x:v>
      </x:c>
      <x:c r="G406" s="19" t="str">
        <x:v>真实穿戴/图鉴/基础件/洗练备件留用；不计同时分解</x:v>
      </x:c>
    </x:row>
    <x:row r="407" ht="19" customHeight="1">
      <x:c r="A407" s="19" t="n">
        <x:v>9</x:v>
      </x:c>
      <x:c r="B407" s="19" t="str">
        <x:v>罗梵迪壁垒长戟</x:v>
      </x:c>
      <x:c r="C407" s="24" t="n">
        <x:v>2</x:v>
      </x:c>
      <x:c r="D407" s="24" t="n">
        <x:v>500</x:v>
      </x:c>
      <x:c r="E407" s="24" t="n">
        <x:f>C407*D407</x:f>
        <x:v>1000</x:v>
      </x:c>
      <x:c r="F407" s="19" t="str">
        <x:v>C09-M059</x:v>
      </x:c>
      <x:c r="G407" s="19" t="str">
        <x:v>真实穿戴/图鉴/基础件/洗练备件留用；不计同时分解</x:v>
      </x:c>
    </x:row>
    <x:row r="408" ht="19" customHeight="1">
      <x:c r="A408" s="19" t="n">
        <x:v>9</x:v>
      </x:c>
      <x:c r="B408" s="19" t="str">
        <x:v>艾德莉雅鎏辉圣衣</x:v>
      </x:c>
      <x:c r="C408" s="24" t="n">
        <x:v>2</x:v>
      </x:c>
      <x:c r="D408" s="24" t="n">
        <x:v>500</x:v>
      </x:c>
      <x:c r="E408" s="24" t="n">
        <x:f>C408*D408</x:f>
        <x:v>1000</x:v>
      </x:c>
      <x:c r="F408" s="19" t="str">
        <x:v>C09-M048</x:v>
      </x:c>
      <x:c r="G408" s="19" t="str">
        <x:v>真实穿戴/图鉴/基础件/洗练备件留用；不计同时分解</x:v>
      </x:c>
    </x:row>
    <x:row r="409" ht="19" customHeight="1">
      <x:c r="A409" s="19" t="n">
        <x:v>9</x:v>
      </x:c>
      <x:c r="B409" s="19" t="str">
        <x:v>赫桑达执宪战衣</x:v>
      </x:c>
      <x:c r="C409" s="24" t="n">
        <x:v>2</x:v>
      </x:c>
      <x:c r="D409" s="24" t="n">
        <x:v>500</x:v>
      </x:c>
      <x:c r="E409" s="24" t="n">
        <x:f>C409*D409</x:f>
        <x:v>1000</x:v>
      </x:c>
      <x:c r="F409" s="19" t="str">
        <x:v>C09-M060</x:v>
      </x:c>
      <x:c r="G409" s="19" t="str">
        <x:v>真实穿戴/图鉴/基础件/洗练备件留用；不计同时分解</x:v>
      </x:c>
    </x:row>
    <x:row r="410" ht="19" customHeight="1">
      <x:c r="A410" s="19" t="n">
        <x:v>9</x:v>
      </x:c>
      <x:c r="B410" s="19" t="str">
        <x:v>逆风驿骑带</x:v>
      </x:c>
      <x:c r="C410" s="24" t="n">
        <x:v>1</x:v>
      </x:c>
      <x:c r="D410" s="24" t="n">
        <x:v>240</x:v>
      </x:c>
      <x:c r="E410" s="24" t="n">
        <x:f>C410*D410</x:f>
        <x:v>240</x:v>
      </x:c>
      <x:c r="F410" s="19" t="str">
        <x:v>C09-M008</x:v>
      </x:c>
      <x:c r="G410" s="19" t="str">
        <x:v>真实穿戴/图鉴/基础件/洗练备件留用；不计同时分解</x:v>
      </x:c>
    </x:row>
    <x:row r="411" ht="19" customHeight="1">
      <x:c r="A411" s="19" t="n">
        <x:v>9</x:v>
      </x:c>
      <x:c r="B411" s="19" t="str">
        <x:v>金颚守陵镯</x:v>
      </x:c>
      <x:c r="C411" s="24" t="n">
        <x:v>1</x:v>
      </x:c>
      <x:c r="D411" s="24" t="n">
        <x:v>240</x:v>
      </x:c>
      <x:c r="E411" s="24" t="n">
        <x:f>C411*D411</x:f>
        <x:v>240</x:v>
      </x:c>
      <x:c r="F411" s="19" t="str">
        <x:v>C09-M009</x:v>
      </x:c>
      <x:c r="G411" s="19" t="str">
        <x:v>真实穿戴/图鉴/基础件/洗练备件留用；不计同时分解</x:v>
      </x:c>
    </x:row>
    <x:row r="412" ht="19" customHeight="1">
      <x:c r="A412" s="19" t="n">
        <x:v>9</x:v>
      </x:c>
      <x:c r="B412" s="19" t="str">
        <x:v>阿维恩摘冠剑</x:v>
      </x:c>
      <x:c r="C412" s="24" t="n">
        <x:v>1</x:v>
      </x:c>
      <x:c r="D412" s="24" t="n">
        <x:v>500</x:v>
      </x:c>
      <x:c r="E412" s="24" t="n">
        <x:f>C412*D412</x:f>
        <x:v>500</x:v>
      </x:c>
      <x:c r="F412" s="19" t="str">
        <x:v>C09-M011</x:v>
      </x:c>
      <x:c r="G412" s="19" t="str">
        <x:v>真实穿戴/图鉴/基础件/洗练备件留用；不计同时分解</x:v>
      </x:c>
    </x:row>
    <x:row r="413" ht="19" customHeight="1">
      <x:c r="A413" s="19" t="n">
        <x:v>9</x:v>
      </x:c>
      <x:c r="B413" s="19" t="str">
        <x:v>驿卒挡风盔</x:v>
      </x:c>
      <x:c r="C413" s="24" t="n">
        <x:v>1</x:v>
      </x:c>
      <x:c r="D413" s="24" t="n">
        <x:v>120</x:v>
      </x:c>
      <x:c r="E413" s="24" t="n">
        <x:f>C413*D413</x:f>
        <x:v>120</x:v>
      </x:c>
      <x:c r="F413" s="19" t="str">
        <x:v>C09-M003</x:v>
      </x:c>
      <x:c r="G413" s="19" t="str">
        <x:v>真实穿戴/图鉴/基础件/洗练备件留用；不计同时分解</x:v>
      </x:c>
    </x:row>
    <x:row r="414" ht="19" customHeight="1">
      <x:c r="A414" s="19" t="n">
        <x:v>9</x:v>
      </x:c>
      <x:c r="B414" s="19" t="str">
        <x:v>高原日冠</x:v>
      </x:c>
      <x:c r="C414" s="24" t="n">
        <x:v>1</x:v>
      </x:c>
      <x:c r="D414" s="24" t="n">
        <x:v>500</x:v>
      </x:c>
      <x:c r="E414" s="24" t="n">
        <x:f>C414*D414</x:f>
        <x:v>500</x:v>
      </x:c>
      <x:c r="F414" s="19" t="str">
        <x:v>C09-M012</x:v>
      </x:c>
      <x:c r="G414" s="19" t="str">
        <x:v>真实穿戴/图鉴/基础件/洗练备件留用；不计同时分解</x:v>
      </x:c>
    </x:row>
    <x:row r="415" ht="19" customHeight="1">
      <x:c r="A415" s="19" t="n">
        <x:v>9</x:v>
      </x:c>
      <x:c r="B415" s="19" t="str">
        <x:v>吞金蜥尾带</x:v>
      </x:c>
      <x:c r="C415" s="24" t="n">
        <x:v>1</x:v>
      </x:c>
      <x:c r="D415" s="24" t="n">
        <x:v>240</x:v>
      </x:c>
      <x:c r="E415" s="24" t="n">
        <x:f>C415*D415</x:f>
        <x:v>240</x:v>
      </x:c>
      <x:c r="F415" s="19" t="str">
        <x:v>C09-M022</x:v>
      </x:c>
      <x:c r="G415" s="19" t="str">
        <x:v>真实穿戴/图鉴/基础件/洗练备件留用；不计同时分解</x:v>
      </x:c>
    </x:row>
    <x:row r="416" ht="19" customHeight="1">
      <x:c r="A416" s="19" t="n">
        <x:v>9</x:v>
      </x:c>
      <x:c r="B416" s="19" t="str">
        <x:v>听岩回声戒</x:v>
      </x:c>
      <x:c r="C416" s="24" t="n">
        <x:v>1</x:v>
      </x:c>
      <x:c r="D416" s="24" t="n">
        <x:v>240</x:v>
      </x:c>
      <x:c r="E416" s="24" t="n">
        <x:f>C416*D416</x:f>
        <x:v>240</x:v>
      </x:c>
      <x:c r="F416" s="19" t="str">
        <x:v>C09-M021</x:v>
      </x:c>
      <x:c r="G416" s="19" t="str">
        <x:v>真实穿戴/图鉴/基础件/洗练备件留用；不计同时分解</x:v>
      </x:c>
    </x:row>
    <x:row r="417" ht="19" customHeight="1">
      <x:c r="A417" s="19" t="n">
        <x:v>9</x:v>
      </x:c>
      <x:c r="B417" s="19" t="str">
        <x:v>哑钟监工盔</x:v>
      </x:c>
      <x:c r="C417" s="24" t="n">
        <x:v>1</x:v>
      </x:c>
      <x:c r="D417" s="24" t="n">
        <x:v>240</x:v>
      </x:c>
      <x:c r="E417" s="24" t="n">
        <x:f>C417*D417</x:f>
        <x:v>240</x:v>
      </x:c>
      <x:c r="F417" s="19" t="str">
        <x:v>C09-M019</x:v>
      </x:c>
      <x:c r="G417" s="19" t="str">
        <x:v>真实穿戴/图鉴/基础件/洗练备件留用；不计同时分解</x:v>
      </x:c>
    </x:row>
    <x:row r="418" ht="19" customHeight="1">
      <x:c r="A418" s="19" t="n">
        <x:v>9</x:v>
      </x:c>
      <x:c r="B418" s="19" t="str">
        <x:v>奥莉莎矿心甲</x:v>
      </x:c>
      <x:c r="C418" s="24" t="n">
        <x:v>1</x:v>
      </x:c>
      <x:c r="D418" s="24" t="n">
        <x:v>500</x:v>
      </x:c>
      <x:c r="E418" s="24" t="n">
        <x:f>C418*D418</x:f>
        <x:v>500</x:v>
      </x:c>
      <x:c r="F418" s="19" t="str">
        <x:v>C09-M024</x:v>
      </x:c>
      <x:c r="G418" s="19" t="str">
        <x:v>真实穿戴/图鉴/基础件/洗练备件留用；不计同时分解</x:v>
      </x:c>
    </x:row>
    <x:row r="419" ht="19" customHeight="1">
      <x:c r="A419" s="19" t="n">
        <x:v>9</x:v>
      </x:c>
      <x:c r="B419" s="19" t="str">
        <x:v>布洛克断索锤</x:v>
      </x:c>
      <x:c r="C419" s="24" t="n">
        <x:v>1</x:v>
      </x:c>
      <x:c r="D419" s="24" t="n">
        <x:v>500</x:v>
      </x:c>
      <x:c r="E419" s="24" t="n">
        <x:f>C419*D419</x:f>
        <x:v>500</x:v>
      </x:c>
      <x:c r="F419" s="19" t="str">
        <x:v>C09-M023</x:v>
      </x:c>
      <x:c r="G419" s="19" t="str">
        <x:v>真实穿戴/图鉴/基础件/洗练备件留用；不计同时分解</x:v>
      </x:c>
    </x:row>
    <x:row r="420" ht="19" customHeight="1">
      <x:c r="A420" s="19" t="n">
        <x:v>9</x:v>
      </x:c>
      <x:c r="B420" s="19" t="str">
        <x:v>提灯旧毡笠</x:v>
      </x:c>
      <x:c r="C420" s="24" t="n">
        <x:v>1</x:v>
      </x:c>
      <x:c r="D420" s="24" t="n">
        <x:v>120</x:v>
      </x:c>
      <x:c r="E420" s="24" t="n">
        <x:f>C420*D420</x:f>
        <x:v>120</x:v>
      </x:c>
      <x:c r="F420" s="19" t="str">
        <x:v>C09-M016</x:v>
      </x:c>
      <x:c r="G420" s="19" t="str">
        <x:v>真实穿戴/图鉴/基础件/洗练备件留用；不计同时分解</x:v>
      </x:c>
    </x:row>
    <x:row r="421" ht="19" customHeight="1">
      <x:c r="A421" s="19" t="n">
        <x:v>9</x:v>
      </x:c>
      <x:c r="B421" s="19" t="str">
        <x:v>晶背层岩盾</x:v>
      </x:c>
      <x:c r="C421" s="24" t="n">
        <x:v>1</x:v>
      </x:c>
      <x:c r="D421" s="24" t="n">
        <x:v>120</x:v>
      </x:c>
      <x:c r="E421" s="24" t="n">
        <x:f>C421*D421</x:f>
        <x:v>120</x:v>
      </x:c>
      <x:c r="F421" s="19" t="str">
        <x:v>C09-M018</x:v>
      </x:c>
      <x:c r="G421" s="19" t="str">
        <x:v>真实穿戴/图鉴/基础件/洗练备件留用；不计同时分解</x:v>
      </x:c>
    </x:row>
    <x:row r="422" ht="19" customHeight="1">
      <x:c r="A422" s="19" t="n">
        <x:v>9</x:v>
      </x:c>
      <x:c r="B422" s="19" t="str">
        <x:v>熔勺婆铜镯</x:v>
      </x:c>
      <x:c r="C422" s="24" t="n">
        <x:v>1</x:v>
      </x:c>
      <x:c r="D422" s="24" t="n">
        <x:v>240</x:v>
      </x:c>
      <x:c r="E422" s="24" t="n">
        <x:f>C422*D422</x:f>
        <x:v>240</x:v>
      </x:c>
      <x:c r="F422" s="19" t="str">
        <x:v>C09-M020</x:v>
      </x:c>
      <x:c r="G422" s="19" t="str">
        <x:v>真实穿戴/图鉴/基础件/洗练备件留用；不计同时分解</x:v>
      </x:c>
    </x:row>
    <x:row r="423" ht="19" customHeight="1">
      <x:c r="A423" s="19" t="n">
        <x:v>9</x:v>
      </x:c>
      <x:c r="B423" s="19" t="str">
        <x:v>黄金回音坠</x:v>
      </x:c>
      <x:c r="C423" s="24" t="n">
        <x:v>1</x:v>
      </x:c>
      <x:c r="D423" s="24" t="n">
        <x:v>500</x:v>
      </x:c>
      <x:c r="E423" s="24" t="n">
        <x:f>C423*D423</x:f>
        <x:v>500</x:v>
      </x:c>
      <x:c r="F423" s="19" t="str">
        <x:v>C09-M024</x:v>
      </x:c>
      <x:c r="G423" s="19" t="str">
        <x:v>真实穿戴/图鉴/基础件/洗练备件留用；不计同时分解</x:v>
      </x:c>
    </x:row>
    <x:row r="424" ht="19" customHeight="1">
      <x:c r="A424" s="19" t="n">
        <x:v>9</x:v>
      </x:c>
      <x:c r="B424" s="19" t="str">
        <x:v>壁龛守烛坠</x:v>
      </x:c>
      <x:c r="C424" s="24" t="n">
        <x:v>1</x:v>
      </x:c>
      <x:c r="D424" s="24" t="n">
        <x:v>120</x:v>
      </x:c>
      <x:c r="E424" s="24" t="n">
        <x:f>C424*D424</x:f>
        <x:v>120</x:v>
      </x:c>
      <x:c r="F424" s="19" t="str">
        <x:v>C09-M028</x:v>
      </x:c>
      <x:c r="G424" s="19" t="str">
        <x:v>真实穿戴/图鉴/基础件/洗练备件留用；不计同时分解</x:v>
      </x:c>
    </x:row>
    <x:row r="425" ht="19" customHeight="1">
      <x:c r="A425" s="19" t="n">
        <x:v>9</x:v>
      </x:c>
      <x:c r="B425" s="19" t="str">
        <x:v>奥瑞昂不醒王衣</x:v>
      </x:c>
      <x:c r="C425" s="24" t="n">
        <x:v>1</x:v>
      </x:c>
      <x:c r="D425" s="24" t="n">
        <x:v>500</x:v>
      </x:c>
      <x:c r="E425" s="24" t="n">
        <x:f>C425*D425</x:f>
        <x:v>500</x:v>
      </x:c>
      <x:c r="F425" s="19" t="str">
        <x:v>C09-M036</x:v>
      </x:c>
      <x:c r="G425" s="19" t="str">
        <x:v>真实穿戴/图鉴/基础件/洗练备件留用；不计同时分解</x:v>
      </x:c>
    </x:row>
    <x:row r="426" ht="19" customHeight="1">
      <x:c r="A426" s="19" t="n">
        <x:v>9</x:v>
      </x:c>
      <x:c r="B426" s="19" t="str">
        <x:v>守印妃金戒</x:v>
      </x:c>
      <x:c r="C426" s="24" t="n">
        <x:v>1</x:v>
      </x:c>
      <x:c r="D426" s="24" t="n">
        <x:v>240</x:v>
      </x:c>
      <x:c r="E426" s="24" t="n">
        <x:f>C426*D426</x:f>
        <x:v>240</x:v>
      </x:c>
      <x:c r="F426" s="19" t="str">
        <x:v>C09-M033</x:v>
      </x:c>
      <x:c r="G426" s="19" t="str">
        <x:v>真实穿戴/图鉴/基础件/洗练备件留用；不计同时分解</x:v>
      </x:c>
    </x:row>
    <x:row r="427" ht="19" customHeight="1">
      <x:c r="A427" s="19" t="n">
        <x:v>9</x:v>
      </x:c>
      <x:c r="B427" s="19" t="str">
        <x:v>无面近卫盔</x:v>
      </x:c>
      <x:c r="C427" s="24" t="n">
        <x:v>1</x:v>
      </x:c>
      <x:c r="D427" s="24" t="n">
        <x:v>240</x:v>
      </x:c>
      <x:c r="E427" s="24" t="n">
        <x:f>C427*D427</x:f>
        <x:v>240</x:v>
      </x:c>
      <x:c r="F427" s="19" t="str">
        <x:v>C09-M032</x:v>
      </x:c>
      <x:c r="G427" s="19" t="str">
        <x:v>真实穿戴/图鉴/基础件/洗练备件留用；不计同时分解</x:v>
      </x:c>
    </x:row>
    <x:row r="428" ht="19" customHeight="1">
      <x:c r="A428" s="19" t="n">
        <x:v>9</x:v>
      </x:c>
      <x:c r="B428" s="19" t="str">
        <x:v>梅尔顿封棺钺</x:v>
      </x:c>
      <x:c r="C428" s="24" t="n">
        <x:v>1</x:v>
      </x:c>
      <x:c r="D428" s="24" t="n">
        <x:v>500</x:v>
      </x:c>
      <x:c r="E428" s="24" t="n">
        <x:f>C428*D428</x:f>
        <x:v>500</x:v>
      </x:c>
      <x:c r="F428" s="19" t="str">
        <x:v>C09-M035</x:v>
      </x:c>
      <x:c r="G428" s="19" t="str">
        <x:v>真实穿戴/图鉴/基础件/洗练备件留用；不计同时分解</x:v>
      </x:c>
    </x:row>
    <x:row r="429" ht="19" customHeight="1">
      <x:c r="A429" s="19" t="n">
        <x:v>9</x:v>
      </x:c>
      <x:c r="B429" s="19" t="str">
        <x:v>葬犬衔骨镯</x:v>
      </x:c>
      <x:c r="C429" s="24" t="n">
        <x:v>1</x:v>
      </x:c>
      <x:c r="D429" s="24" t="n">
        <x:v>120</x:v>
      </x:c>
      <x:c r="E429" s="24" t="n">
        <x:f>C429*D429</x:f>
        <x:v>120</x:v>
      </x:c>
      <x:c r="F429" s="19" t="str">
        <x:v>C09-M030</x:v>
      </x:c>
      <x:c r="G429" s="19" t="str">
        <x:v>真实穿戴/图鉴/基础件/洗练备件留用；不计同时分解</x:v>
      </x:c>
    </x:row>
    <x:row r="430" ht="19" customHeight="1">
      <x:c r="A430" s="19" t="n">
        <x:v>9</x:v>
      </x:c>
      <x:c r="B430" s="19" t="str">
        <x:v>誓印日轮镯</x:v>
      </x:c>
      <x:c r="C430" s="24" t="n">
        <x:v>1</x:v>
      </x:c>
      <x:c r="D430" s="24" t="n">
        <x:v>500</x:v>
      </x:c>
      <x:c r="E430" s="24" t="n">
        <x:f>C430*D430</x:f>
        <x:v>500</x:v>
      </x:c>
      <x:c r="F430" s="19" t="str">
        <x:v>C09-M036</x:v>
      </x:c>
      <x:c r="G430" s="19" t="str">
        <x:v>真实穿戴/图鉴/基础件/洗练备件留用；不计同时分解</x:v>
      </x:c>
    </x:row>
    <x:row r="431" ht="19" customHeight="1">
      <x:c r="A431" s="19" t="n">
        <x:v>9</x:v>
      </x:c>
      <x:c r="B431" s="19" t="str">
        <x:v>问名官冥笠</x:v>
      </x:c>
      <x:c r="C431" s="24" t="n">
        <x:v>1</x:v>
      </x:c>
      <x:c r="D431" s="24" t="n">
        <x:v>240</x:v>
      </x:c>
      <x:c r="E431" s="24" t="n">
        <x:f>C431*D431</x:f>
        <x:v>240</x:v>
      </x:c>
      <x:c r="F431" s="19" t="str">
        <x:v>C09-M031</x:v>
      </x:c>
      <x:c r="G431" s="19" t="str">
        <x:v>真实穿戴/图鉴/基础件/洗练备件留用；不计同时分解</x:v>
      </x:c>
    </x:row>
    <x:row r="432" ht="19" customHeight="1">
      <x:c r="A432" s="19" t="n">
        <x:v>9</x:v>
      </x:c>
      <x:c r="B432" s="19" t="str">
        <x:v>食梦蝉蜕带</x:v>
      </x:c>
      <x:c r="C432" s="24" t="n">
        <x:v>1</x:v>
      </x:c>
      <x:c r="D432" s="24" t="n">
        <x:v>240</x:v>
      </x:c>
      <x:c r="E432" s="24" t="n">
        <x:f>C432*D432</x:f>
        <x:v>240</x:v>
      </x:c>
      <x:c r="F432" s="19" t="str">
        <x:v>C09-M034</x:v>
      </x:c>
      <x:c r="G432" s="19" t="str">
        <x:v>真实穿戴/图鉴/基础件/洗练备件留用；不计同时分解</x:v>
      </x:c>
    </x:row>
    <x:row r="433" ht="19" customHeight="1">
      <x:c r="A433" s="19" t="n">
        <x:v>10</x:v>
      </x:c>
      <x:c r="B433" s="19" t="str">
        <x:v>赫芮迦穹霜王衣</x:v>
      </x:c>
      <x:c r="C433" s="24" t="n">
        <x:v>1</x:v>
      </x:c>
      <x:c r="D433" s="24" t="n">
        <x:v>400</x:v>
      </x:c>
      <x:c r="E433" s="24" t="n">
        <x:f>C433*D433</x:f>
        <x:v>400</x:v>
      </x:c>
      <x:c r="F433" s="19" t="str">
        <x:v>C08-M048</x:v>
      </x:c>
      <x:c r="G433" s="19" t="str">
        <x:v>真实穿戴/图鉴/基础件/洗练备件留用；不计同时分解</x:v>
      </x:c>
    </x:row>
    <x:row r="434" ht="19" customHeight="1">
      <x:c r="A434" s="19" t="n">
        <x:v>10</x:v>
      </x:c>
      <x:c r="B434" s="19" t="str">
        <x:v>格罗尔冬眠刃</x:v>
      </x:c>
      <x:c r="C434" s="24" t="n">
        <x:v>1</x:v>
      </x:c>
      <x:c r="D434" s="24" t="n">
        <x:v>400</x:v>
      </x:c>
      <x:c r="E434" s="24" t="n">
        <x:f>C434*D434</x:f>
        <x:v>400</x:v>
      </x:c>
      <x:c r="F434" s="19" t="str">
        <x:v>C08-M047</x:v>
      </x:c>
      <x:c r="G434" s="19" t="str">
        <x:v>真实穿戴/图鉴/基础件/洗练备件留用；不计同时分解</x:v>
      </x:c>
    </x:row>
    <x:row r="435" ht="19" customHeight="1">
      <x:c r="A435" s="19" t="n">
        <x:v>10</x:v>
      </x:c>
      <x:c r="B435" s="19" t="str">
        <x:v>拾烬钩刃</x:v>
      </x:c>
      <x:c r="C435" s="24" t="n">
        <x:v>1</x:v>
      </x:c>
      <x:c r="D435" s="24" t="n">
        <x:v>150</x:v>
      </x:c>
      <x:c r="E435" s="24" t="n">
        <x:f>C435*D435</x:f>
        <x:v>150</x:v>
      </x:c>
      <x:c r="F435" s="19" t="str">
        <x:v>C10-M001</x:v>
      </x:c>
      <x:c r="G435" s="19" t="str">
        <x:v>真实穿戴/图鉴/基础件/洗练备件留用；不计同时分解</x:v>
      </x:c>
    </x:row>
    <x:row r="436" ht="19" customHeight="1">
      <x:c r="A436" s="19" t="n">
        <x:v>10</x:v>
      </x:c>
      <x:c r="B436" s="19" t="str">
        <x:v>伏砖旧革靴</x:v>
      </x:c>
      <x:c r="C436" s="24" t="n">
        <x:v>2</x:v>
      </x:c>
      <x:c r="D436" s="24" t="n">
        <x:v>150</x:v>
      </x:c>
      <x:c r="E436" s="24" t="n">
        <x:f>C436*D436</x:f>
        <x:v>300</x:v>
      </x:c>
      <x:c r="F436" s="19" t="str">
        <x:v>C10-M003</x:v>
      </x:c>
      <x:c r="G436" s="19" t="str">
        <x:v>真实穿戴/图鉴/基础件/洗练备件留用；不计同时分解</x:v>
      </x:c>
    </x:row>
    <x:row r="437" ht="19" customHeight="1">
      <x:c r="A437" s="19" t="n">
        <x:v>10</x:v>
      </x:c>
      <x:c r="B437" s="19" t="str">
        <x:v>缚铃窄项圈</x:v>
      </x:c>
      <x:c r="C437" s="24" t="n">
        <x:v>1</x:v>
      </x:c>
      <x:c r="D437" s="24" t="n">
        <x:v>150</x:v>
      </x:c>
      <x:c r="E437" s="24" t="n">
        <x:f>C437*D437</x:f>
        <x:v>150</x:v>
      </x:c>
      <x:c r="F437" s="19" t="str">
        <x:v>C10-M004</x:v>
      </x:c>
      <x:c r="G437" s="19" t="str">
        <x:v>真实穿戴/图鉴/基础件/洗练备件留用；不计同时分解</x:v>
      </x:c>
    </x:row>
    <x:row r="438" ht="19" customHeight="1">
      <x:c r="A438" s="19" t="n">
        <x:v>10</x:v>
      </x:c>
      <x:c r="B438" s="19" t="str">
        <x:v>淤甲闸工衣</x:v>
      </x:c>
      <x:c r="C438" s="24" t="n">
        <x:v>1</x:v>
      </x:c>
      <x:c r="D438" s="24" t="n">
        <x:v>150</x:v>
      </x:c>
      <x:c r="E438" s="24" t="n">
        <x:f>C438*D438</x:f>
        <x:v>150</x:v>
      </x:c>
      <x:c r="F438" s="19" t="str">
        <x:v>C10-M005</x:v>
      </x:c>
      <x:c r="G438" s="19" t="str">
        <x:v>真实穿戴/图鉴/基础件/洗练备件留用；不计同时分解</x:v>
      </x:c>
    </x:row>
    <x:row r="439" ht="19" customHeight="1">
      <x:c r="A439" s="19" t="n">
        <x:v>10</x:v>
      </x:c>
      <x:c r="B439" s="19" t="str">
        <x:v>万冠司仪冠</x:v>
      </x:c>
      <x:c r="C439" s="24" t="n">
        <x:v>1</x:v>
      </x:c>
      <x:c r="D439" s="24" t="n">
        <x:v>600</x:v>
      </x:c>
      <x:c r="E439" s="24" t="n">
        <x:f>C439*D439</x:f>
        <x:v>600</x:v>
      </x:c>
      <x:c r="F439" s="19" t="str">
        <x:v>C10-M012</x:v>
      </x:c>
      <x:c r="G439" s="19" t="str">
        <x:v>真实穿戴/图鉴/基础件/洗练备件留用；不计同时分解</x:v>
      </x:c>
    </x:row>
    <x:row r="440" ht="19" customHeight="1">
      <x:c r="A440" s="19" t="n">
        <x:v>10</x:v>
      </x:c>
      <x:c r="B440" s="19" t="str">
        <x:v>金垢噬骨爪</x:v>
      </x:c>
      <x:c r="C440" s="24" t="n">
        <x:v>1</x:v>
      </x:c>
      <x:c r="D440" s="24" t="n">
        <x:v>150</x:v>
      </x:c>
      <x:c r="E440" s="24" t="n">
        <x:f>C440*D440</x:f>
        <x:v>150</x:v>
      </x:c>
      <x:c r="F440" s="19" t="str">
        <x:v>C10-M013</x:v>
      </x:c>
      <x:c r="G440" s="19" t="str">
        <x:v>真实穿戴/图鉴/基础件/洗练备件留用；不计同时分解</x:v>
      </x:c>
    </x:row>
    <x:row r="441" ht="19" customHeight="1">
      <x:c r="A441" s="19" t="n">
        <x:v>10</x:v>
      </x:c>
      <x:c r="B441" s="19" t="str">
        <x:v>捞骨防污衣</x:v>
      </x:c>
      <x:c r="C441" s="24" t="n">
        <x:v>1</x:v>
      </x:c>
      <x:c r="D441" s="24" t="n">
        <x:v>150</x:v>
      </x:c>
      <x:c r="E441" s="24" t="n">
        <x:f>C441*D441</x:f>
        <x:v>150</x:v>
      </x:c>
      <x:c r="F441" s="19" t="str">
        <x:v>C10-M014</x:v>
      </x:c>
      <x:c r="G441" s="19" t="str">
        <x:v>真实穿戴/图鉴/基础件/洗练备件留用；不计同时分解</x:v>
      </x:c>
    </x:row>
    <x:row r="442" ht="19" customHeight="1">
      <x:c r="A442" s="19" t="n">
        <x:v>10</x:v>
      </x:c>
      <x:c r="B442" s="19" t="str">
        <x:v>鸣管鳞盔</x:v>
      </x:c>
      <x:c r="C442" s="24" t="n">
        <x:v>1</x:v>
      </x:c>
      <x:c r="D442" s="24" t="n">
        <x:v>150</x:v>
      </x:c>
      <x:c r="E442" s="24" t="n">
        <x:f>C442*D442</x:f>
        <x:v>150</x:v>
      </x:c>
      <x:c r="F442" s="19" t="str">
        <x:v>C10-M015</x:v>
      </x:c>
      <x:c r="G442" s="19" t="str">
        <x:v>真实穿戴/图鉴/基础件/洗练备件留用；不计同时分解</x:v>
      </x:c>
    </x:row>
    <x:row r="443" ht="19" customHeight="1">
      <x:c r="A443" s="19" t="n">
        <x:v>10</x:v>
      </x:c>
      <x:c r="B443" s="19" t="str">
        <x:v>盘阀锁流带</x:v>
      </x:c>
      <x:c r="C443" s="24" t="n">
        <x:v>1</x:v>
      </x:c>
      <x:c r="D443" s="24" t="n">
        <x:v>150</x:v>
      </x:c>
      <x:c r="E443" s="24" t="n">
        <x:f>C443*D443</x:f>
        <x:v>150</x:v>
      </x:c>
      <x:c r="F443" s="19" t="str">
        <x:v>C10-M017</x:v>
      </x:c>
      <x:c r="G443" s="19" t="str">
        <x:v>真实穿戴/图鉴/基础件/洗练备件留用；不计同时分解</x:v>
      </x:c>
    </x:row>
    <x:row r="444" ht="19" customHeight="1">
      <x:c r="A444" s="19" t="n">
        <x:v>10</x:v>
      </x:c>
      <x:c r="B444" s="19" t="str">
        <x:v>剜影巷钟章</x:v>
      </x:c>
      <x:c r="C444" s="24" t="n">
        <x:v>1</x:v>
      </x:c>
      <x:c r="D444" s="24" t="n">
        <x:v>300</x:v>
      </x:c>
      <x:c r="E444" s="24" t="n">
        <x:f>C444*D444</x:f>
        <x:v>300</x:v>
      </x:c>
      <x:c r="F444" s="19" t="str">
        <x:v>C10-M009</x:v>
      </x:c>
      <x:c r="G444" s="19" t="str">
        <x:v>真实穿戴/图鉴/基础件/洗练备件留用；不计同时分解</x:v>
      </x:c>
    </x:row>
    <x:row r="445" ht="19" customHeight="1">
      <x:c r="A445" s="19" t="n">
        <x:v>10</x:v>
      </x:c>
      <x:c r="B445" s="19" t="str">
        <x:v>铲痕护矿盔</x:v>
      </x:c>
      <x:c r="C445" s="24" t="n">
        <x:v>1</x:v>
      </x:c>
      <x:c r="D445" s="24" t="n">
        <x:v>150</x:v>
      </x:c>
      <x:c r="E445" s="24" t="n">
        <x:f>C445*D445</x:f>
        <x:v>150</x:v>
      </x:c>
      <x:c r="F445" s="19" t="str">
        <x:v>C10-M025</x:v>
      </x:c>
      <x:c r="G445" s="19" t="str">
        <x:v>真实穿戴/图鉴/基础件/洗练备件留用；不计同时分解</x:v>
      </x:c>
    </x:row>
    <x:row r="446" ht="19" customHeight="1">
      <x:c r="A446" s="19" t="n">
        <x:v>10</x:v>
      </x:c>
      <x:c r="B446" s="19" t="str">
        <x:v>崩轨拖链盾</x:v>
      </x:c>
      <x:c r="C446" s="24" t="n">
        <x:v>1</x:v>
      </x:c>
      <x:c r="D446" s="24" t="n">
        <x:v>150</x:v>
      </x:c>
      <x:c r="E446" s="24" t="n">
        <x:f>C446*D446</x:f>
        <x:v>150</x:v>
      </x:c>
      <x:c r="F446" s="19" t="str">
        <x:v>C10-M027</x:v>
      </x:c>
      <x:c r="G446" s="19" t="str">
        <x:v>真实穿戴/图鉴/基础件/洗练备件留用；不计同时分解</x:v>
      </x:c>
    </x:row>
    <x:row r="447" ht="19" customHeight="1">
      <x:c r="A447" s="19" t="n">
        <x:v>10</x:v>
      </x:c>
      <x:c r="B447" s="19" t="str">
        <x:v>冷砧铆甲衣</x:v>
      </x:c>
      <x:c r="C447" s="24" t="n">
        <x:v>1</x:v>
      </x:c>
      <x:c r="D447" s="24" t="n">
        <x:v>150</x:v>
      </x:c>
      <x:c r="E447" s="24" t="n">
        <x:f>C447*D447</x:f>
        <x:v>150</x:v>
      </x:c>
      <x:c r="F447" s="19" t="str">
        <x:v>C10-M028</x:v>
      </x:c>
      <x:c r="G447" s="19" t="str">
        <x:v>真实穿戴/图鉴/基础件/洗练备件留用；不计同时分解</x:v>
      </x:c>
    </x:row>
    <x:row r="448" ht="19" customHeight="1">
      <x:c r="A448" s="19" t="n">
        <x:v>10</x:v>
      </x:c>
      <x:c r="B448" s="19" t="str">
        <x:v>裂晶钻颚刃</x:v>
      </x:c>
      <x:c r="C448" s="24" t="n">
        <x:v>1</x:v>
      </x:c>
      <x:c r="D448" s="24" t="n">
        <x:v>150</x:v>
      </x:c>
      <x:c r="E448" s="24" t="n">
        <x:f>C448*D448</x:f>
        <x:v>150</x:v>
      </x:c>
      <x:c r="F448" s="19" t="str">
        <x:v>C10-M029</x:v>
      </x:c>
      <x:c r="G448" s="19" t="str">
        <x:v>真实穿戴/图鉴/基础件/洗练备件留用；不计同时分解</x:v>
      </x:c>
    </x:row>
    <x:row r="449" ht="19" customHeight="1">
      <x:c r="A449" s="19" t="n">
        <x:v>10</x:v>
      </x:c>
      <x:c r="B449" s="19" t="str">
        <x:v>千锁断流铡</x:v>
      </x:c>
      <x:c r="C449" s="24" t="n">
        <x:v>3</x:v>
      </x:c>
      <x:c r="D449" s="24" t="n">
        <x:v>600</x:v>
      </x:c>
      <x:c r="E449" s="24" t="n">
        <x:f>C449*D449</x:f>
        <x:v>1800</x:v>
      </x:c>
      <x:c r="F449" s="19" t="str">
        <x:v>C10-M012</x:v>
      </x:c>
      <x:c r="G449" s="19" t="str">
        <x:v>真实穿戴/图鉴/基础件/洗练备件留用；不计同时分解</x:v>
      </x:c>
    </x:row>
    <x:row r="450" ht="19" customHeight="1">
      <x:c r="A450" s="19" t="n">
        <x:v>10</x:v>
      </x:c>
      <x:c r="B450" s="19" t="str">
        <x:v>熔冠镇脉巨锤</x:v>
      </x:c>
      <x:c r="C450" s="24" t="n">
        <x:v>3</x:v>
      </x:c>
      <x:c r="D450" s="24" t="n">
        <x:v>600</x:v>
      </x:c>
      <x:c r="E450" s="24" t="n">
        <x:f>C450*D450</x:f>
        <x:v>1800</x:v>
      </x:c>
      <x:c r="F450" s="19" t="str">
        <x:v>C10-M036</x:v>
      </x:c>
      <x:c r="G450" s="19" t="str">
        <x:v>真实穿戴/图鉴/基础件/洗练备件留用；不计同时分解</x:v>
      </x:c>
    </x:row>
    <x:row r="451" ht="19" customHeight="1">
      <x:c r="A451" s="19" t="n">
        <x:v>10</x:v>
      </x:c>
      <x:c r="B451" s="19" t="str">
        <x:v>刮蜡墓烛匕</x:v>
      </x:c>
      <x:c r="C451" s="24" t="n">
        <x:v>1</x:v>
      </x:c>
      <x:c r="D451" s="24" t="n">
        <x:v>150</x:v>
      </x:c>
      <x:c r="E451" s="24" t="n">
        <x:f>C451*D451</x:f>
        <x:v>150</x:v>
      </x:c>
      <x:c r="F451" s="19" t="str">
        <x:v>C10-M037</x:v>
      </x:c>
      <x:c r="G451" s="19" t="str">
        <x:v>真实穿戴/图鉴/基础件/洗练备件留用；不计同时分解</x:v>
      </x:c>
    </x:row>
    <x:row r="452" ht="19" customHeight="1">
      <x:c r="A452" s="19" t="n">
        <x:v>10</x:v>
      </x:c>
      <x:c r="B452" s="19" t="str">
        <x:v>执幡骨纹盔</x:v>
      </x:c>
      <x:c r="C452" s="24" t="n">
        <x:v>2</x:v>
      </x:c>
      <x:c r="D452" s="24" t="n">
        <x:v>150</x:v>
      </x:c>
      <x:c r="E452" s="24" t="n">
        <x:f>C452*D452</x:f>
        <x:v>300</x:v>
      </x:c>
      <x:c r="F452" s="19" t="str">
        <x:v>C10-M039</x:v>
      </x:c>
      <x:c r="G452" s="19" t="str">
        <x:v>真实穿戴/图鉴/基础件/洗练备件留用；不计同时分解</x:v>
      </x:c>
    </x:row>
    <x:row r="453" ht="19" customHeight="1">
      <x:c r="A453" s="19" t="n">
        <x:v>10</x:v>
      </x:c>
      <x:c r="B453" s="19" t="str">
        <x:v>抱瓮缚灵镯</x:v>
      </x:c>
      <x:c r="C453" s="24" t="n">
        <x:v>1</x:v>
      </x:c>
      <x:c r="D453" s="24" t="n">
        <x:v>150</x:v>
      </x:c>
      <x:c r="E453" s="24" t="n">
        <x:f>C453*D453</x:f>
        <x:v>150</x:v>
      </x:c>
      <x:c r="F453" s="19" t="str">
        <x:v>C10-M041</x:v>
      </x:c>
      <x:c r="G453" s="19" t="str">
        <x:v>真实穿戴/图鉴/基础件/洗练备件留用；不计同时分解</x:v>
      </x:c>
    </x:row>
    <x:row r="454" ht="19" customHeight="1">
      <x:c r="A454" s="19" t="n">
        <x:v>10</x:v>
      </x:c>
      <x:c r="B454" s="19" t="str">
        <x:v>枕陵掘痕靴</x:v>
      </x:c>
      <x:c r="C454" s="24" t="n">
        <x:v>1</x:v>
      </x:c>
      <x:c r="D454" s="24" t="n">
        <x:v>150</x:v>
      </x:c>
      <x:c r="E454" s="24" t="n">
        <x:f>C454*D454</x:f>
        <x:v>150</x:v>
      </x:c>
      <x:c r="F454" s="19" t="str">
        <x:v>C10-M042</x:v>
      </x:c>
      <x:c r="G454" s="19" t="str">
        <x:v>真实穿戴/图鉴/基础件/洗练备件留用；不计同时分解</x:v>
      </x:c>
    </x:row>
    <x:row r="455" ht="19" customHeight="1">
      <x:c r="A455" s="19" t="n">
        <x:v>10</x:v>
      </x:c>
      <x:c r="B455" s="19" t="str">
        <x:v>失乡戌狗</x:v>
      </x:c>
      <x:c r="C455" s="24" t="n">
        <x:v>1</x:v>
      </x:c>
      <x:c r="D455" s="24" t="n">
        <x:v>80</x:v>
      </x:c>
      <x:c r="E455" s="24" t="n">
        <x:f>C455*D455</x:f>
        <x:v>80</x:v>
      </x:c>
      <x:c r="F455" s="19" t="str">
        <x:v>EL-MON-LIM-CASTLE-012</x:v>
      </x:c>
      <x:c r="G455" s="19" t="str">
        <x:v>真实穿戴/图鉴/基础件/洗练备件留用；不计同时分解</x:v>
      </x:c>
    </x:row>
    <x:row r="456" ht="19" customHeight="1">
      <x:c r="A456" s="19" t="n">
        <x:v>10</x:v>
      </x:c>
      <x:c r="B456" s="19" t="str">
        <x:v>返魂寝门盾</x:v>
      </x:c>
      <x:c r="C456" s="24" t="n">
        <x:v>1</x:v>
      </x:c>
      <x:c r="D456" s="24" t="n">
        <x:v>300</x:v>
      </x:c>
      <x:c r="E456" s="24" t="n">
        <x:f>C456*D456</x:f>
        <x:v>300</x:v>
      </x:c>
      <x:c r="F456" s="19" t="str">
        <x:v>C10-M046</x:v>
      </x:c>
      <x:c r="G456" s="19" t="str">
        <x:v>真实穿戴/图鉴/基础件/洗练备件留用；不计同时分解</x:v>
      </x:c>
    </x:row>
    <x:row r="457" ht="19" customHeight="1">
      <x:c r="A457" s="19" t="n">
        <x:v>10</x:v>
      </x:c>
      <x:c r="B457" s="19" t="str">
        <x:v>斑墙巡灯盔</x:v>
      </x:c>
      <x:c r="C457" s="24" t="n">
        <x:v>1</x:v>
      </x:c>
      <x:c r="D457" s="24" t="n">
        <x:v>150</x:v>
      </x:c>
      <x:c r="E457" s="24" t="n">
        <x:f>C457*D457</x:f>
        <x:v>150</x:v>
      </x:c>
      <x:c r="F457" s="19" t="str">
        <x:v>C10-M002</x:v>
      </x:c>
      <x:c r="G457" s="19" t="str">
        <x:v>真实穿戴/图鉴/基础件/洗练备件留用；不计同时分解</x:v>
      </x:c>
    </x:row>
    <x:row r="458" ht="19" customHeight="1">
      <x:c r="A458" s="19" t="n">
        <x:v>10</x:v>
      </x:c>
      <x:c r="B458" s="19" t="str">
        <x:v>扫阶日轮刃</x:v>
      </x:c>
      <x:c r="C458" s="24" t="n">
        <x:v>1</x:v>
      </x:c>
      <x:c r="D458" s="24" t="n">
        <x:v>150</x:v>
      </x:c>
      <x:c r="E458" s="24" t="n">
        <x:f>C458*D458</x:f>
        <x:v>150</x:v>
      </x:c>
      <x:c r="F458" s="19" t="str">
        <x:v>C10-M049</x:v>
      </x:c>
      <x:c r="G458" s="19" t="str">
        <x:v>真实穿戴/图鉴/基础件/洗练备件留用；不计同时分解</x:v>
      </x:c>
    </x:row>
    <x:row r="459" ht="19" customHeight="1">
      <x:c r="A459" s="19" t="n">
        <x:v>10</x:v>
      </x:c>
      <x:c r="B459" s="19" t="str">
        <x:v>金桂驯狮腕</x:v>
      </x:c>
      <x:c r="C459" s="24" t="n">
        <x:v>1</x:v>
      </x:c>
      <x:c r="D459" s="24" t="n">
        <x:v>150</x:v>
      </x:c>
      <x:c r="E459" s="24" t="n">
        <x:f>C459*D459</x:f>
        <x:v>150</x:v>
      </x:c>
      <x:c r="F459" s="19" t="str">
        <x:v>C10-M050</x:v>
      </x:c>
      <x:c r="G459" s="19" t="str">
        <x:v>真实穿戴/图鉴/基础件/洗练备件留用；不计同时分解</x:v>
      </x:c>
    </x:row>
    <x:row r="460" ht="19" customHeight="1">
      <x:c r="A460" s="19" t="n">
        <x:v>10</x:v>
      </x:c>
      <x:c r="B460" s="19" t="str">
        <x:v>垂纱持香衣</x:v>
      </x:c>
      <x:c r="C460" s="24" t="n">
        <x:v>1</x:v>
      </x:c>
      <x:c r="D460" s="24" t="n">
        <x:v>150</x:v>
      </x:c>
      <x:c r="E460" s="24" t="n">
        <x:f>C460*D460</x:f>
        <x:v>150</x:v>
      </x:c>
      <x:c r="F460" s="19" t="str">
        <x:v>C10-M051</x:v>
      </x:c>
      <x:c r="G460" s="19" t="str">
        <x:v>真实穿戴/图鉴/基础件/洗练备件留用；不计同时分解</x:v>
      </x:c>
    </x:row>
    <x:row r="461" ht="19" customHeight="1">
      <x:c r="A461" s="19" t="n">
        <x:v>10</x:v>
      </x:c>
      <x:c r="B461" s="19" t="str">
        <x:v>捧剑护座盾</x:v>
      </x:c>
      <x:c r="C461" s="24" t="n">
        <x:v>1</x:v>
      </x:c>
      <x:c r="D461" s="24" t="n">
        <x:v>150</x:v>
      </x:c>
      <x:c r="E461" s="24" t="n">
        <x:f>C461*D461</x:f>
        <x:v>150</x:v>
      </x:c>
      <x:c r="F461" s="19" t="str">
        <x:v>C10-M053</x:v>
      </x:c>
      <x:c r="G461" s="19" t="str">
        <x:v>真实穿戴/图鉴/基础件/洗练备件留用；不计同时分解</x:v>
      </x:c>
    </x:row>
    <x:row r="462" ht="19" customHeight="1">
      <x:c r="A462" s="19" t="n">
        <x:v>10</x:v>
      </x:c>
      <x:c r="B462" s="19" t="str">
        <x:v>永辉空王礼服</x:v>
      </x:c>
      <x:c r="C462" s="24" t="n">
        <x:v>2</x:v>
      </x:c>
      <x:c r="D462" s="24" t="n">
        <x:v>600</x:v>
      </x:c>
      <x:c r="E462" s="24" t="n">
        <x:f>C462*D462</x:f>
        <x:v>1200</x:v>
      </x:c>
      <x:c r="F462" s="19" t="str">
        <x:v>C10-M060</x:v>
      </x:c>
      <x:c r="G462" s="19" t="str">
        <x:v>真实穿戴/图鉴/基础件/洗练备件留用；不计同时分解</x:v>
      </x:c>
    </x:row>
    <x:row r="463" ht="19" customHeight="1">
      <x:c r="A463" s="19" t="n">
        <x:v>10</x:v>
      </x:c>
      <x:c r="B463" s="19" t="str">
        <x:v>吞碑枯寝大氅</x:v>
      </x:c>
      <x:c r="C463" s="24" t="n">
        <x:v>2</x:v>
      </x:c>
      <x:c r="D463" s="24" t="n">
        <x:v>600</x:v>
      </x:c>
      <x:c r="E463" s="24" t="n">
        <x:f>C463*D463</x:f>
        <x:v>1200</x:v>
      </x:c>
      <x:c r="F463" s="19" t="str">
        <x:v>C10-M048</x:v>
      </x:c>
      <x:c r="G463" s="19" t="str">
        <x:v>真实穿戴/图鉴/基础件/洗练备件留用；不计同时分解</x:v>
      </x:c>
    </x:row>
    <x:row r="464" ht="19" customHeight="1">
      <x:c r="A464" s="19" t="n">
        <x:v>10</x:v>
      </x:c>
      <x:c r="B464" s="19" t="str">
        <x:v>无声执冠勋章</x:v>
      </x:c>
      <x:c r="C464" s="24" t="n">
        <x:v>2</x:v>
      </x:c>
      <x:c r="D464" s="24" t="n">
        <x:v>300</x:v>
      </x:c>
      <x:c r="E464" s="24" t="n">
        <x:f>C464*D464</x:f>
        <x:v>600</x:v>
      </x:c>
      <x:c r="F464" s="19" t="str">
        <x:v>C10-M058</x:v>
      </x:c>
      <x:c r="G464" s="19" t="str">
        <x:v>真实穿戴/图鉴/基础件/洗练备件留用；不计同时分解</x:v>
      </x:c>
    </x:row>
    <x:row r="465" ht="19" customHeight="1">
      <x:c r="A465" s="19" t="n">
        <x:v>10</x:v>
      </x:c>
      <x:c r="B465" s="19" t="str">
        <x:v>碎日禁卫斗笠</x:v>
      </x:c>
      <x:c r="C465" s="24" t="n">
        <x:v>2</x:v>
      </x:c>
      <x:c r="D465" s="24" t="n">
        <x:v>600</x:v>
      </x:c>
      <x:c r="E465" s="24" t="n">
        <x:f>C465*D465</x:f>
        <x:v>1200</x:v>
      </x:c>
      <x:c r="F465" s="19" t="str">
        <x:v>C10-M059</x:v>
      </x:c>
      <x:c r="G465" s="19" t="str">
        <x:v>真实穿戴/图鉴/基础件/洗练备件留用；不计同时分解</x:v>
      </x:c>
    </x:row>
    <x:row r="466" ht="19" customHeight="1">
      <x:c r="A466" s="19" t="n">
        <x:v>10</x:v>
      </x:c>
      <x:c r="B466" s="19" t="str">
        <x:v>无灯侯旧斗笠</x:v>
      </x:c>
      <x:c r="C466" s="24" t="n">
        <x:v>1</x:v>
      </x:c>
      <x:c r="D466" s="24" t="n">
        <x:v>600</x:v>
      </x:c>
      <x:c r="E466" s="24" t="n">
        <x:f>C466*D466</x:f>
        <x:v>600</x:v>
      </x:c>
      <x:c r="F466" s="19" t="str">
        <x:v>C10-M011</x:v>
      </x:c>
      <x:c r="G466" s="19" t="str">
        <x:v>真实穿戴/图鉴/基础件/洗练备件留用；不计同时分解</x:v>
      </x:c>
    </x:row>
    <x:row r="467" ht="19" customHeight="1">
      <x:c r="A467" s="19" t="n">
        <x:v>10</x:v>
      </x:c>
      <x:c r="B467" s="19" t="str">
        <x:v>沉闸铜面盾</x:v>
      </x:c>
      <x:c r="C467" s="24" t="n">
        <x:v>1</x:v>
      </x:c>
      <x:c r="D467" s="24" t="n">
        <x:v>300</x:v>
      </x:c>
      <x:c r="E467" s="24" t="n">
        <x:f>C467*D467</x:f>
        <x:v>300</x:v>
      </x:c>
      <x:c r="F467" s="19" t="str">
        <x:v>C10-M010</x:v>
      </x:c>
      <x:c r="G467" s="19" t="str">
        <x:v>真实穿戴/图鉴/基础件/洗练备件留用；不计同时分解</x:v>
      </x:c>
    </x:row>
    <x:row r="468" ht="19" customHeight="1">
      <x:c r="A468" s="19" t="n">
        <x:v>10</x:v>
      </x:c>
      <x:c r="B468" s="19" t="str">
        <x:v>碎檐金羽镯</x:v>
      </x:c>
      <x:c r="C468" s="24" t="n">
        <x:v>1</x:v>
      </x:c>
      <x:c r="D468" s="24" t="n">
        <x:v>300</x:v>
      </x:c>
      <x:c r="E468" s="24" t="n">
        <x:f>C468*D468</x:f>
        <x:v>300</x:v>
      </x:c>
      <x:c r="F468" s="19" t="str">
        <x:v>C10-M007</x:v>
      </x:c>
      <x:c r="G468" s="19" t="str">
        <x:v>真实穿戴/图鉴/基础件/洗练备件留用；不计同时分解</x:v>
      </x:c>
    </x:row>
    <x:row r="469" ht="19" customHeight="1">
      <x:c r="A469" s="19" t="n">
        <x:v>10</x:v>
      </x:c>
      <x:c r="B469" s="19" t="str">
        <x:v>缄契铅印戒</x:v>
      </x:c>
      <x:c r="C469" s="24" t="n">
        <x:v>1</x:v>
      </x:c>
      <x:c r="D469" s="24" t="n">
        <x:v>300</x:v>
      </x:c>
      <x:c r="E469" s="24" t="n">
        <x:f>C469*D469</x:f>
        <x:v>300</x:v>
      </x:c>
      <x:c r="F469" s="19" t="str">
        <x:v>C10-M008</x:v>
      </x:c>
      <x:c r="G469" s="19" t="str">
        <x:v>真实穿戴/图鉴/基础件/洗练备件留用；不计同时分解</x:v>
      </x:c>
    </x:row>
    <x:row r="470" ht="19" customHeight="1">
      <x:c r="A470" s="19" t="n">
        <x:v>10</x:v>
      </x:c>
      <x:c r="B470" s="19" t="str">
        <x:v>链轮束腰</x:v>
      </x:c>
      <x:c r="C470" s="24" t="n">
        <x:v>1</x:v>
      </x:c>
      <x:c r="D470" s="24" t="n">
        <x:v>150</x:v>
      </x:c>
      <x:c r="E470" s="24" t="n">
        <x:f>C470*D470</x:f>
        <x:v>150</x:v>
      </x:c>
      <x:c r="F470" s="19" t="str">
        <x:v>C10-M006</x:v>
      </x:c>
      <x:c r="G470" s="19" t="str">
        <x:v>真实穿戴/图鉴/基础件/洗练备件留用；不计同时分解</x:v>
      </x:c>
    </x:row>
    <x:row r="471" ht="19" customHeight="1">
      <x:c r="A471" s="19" t="n">
        <x:v>10</x:v>
      </x:c>
      <x:c r="B471" s="19" t="str">
        <x:v>七孔哀笛戒</x:v>
      </x:c>
      <x:c r="C471" s="24" t="n">
        <x:v>1</x:v>
      </x:c>
      <x:c r="D471" s="24" t="n">
        <x:v>300</x:v>
      </x:c>
      <x:c r="E471" s="24" t="n">
        <x:f>C471*D471</x:f>
        <x:v>300</x:v>
      </x:c>
      <x:c r="F471" s="19" t="str">
        <x:v>C10-M021</x:v>
      </x:c>
      <x:c r="G471" s="19" t="str">
        <x:v>真实穿戴/图鉴/基础件/洗练备件留用；不计同时分解</x:v>
      </x:c>
    </x:row>
    <x:row r="472" ht="19" customHeight="1">
      <x:c r="A472" s="19" t="n">
        <x:v>10</x:v>
      </x:c>
      <x:c r="B472" s="19" t="str">
        <x:v>沸淤校阀章</x:v>
      </x:c>
      <x:c r="C472" s="24" t="n">
        <x:v>1</x:v>
      </x:c>
      <x:c r="D472" s="24" t="n">
        <x:v>300</x:v>
      </x:c>
      <x:c r="E472" s="24" t="n">
        <x:f>C472*D472</x:f>
        <x:v>300</x:v>
      </x:c>
      <x:c r="F472" s="19" t="str">
        <x:v>C10-M022</x:v>
      </x:c>
      <x:c r="G472" s="19" t="str">
        <x:v>真实穿戴/图鉴/基础件/洗练备件留用；不计同时分解</x:v>
      </x:c>
    </x:row>
    <x:row r="473" ht="19" customHeight="1">
      <x:c r="A473" s="19" t="n">
        <x:v>10</x:v>
      </x:c>
      <x:c r="B473" s="19" t="str">
        <x:v>百喉闭音斗笠</x:v>
      </x:c>
      <x:c r="C473" s="24" t="n">
        <x:v>1</x:v>
      </x:c>
      <x:c r="D473" s="24" t="n">
        <x:v>600</x:v>
      </x:c>
      <x:c r="E473" s="24" t="n">
        <x:f>C473*D473</x:f>
        <x:v>600</x:v>
      </x:c>
      <x:c r="F473" s="19" t="str">
        <x:v>C10-M023</x:v>
      </x:c>
      <x:c r="G473" s="19" t="str">
        <x:v>真实穿戴/图鉴/基础件/洗练备件留用；不计同时分解</x:v>
      </x:c>
    </x:row>
    <x:row r="474" ht="19" customHeight="1">
      <x:c r="A474" s="19" t="n">
        <x:v>10</x:v>
      </x:c>
      <x:c r="B474" s="19" t="str">
        <x:v>窥灯浊辉坠</x:v>
      </x:c>
      <x:c r="C474" s="24" t="n">
        <x:v>1</x:v>
      </x:c>
      <x:c r="D474" s="24" t="n">
        <x:v>150</x:v>
      </x:c>
      <x:c r="E474" s="24" t="n">
        <x:f>C474*D474</x:f>
        <x:v>150</x:v>
      </x:c>
      <x:c r="F474" s="19" t="str">
        <x:v>C10-M018</x:v>
      </x:c>
      <x:c r="G474" s="19" t="str">
        <x:v>真实穿戴/图鉴/基础件/洗练备件留用；不计同时分解</x:v>
      </x:c>
    </x:row>
    <x:row r="475" ht="19" customHeight="1">
      <x:c r="A475" s="19" t="n">
        <x:v>10</x:v>
      </x:c>
      <x:c r="B475" s="19" t="str">
        <x:v>终律心坠</x:v>
      </x:c>
      <x:c r="C475" s="24" t="n">
        <x:v>1</x:v>
      </x:c>
      <x:c r="D475" s="24" t="n">
        <x:v>600</x:v>
      </x:c>
      <x:c r="E475" s="24" t="n">
        <x:f>C475*D475</x:f>
        <x:v>600</x:v>
      </x:c>
      <x:c r="F475" s="19" t="str">
        <x:v>C10-M024</x:v>
      </x:c>
      <x:c r="G475" s="19" t="str">
        <x:v>真实穿戴/图鉴/基础件/洗练备件留用；不计同时分解</x:v>
      </x:c>
    </x:row>
    <x:row r="476" ht="19" customHeight="1">
      <x:c r="A476" s="19" t="n">
        <x:v>10</x:v>
      </x:c>
      <x:c r="B476" s="19" t="str">
        <x:v>脓潮镀金腕</x:v>
      </x:c>
      <x:c r="C476" s="24" t="n">
        <x:v>1</x:v>
      </x:c>
      <x:c r="D476" s="24" t="n">
        <x:v>300</x:v>
      </x:c>
      <x:c r="E476" s="24" t="n">
        <x:f>C476*D476</x:f>
        <x:v>300</x:v>
      </x:c>
      <x:c r="F476" s="19" t="str">
        <x:v>C10-M019</x:v>
      </x:c>
      <x:c r="G476" s="19" t="str">
        <x:v>真实穿戴/图鉴/基础件/洗练备件留用；不计同时分解</x:v>
      </x:c>
    </x:row>
    <x:row r="477" ht="19" customHeight="1">
      <x:c r="A477" s="19" t="n">
        <x:v>10</x:v>
      </x:c>
      <x:c r="B477" s="19" t="str">
        <x:v>逆流剥甲盾</x:v>
      </x:c>
      <x:c r="C477" s="24" t="n">
        <x:v>1</x:v>
      </x:c>
      <x:c r="D477" s="24" t="n">
        <x:v>300</x:v>
      </x:c>
      <x:c r="E477" s="24" t="n">
        <x:f>C477*D477</x:f>
        <x:v>300</x:v>
      </x:c>
      <x:c r="F477" s="19" t="str">
        <x:v>C10-M020</x:v>
      </x:c>
      <x:c r="G477" s="19" t="str">
        <x:v>真实穿戴/图鉴/基础件/洗练备件留用；不计同时分解</x:v>
      </x:c>
    </x:row>
    <x:row r="478" ht="19" customHeight="1">
      <x:c r="A478" s="19" t="n">
        <x:v>10</x:v>
      </x:c>
      <x:c r="B478" s="19" t="str">
        <x:v>鎏污司闸战袍</x:v>
      </x:c>
      <x:c r="C478" s="24" t="n">
        <x:v>1</x:v>
      </x:c>
      <x:c r="D478" s="24" t="n">
        <x:v>600</x:v>
      </x:c>
      <x:c r="E478" s="24" t="n">
        <x:f>C478*D478</x:f>
        <x:v>600</x:v>
      </x:c>
      <x:c r="F478" s="19" t="str">
        <x:v>C10-M024</x:v>
      </x:c>
      <x:c r="G478" s="19" t="str">
        <x:v>真实穿戴/图鉴/基础件/洗练备件留用；不计同时分解</x:v>
      </x:c>
    </x:row>
    <x:row r="479" ht="19" customHeight="1">
      <x:c r="A479" s="19" t="n">
        <x:v>10</x:v>
      </x:c>
      <x:c r="B479" s="19" t="str">
        <x:v>锈槽踏污靴</x:v>
      </x:c>
      <x:c r="C479" s="24" t="n">
        <x:v>1</x:v>
      </x:c>
      <x:c r="D479" s="24" t="n">
        <x:v>150</x:v>
      </x:c>
      <x:c r="E479" s="24" t="n">
        <x:f>C479*D479</x:f>
        <x:v>150</x:v>
      </x:c>
      <x:c r="F479" s="19" t="str">
        <x:v>C10-M016</x:v>
      </x:c>
      <x:c r="G479" s="19" t="str">
        <x:v>真实穿戴/图鉴/基础件/洗练备件留用；不计同时分解</x:v>
      </x:c>
    </x:row>
    <x:row r="480" ht="19" customHeight="1">
      <x:c r="A480" s="19" t="n">
        <x:v>10</x:v>
      </x:c>
      <x:c r="B480" s="19" t="str">
        <x:v>听金矿纹坠</x:v>
      </x:c>
      <x:c r="C480" s="24" t="n">
        <x:v>1</x:v>
      </x:c>
      <x:c r="D480" s="24" t="n">
        <x:v>150</x:v>
      </x:c>
      <x:c r="E480" s="24" t="n">
        <x:f>C480*D480</x:f>
        <x:v>150</x:v>
      </x:c>
      <x:c r="F480" s="19" t="str">
        <x:v>C10-M030</x:v>
      </x:c>
      <x:c r="G480" s="19" t="str">
        <x:v>真实穿戴/图鉴/基础件/洗练备件留用；不计同时分解</x:v>
      </x:c>
    </x:row>
    <x:row r="481" ht="19" customHeight="1">
      <x:c r="A481" s="19" t="n">
        <x:v>10</x:v>
      </x:c>
      <x:c r="B481" s="19" t="str">
        <x:v>封勘金衡章</x:v>
      </x:c>
      <x:c r="C481" s="24" t="n">
        <x:v>1</x:v>
      </x:c>
      <x:c r="D481" s="24" t="n">
        <x:v>300</x:v>
      </x:c>
      <x:c r="E481" s="24" t="n">
        <x:f>C481*D481</x:f>
        <x:v>300</x:v>
      </x:c>
      <x:c r="F481" s="19" t="str">
        <x:v>C10-M034</x:v>
      </x:c>
      <x:c r="G481" s="19" t="str">
        <x:v>真实穿戴/图鉴/基础件/洗练备件留用；不计同时分解</x:v>
      </x:c>
    </x:row>
    <x:row r="482" ht="19" customHeight="1">
      <x:c r="A482" s="19" t="n">
        <x:v>10</x:v>
      </x:c>
      <x:c r="B482" s="19" t="str">
        <x:v>深井百臂灯笠</x:v>
      </x:c>
      <x:c r="C482" s="24" t="n">
        <x:v>1</x:v>
      </x:c>
      <x:c r="D482" s="24" t="n">
        <x:v>600</x:v>
      </x:c>
      <x:c r="E482" s="24" t="n">
        <x:f>C482*D482</x:f>
        <x:v>600</x:v>
      </x:c>
      <x:c r="F482" s="19" t="str">
        <x:v>C10-M035</x:v>
      </x:c>
      <x:c r="G482" s="19" t="str">
        <x:v>真实穿戴/图鉴/基础件/洗练备件留用；不计同时分解</x:v>
      </x:c>
    </x:row>
    <x:row r="483" ht="19" customHeight="1">
      <x:c r="A483" s="19" t="n">
        <x:v>10</x:v>
      </x:c>
      <x:c r="B483" s="19" t="str">
        <x:v>王座缄誓镯</x:v>
      </x:c>
      <x:c r="C483" s="24" t="n">
        <x:v>1</x:v>
      </x:c>
      <x:c r="D483" s="24" t="n">
        <x:v>600</x:v>
      </x:c>
      <x:c r="E483" s="24" t="n">
        <x:f>C483*D483</x:f>
        <x:v>600</x:v>
      </x:c>
      <x:c r="F483" s="19" t="str">
        <x:v>C10-M036</x:v>
      </x:c>
      <x:c r="G483" s="19" t="str">
        <x:v>真实穿戴/图鉴/基础件/洗练备件留用；不计同时分解</x:v>
      </x:c>
    </x:row>
    <x:row r="484" ht="19" customHeight="1">
      <x:c r="A484" s="19" t="n">
        <x:v>10</x:v>
      </x:c>
      <x:c r="B484" s="19" t="str">
        <x:v>空炉渣火镯</x:v>
      </x:c>
      <x:c r="C484" s="24" t="n">
        <x:v>1</x:v>
      </x:c>
      <x:c r="D484" s="24" t="n">
        <x:v>300</x:v>
      </x:c>
      <x:c r="E484" s="24" t="n">
        <x:f>C484*D484</x:f>
        <x:v>300</x:v>
      </x:c>
      <x:c r="F484" s="19" t="str">
        <x:v>C10-M032</x:v>
      </x:c>
      <x:c r="G484" s="19" t="str">
        <x:v>真实穿戴/图鉴/基础件/洗练备件留用；不计同时分解</x:v>
      </x:c>
    </x:row>
    <x:row r="485" ht="19" customHeight="1">
      <x:c r="A485" s="19" t="n">
        <x:v>10</x:v>
      </x:c>
      <x:c r="B485" s="19" t="str">
        <x:v>负灯探脉靴</x:v>
      </x:c>
      <x:c r="C485" s="24" t="n">
        <x:v>1</x:v>
      </x:c>
      <x:c r="D485" s="24" t="n">
        <x:v>150</x:v>
      </x:c>
      <x:c r="E485" s="24" t="n">
        <x:f>C485*D485</x:f>
        <x:v>150</x:v>
      </x:c>
      <x:c r="F485" s="19" t="str">
        <x:v>C10-M026</x:v>
      </x:c>
      <x:c r="G485" s="19" t="str">
        <x:v>真实穿戴/图鉴/基础件/洗练备件留用；不计同时分解</x:v>
      </x:c>
    </x:row>
    <x:row r="486" ht="19" customHeight="1">
      <x:c r="A486" s="19" t="n">
        <x:v>10</x:v>
      </x:c>
      <x:c r="B486" s="19" t="str">
        <x:v>鎏面监坑腰封</x:v>
      </x:c>
      <x:c r="C486" s="24" t="n">
        <x:v>1</x:v>
      </x:c>
      <x:c r="D486" s="24" t="n">
        <x:v>300</x:v>
      </x:c>
      <x:c r="E486" s="24" t="n">
        <x:f>C486*D486</x:f>
        <x:v>300</x:v>
      </x:c>
      <x:c r="F486" s="19" t="str">
        <x:v>C10-M031</x:v>
      </x:c>
      <x:c r="G486" s="19" t="str">
        <x:v>真实穿戴/图鉴/基础件/洗练备件留用；不计同时分解</x:v>
      </x:c>
    </x:row>
    <x:row r="487" ht="19" customHeight="1">
      <x:c r="A487" s="19" t="n">
        <x:v>10</x:v>
      </x:c>
      <x:c r="B487" s="19" t="str">
        <x:v>黑晶凿梦戒</x:v>
      </x:c>
      <x:c r="C487" s="24" t="n">
        <x:v>1</x:v>
      </x:c>
      <x:c r="D487" s="24" t="n">
        <x:v>300</x:v>
      </x:c>
      <x:c r="E487" s="24" t="n">
        <x:f>C487*D487</x:f>
        <x:v>300</x:v>
      </x:c>
      <x:c r="F487" s="19" t="str">
        <x:v>C10-M033</x:v>
      </x:c>
      <x:c r="G487" s="19" t="str">
        <x:v>真实穿戴/图鉴/基础件/洗练备件留用；不计同时分解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ec18cb556754d9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" hidden="0" customWidth="1"/>
    <x:col min="3" max="3" width="28" hidden="0" customWidth="1"/>
    <x:col min="4" max="4" width="39" hidden="0" customWidth="1"/>
    <x:col min="5" max="5" width="25" hidden="0" customWidth="1"/>
    <x:col min="6" max="6" width="25" hidden="0" customWidth="1"/>
    <x:col min="7" max="7" width="20" hidden="0" customWidth="1"/>
    <x:col min="8" max="8" width="52" hidden="0" customWidth="1"/>
  </x:cols>
  <x:sheetData>
    <x:row r="1" ht="30" customHeight="1">
      <x:c r="A1" s="4" t="str">
        <x:v>09 · 127项费用范围</x:v>
      </x:c>
      <x:c r="B1" s="4"/>
      <x:c r="C1" s="4"/>
      <x:c r="D1" s="4"/>
      <x:c r="E1" s="4"/>
      <x:c r="F1" s="4"/>
      <x:c r="G1" s="4"/>
      <x:c r="H1" s="4"/>
    </x:row>
    <x:row r="2" ht="34" customHeight="1">
      <x:c r="A2" s="9" t="str">
        <x:v>本批不修改既有NPC单价、灵符路径与固定奖励。PvP、命格付费以及0=沿用项分开，不把它们按免费或重复成本计入。</x:v>
      </x:c>
      <x:c r="B2" s="9"/>
      <x:c r="C2" s="9"/>
      <x:c r="D2" s="9"/>
      <x:c r="E2" s="9"/>
      <x:c r="F2" s="9"/>
      <x:c r="G2" s="9"/>
      <x:c r="H2" s="9"/>
    </x:row>
    <x:row r="4" ht="30" customHeight="1">
      <x:c r="A4" s="14" t="str">
        <x:v>记录ID</x:v>
      </x:c>
      <x:c r="B4" s="14" t="str">
        <x:v>大陆</x:v>
      </x:c>
      <x:c r="C4" s="14" t="str">
        <x:v>NPC</x:v>
      </x:c>
      <x:c r="D4" s="14" t="str">
        <x:v>产物或操作</x:v>
      </x:c>
      <x:c r="E4" s="14" t="str">
        <x:v>单次金币</x:v>
      </x:c>
      <x:c r="F4" s="14" t="str">
        <x:v>单次元宝</x:v>
      </x:c>
      <x:c r="G4" s="14" t="str">
        <x:v>原预算次数</x:v>
      </x:c>
      <x:c r="H4" s="14" t="str">
        <x:v>本轮如何计入</x:v>
      </x:c>
    </x:row>
    <x:row r="5" ht="19" customHeight="1">
      <x:c r="A5" s="19" t="str">
        <x:v>CAMP-SWORD-GROWTH</x:v>
      </x:c>
      <x:c r="B5" s="19" t="n">
        <x:v>0</x:v>
      </x:c>
      <x:c r="C5" s="19" t="str">
        <x:v>圣律之剑成长入口</x:v>
      </x:c>
      <x:c r="D5" s="19" t="str">
        <x:v>圣律之剑LV1—10／圣律真言</x:v>
      </x:c>
      <x:c r="E5" s="19" t="n">
        <x:v>0</x:v>
      </x:c>
      <x:c r="F5" s="19" t="n">
        <x:v>0</x:v>
      </x:c>
      <x:c r="G5" s="19" t="n">
        <x:v>1</x:v>
      </x:c>
      <x:c r="H5" s="19" t="str">
        <x:v>既有脚本/灵符价格保留；0不是免费，不虚构兑换关系</x:v>
      </x:c>
    </x:row>
    <x:row r="6" ht="19" customHeight="1">
      <x:c r="A6" s="19" t="str">
        <x:v>CAMP-RELIC-GROWTH</x:v>
      </x:c>
      <x:c r="B6" s="19" t="n">
        <x:v>0</x:v>
      </x:c>
      <x:c r="C6" s="19" t="str">
        <x:v>黄金圣物成长入口</x:v>
      </x:c>
      <x:c r="D6" s="19" t="str">
        <x:v>黄金圣物LV1—10／黄金之心</x:v>
      </x:c>
      <x:c r="E6" s="19" t="n">
        <x:v>0</x:v>
      </x:c>
      <x:c r="F6" s="19" t="n">
        <x:v>0</x:v>
      </x:c>
      <x:c r="G6" s="19" t="n">
        <x:v>1</x:v>
      </x:c>
      <x:c r="H6" s="19" t="str">
        <x:v>既有脚本/灵符价格保留；0不是免费，不虚构兑换关系</x:v>
      </x:c>
    </x:row>
    <x:row r="7" ht="19" customHeight="1">
      <x:c r="A7" s="19" t="str">
        <x:v>CAMP-TITLE-GROWTH</x:v>
      </x:c>
      <x:c r="B7" s="19" t="n">
        <x:v>0</x:v>
      </x:c>
      <x:c r="C7" s="19" t="str">
        <x:v>贯穿式称号晋升NPC</x:v>
      </x:c>
      <x:c r="D7" s="19" t="str">
        <x:v>贯穿式主线称号各阶段</x:v>
      </x:c>
      <x:c r="E7" s="19" t="n">
        <x:v>0</x:v>
      </x:c>
      <x:c r="F7" s="19" t="n">
        <x:v>0</x:v>
      </x:c>
      <x:c r="G7" s="19" t="n">
        <x:v>1</x:v>
      </x:c>
      <x:c r="H7" s="19" t="str">
        <x:v>既有脚本/灵符价格保留；0不是免费，不虚构兑换关系</x:v>
      </x:c>
    </x:row>
    <x:row r="8" ht="19" customHeight="1">
      <x:c r="A8" s="19" t="str">
        <x:v>C01-FATE-SINGLE</x:v>
      </x:c>
      <x:c r="B8" s="19" t="n">
        <x:v>1</x:v>
      </x:c>
      <x:c r="C8" s="19" t="str">
        <x:v>司命人·玄衡</x:v>
      </x:c>
      <x:c r="D8" s="19" t="str">
        <x:v>当前选中槽命格×1次</x:v>
      </x:c>
      <x:c r="E8" s="19" t="n">
        <x:v>0</x:v>
      </x:c>
      <x:c r="F8" s="19" t="n">
        <x:v>500000</x:v>
      </x:c>
      <x:c r="G8" s="19" t="n">
        <x:v>0</x:v>
      </x:c>
      <x:c r="H8" s="19" t="str">
        <x:v>满充值命格走既有灵符入口；不把符文/元宝重复算入半急速；零充路线另列</x:v>
      </x:c>
    </x:row>
    <x:row r="9" ht="19" customHeight="1">
      <x:c r="A9" s="19" t="str">
        <x:v>C01-FATE-TEN</x:v>
      </x:c>
      <x:c r="B9" s="19" t="n">
        <x:v>1</x:v>
      </x:c>
      <x:c r="C9" s="19" t="str">
        <x:v>司命人·玄衡</x:v>
      </x:c>
      <x:c r="D9" s="19" t="str">
        <x:v>当前选中槽命格×10次</x:v>
      </x:c>
      <x:c r="E9" s="19" t="n">
        <x:v>0</x:v>
      </x:c>
      <x:c r="F9" s="19" t="n">
        <x:v>5000000</x:v>
      </x:c>
      <x:c r="G9" s="19" t="n">
        <x:v>10</x:v>
      </x:c>
      <x:c r="H9" s="19" t="str">
        <x:v>满充值命格走既有灵符入口；不把符文/元宝重复算入半急速；零充路线另列</x:v>
      </x:c>
    </x:row>
    <x:row r="10" ht="19" customHeight="1">
      <x:c r="A10" s="19" t="str">
        <x:v>C01-FATE-SHOP</x:v>
      </x:c>
      <x:c r="B10" s="19" t="n">
        <x:v>1</x:v>
      </x:c>
      <x:c r="C10" s="19" t="str">
        <x:v>司命人·玄衡</x:v>
      </x:c>
      <x:c r="D10" s="19" t="str">
        <x:v>神秘符文</x:v>
      </x:c>
      <x:c r="E10" s="19" t="n">
        <x:v>0</x:v>
      </x:c>
      <x:c r="F10" s="19" t="n">
        <x:v>0</x:v>
      </x:c>
      <x:c r="G10" s="19" t="n">
        <x:v>0</x:v>
      </x:c>
      <x:c r="H10" s="19" t="str">
        <x:v>满充值命格走既有灵符入口；不把符文/元宝重复算入半急速；零充路线另列</x:v>
      </x:c>
    </x:row>
    <x:row r="11" ht="19" customHeight="1">
      <x:c r="A11" s="19" t="str">
        <x:v>C01-FATE-SLOT</x:v>
      </x:c>
      <x:c r="B11" s="19" t="n">
        <x:v>1</x:v>
      </x:c>
      <x:c r="C11" s="19" t="str">
        <x:v>司命人·玄衡</x:v>
      </x:c>
      <x:c r="D11" s="19" t="str">
        <x:v>命格槽位1—8</x:v>
      </x:c>
      <x:c r="E11" s="19" t="n">
        <x:v>0</x:v>
      </x:c>
      <x:c r="F11" s="19" t="n">
        <x:v>0</x:v>
      </x:c>
      <x:c r="G11" s="19" t="n">
        <x:v>1</x:v>
      </x:c>
      <x:c r="H11" s="19" t="str">
        <x:v>满充值命格走既有灵符入口；不把符文/元宝重复算入半急速；零充路线另列</x:v>
      </x:c>
    </x:row>
    <x:row r="12" ht="19" customHeight="1">
      <x:c r="A12" s="19" t="str">
        <x:v>C02-ASH-NORMAL</x:v>
      </x:c>
      <x:c r="B12" s="19" t="n">
        <x:v>2</x:v>
      </x:c>
      <x:c r="C12" s="19" t="str">
        <x:v>战灰刻印师·盖尔</x:v>
      </x:c>
      <x:c r="D12" s="19" t="str">
        <x:v>普通PVP战灰</x:v>
      </x:c>
      <x:c r="E12" s="19" t="n">
        <x:v>0</x:v>
      </x:c>
      <x:c r="F12" s="19" t="n">
        <x:v>5000000</x:v>
      </x:c>
      <x:c r="G12" s="19" t="n">
        <x:v>10</x:v>
      </x:c>
      <x:c r="H12" s="19" t="str">
        <x:v>PVP旁账，不计主线产消</x:v>
      </x:c>
    </x:row>
    <x:row r="13" ht="19" customHeight="1">
      <x:c r="A13" s="19" t="str">
        <x:v>C02-ASH-HIGH</x:v>
      </x:c>
      <x:c r="B13" s="19" t="n">
        <x:v>2</x:v>
      </x:c>
      <x:c r="C13" s="19" t="str">
        <x:v>战灰刻印师·盖尔</x:v>
      </x:c>
      <x:c r="D13" s="19" t="str">
        <x:v>稀有PVP战灰</x:v>
      </x:c>
      <x:c r="E13" s="19" t="n">
        <x:v>0</x:v>
      </x:c>
      <x:c r="F13" s="19" t="n">
        <x:v>15000000</x:v>
      </x:c>
      <x:c r="G13" s="19" t="n">
        <x:v>3</x:v>
      </x:c>
      <x:c r="H13" s="19" t="str">
        <x:v>PVP旁账，不计主线产消</x:v>
      </x:c>
    </x:row>
    <x:row r="14" ht="19" customHeight="1">
      <x:c r="A14" s="19" t="str">
        <x:v>C02-ASH-OVERWRITE</x:v>
      </x:c>
      <x:c r="B14" s="19" t="n">
        <x:v>2</x:v>
      </x:c>
      <x:c r="C14" s="19" t="str">
        <x:v>战灰刻印师·盖尔</x:v>
      </x:c>
      <x:c r="D14" s="19" t="str">
        <x:v>覆盖／清除战灰</x:v>
      </x:c>
      <x:c r="E14" s="19" t="n">
        <x:v>500000000</x:v>
      </x:c>
      <x:c r="F14" s="19" t="n">
        <x:v>0</x:v>
      </x:c>
      <x:c r="G14" s="19" t="n">
        <x:v>2</x:v>
      </x:c>
      <x:c r="H14" s="19" t="str">
        <x:v>PVP旁账，不计主线产消</x:v>
      </x:c>
    </x:row>
    <x:row r="15" ht="19" customHeight="1">
      <x:c r="A15" s="19" t="str">
        <x:v>C01-SYN-EQ-01</x:v>
      </x:c>
      <x:c r="B15" s="19" t="n">
        <x:v>1</x:v>
      </x:c>
      <x:c r="C15" s="19" t="str">
        <x:v>拾荒匠·阿砾</x:v>
      </x:c>
      <x:c r="D15" s="19" t="str">
        <x:v>潮归秘戒</x:v>
      </x:c>
      <x:c r="E15" s="19" t="n">
        <x:v>1600000000</x:v>
      </x:c>
      <x:c r="F15" s="19" t="n">
        <x:v>0</x:v>
      </x:c>
      <x:c r="G15" s="19" t="n">
        <x:v>1</x:v>
      </x:c>
      <x:c r="H15" s="19" t="str">
        <x:v>已含条件路线/按实际事件计量</x:v>
      </x:c>
    </x:row>
    <x:row r="16" ht="19" customHeight="1">
      <x:c r="A16" s="19" t="str">
        <x:v>C02-SYN-EQ-01</x:v>
      </x:c>
      <x:c r="B16" s="19" t="n">
        <x:v>2</x:v>
      </x:c>
      <x:c r="C16" s="19" t="str">
        <x:v>风暴工匠·洛克</x:v>
      </x:c>
      <x:c r="D16" s="19" t="str">
        <x:v>风暴王庭链</x:v>
      </x:c>
      <x:c r="E16" s="19" t="n">
        <x:v>0</x:v>
      </x:c>
      <x:c r="F16" s="19" t="n">
        <x:v>57500000</x:v>
      </x:c>
      <x:c r="G16" s="19" t="n">
        <x:v>1</x:v>
      </x:c>
      <x:c r="H16" s="19" t="str">
        <x:v>已含条件路线/按实际事件计量</x:v>
      </x:c>
    </x:row>
    <x:row r="17" ht="19" customHeight="1">
      <x:c r="A17" s="19" t="str">
        <x:v>C02-SYN-EQ-02</x:v>
      </x:c>
      <x:c r="B17" s="19" t="n">
        <x:v>2</x:v>
      </x:c>
      <x:c r="C17" s="19" t="str">
        <x:v>风暴工匠·洛克</x:v>
      </x:c>
      <x:c r="D17" s="19" t="str">
        <x:v>百指接肢腕</x:v>
      </x:c>
      <x:c r="E17" s="19" t="n">
        <x:v>4900000000</x:v>
      </x:c>
      <x:c r="F17" s="19" t="n">
        <x:v>31500000</x:v>
      </x:c>
      <x:c r="G17" s="19" t="n">
        <x:v>1</x:v>
      </x:c>
      <x:c r="H17" s="19" t="str">
        <x:v>已含条件路线/按实际事件计量</x:v>
      </x:c>
    </x:row>
    <x:row r="18" ht="19" customHeight="1">
      <x:c r="A18" s="19" t="str">
        <x:v>C03-SYN-EQ-01</x:v>
      </x:c>
      <x:c r="B18" s="19" t="n">
        <x:v>3</x:v>
      </x:c>
      <x:c r="C18" s="19" t="str">
        <x:v>断路铁匠·赫恩</x:v>
      </x:c>
      <x:c r="D18" s="19" t="str">
        <x:v>断途战冠</x:v>
      </x:c>
      <x:c r="E18" s="19" t="n">
        <x:v>16000000000</x:v>
      </x:c>
      <x:c r="F18" s="19" t="n">
        <x:v>0</x:v>
      </x:c>
      <x:c r="G18" s="19" t="n">
        <x:v>1</x:v>
      </x:c>
      <x:c r="H18" s="19" t="str">
        <x:v>已含条件路线/按实际事件计量</x:v>
      </x:c>
    </x:row>
    <x:row r="19" ht="19" customHeight="1">
      <x:c r="A19" s="19" t="str">
        <x:v>C03-SYN-EQ-02</x:v>
      </x:c>
      <x:c r="B19" s="19" t="n">
        <x:v>3</x:v>
      </x:c>
      <x:c r="C19" s="19" t="str">
        <x:v>断路铁匠·赫恩</x:v>
      </x:c>
      <x:c r="D19" s="19" t="str">
        <x:v>逐风征靴</x:v>
      </x:c>
      <x:c r="E19" s="19" t="n">
        <x:v>16000000000</x:v>
      </x:c>
      <x:c r="F19" s="19" t="n">
        <x:v>0</x:v>
      </x:c>
      <x:c r="G19" s="19" t="n">
        <x:v>1</x:v>
      </x:c>
      <x:c r="H19" s="19" t="str">
        <x:v>已含条件路线/按实际事件计量</x:v>
      </x:c>
    </x:row>
    <x:row r="20" ht="19" customHeight="1">
      <x:c r="A20" s="19" t="str">
        <x:v>C04-SYN-EQ-01</x:v>
      </x:c>
      <x:c r="B20" s="19" t="n">
        <x:v>4</x:v>
      </x:c>
      <x:c r="C20" s="19" t="str">
        <x:v>沉潮铸师·伊芙</x:v>
      </x:c>
      <x:c r="D20" s="19" t="str">
        <x:v>闭潮王带</x:v>
      </x:c>
      <x:c r="E20" s="19" t="n">
        <x:v>11000000000</x:v>
      </x:c>
      <x:c r="F20" s="19" t="n">
        <x:v>96500000</x:v>
      </x:c>
      <x:c r="G20" s="19" t="n">
        <x:v>1</x:v>
      </x:c>
      <x:c r="H20" s="19" t="str">
        <x:v>已含条件路线/按实际事件计量</x:v>
      </x:c>
    </x:row>
    <x:row r="21" ht="19" customHeight="1">
      <x:c r="A21" s="19" t="str">
        <x:v>C04-SYN-EQ-02</x:v>
      </x:c>
      <x:c r="B21" s="19" t="n">
        <x:v>4</x:v>
      </x:c>
      <x:c r="C21" s="19" t="str">
        <x:v>沉潮铸师·伊芙</x:v>
      </x:c>
      <x:c r="D21" s="19" t="str">
        <x:v>月渊秘戒</x:v>
      </x:c>
      <x:c r="E21" s="19" t="n">
        <x:v>11000000000</x:v>
      </x:c>
      <x:c r="F21" s="19" t="n">
        <x:v>96500000</x:v>
      </x:c>
      <x:c r="G21" s="19" t="n">
        <x:v>1</x:v>
      </x:c>
      <x:c r="H21" s="19" t="str">
        <x:v>已含条件路线/按实际事件计量</x:v>
      </x:c>
    </x:row>
    <x:row r="22" ht="19" customHeight="1">
      <x:c r="A22" s="19" t="str">
        <x:v>C04-SYN-EQ-03</x:v>
      </x:c>
      <x:c r="B22" s="19" t="n">
        <x:v>4</x:v>
      </x:c>
      <x:c r="C22" s="19" t="str">
        <x:v>沉潮铸师·伊芙</x:v>
      </x:c>
      <x:c r="D22" s="19" t="str">
        <x:v>闭潮秘饰</x:v>
      </x:c>
      <x:c r="E22" s="19" t="n">
        <x:v>0</x:v>
      </x:c>
      <x:c r="F22" s="19" t="n">
        <x:v>292000000</x:v>
      </x:c>
      <x:c r="G22" s="19" t="n">
        <x:v>1</x:v>
      </x:c>
      <x:c r="H22" s="19" t="str">
        <x:v>已含条件路线/按实际事件计量</x:v>
      </x:c>
    </x:row>
    <x:row r="23" ht="19" customHeight="1">
      <x:c r="A23" s="19" t="str">
        <x:v>C05-SYN-EQ-01</x:v>
      </x:c>
      <x:c r="B23" s="19" t="n">
        <x:v>5</x:v>
      </x:c>
      <x:c r="C23" s="19" t="str">
        <x:v>辉石调律师·蕾娜</x:v>
      </x:c>
      <x:c r="D23" s="19" t="str">
        <x:v>卡利亚月裁长刃</x:v>
      </x:c>
      <x:c r="E23" s="19" t="n">
        <x:v>0</x:v>
      </x:c>
      <x:c r="F23" s="19" t="n">
        <x:v>496000000</x:v>
      </x:c>
      <x:c r="G23" s="19" t="n">
        <x:v>1</x:v>
      </x:c>
      <x:c r="H23" s="19" t="str">
        <x:v>已含条件路线/按实际事件计量</x:v>
      </x:c>
    </x:row>
    <x:row r="24" ht="19" customHeight="1">
      <x:c r="A24" s="19" t="str">
        <x:v>C05-SYN-EQ-02</x:v>
      </x:c>
      <x:c r="B24" s="19" t="n">
        <x:v>5</x:v>
      </x:c>
      <x:c r="C24" s="19" t="str">
        <x:v>辉石调律师·蕾娜</x:v>
      </x:c>
      <x:c r="D24" s="19" t="str">
        <x:v>辉月镜戒</x:v>
      </x:c>
      <x:c r="E24" s="19" t="n">
        <x:v>0</x:v>
      </x:c>
      <x:c r="F24" s="19" t="n">
        <x:v>620000000</x:v>
      </x:c>
      <x:c r="G24" s="19" t="n">
        <x:v>1</x:v>
      </x:c>
      <x:c r="H24" s="19" t="str">
        <x:v>已含条件路线/按实际事件计量</x:v>
      </x:c>
    </x:row>
    <x:row r="25" ht="19" customHeight="1">
      <x:c r="A25" s="19" t="str">
        <x:v>C06-SYN-EQ-01</x:v>
      </x:c>
      <x:c r="B25" s="19" t="n">
        <x:v>6</x:v>
      </x:c>
      <x:c r="C25" s="19" t="str">
        <x:v>红狮残匠·伯伦</x:v>
      </x:c>
      <x:c r="D25" s="19" t="str">
        <x:v>碎星红狮战甲</x:v>
      </x:c>
      <x:c r="E25" s="19" t="n">
        <x:v>48500000000</x:v>
      </x:c>
      <x:c r="F25" s="19" t="n">
        <x:v>0</x:v>
      </x:c>
      <x:c r="G25" s="19" t="n">
        <x:v>1</x:v>
      </x:c>
      <x:c r="H25" s="19" t="str">
        <x:v>已含条件路线/按实际事件计量</x:v>
      </x:c>
    </x:row>
    <x:row r="26" ht="19" customHeight="1">
      <x:c r="A26" s="19" t="str">
        <x:v>C06-SYN-EQ-02</x:v>
      </x:c>
      <x:c r="B26" s="19" t="n">
        <x:v>6</x:v>
      </x:c>
      <x:c r="C26" s="19" t="str">
        <x:v>红狮残匠·伯伦</x:v>
      </x:c>
      <x:c r="D26" s="19" t="str">
        <x:v>龙火刑腕</x:v>
      </x:c>
      <x:c r="E26" s="19" t="n">
        <x:v>48500000000</x:v>
      </x:c>
      <x:c r="F26" s="19" t="n">
        <x:v>0</x:v>
      </x:c>
      <x:c r="G26" s="19" t="n">
        <x:v>1</x:v>
      </x:c>
      <x:c r="H26" s="19" t="str">
        <x:v>已含条件路线/按实际事件计量</x:v>
      </x:c>
    </x:row>
    <x:row r="27" ht="19" customHeight="1">
      <x:c r="A27" s="19" t="str">
        <x:v>C06-SYN-EQ-03</x:v>
      </x:c>
      <x:c r="B27" s="19" t="n">
        <x:v>6</x:v>
      </x:c>
      <x:c r="C27" s="19" t="str">
        <x:v>红狮残匠·伯伦</x:v>
      </x:c>
      <x:c r="D27" s="19" t="str">
        <x:v>红狮余烬王衣</x:v>
      </x:c>
      <x:c r="E27" s="19" t="n">
        <x:v>44500000000</x:v>
      </x:c>
      <x:c r="F27" s="19" t="n">
        <x:v>372000000</x:v>
      </x:c>
      <x:c r="G27" s="19" t="n">
        <x:v>1</x:v>
      </x:c>
      <x:c r="H27" s="19" t="str">
        <x:v>已含条件路线/按实际事件计量</x:v>
      </x:c>
    </x:row>
    <x:row r="28" ht="19" customHeight="1">
      <x:c r="A28" s="19" t="str">
        <x:v>C07-SYN-EQ-01</x:v>
      </x:c>
      <x:c r="B28" s="19" t="n">
        <x:v>7</x:v>
      </x:c>
      <x:c r="C28" s="19" t="str">
        <x:v>白金裁缝·弥雅</x:v>
      </x:c>
      <x:c r="D28" s="19" t="str">
        <x:v>永霜白金刃</x:v>
      </x:c>
      <x:c r="E28" s="19" t="n">
        <x:v>75000000000</x:v>
      </x:c>
      <x:c r="F28" s="19" t="n">
        <x:v>736000000</x:v>
      </x:c>
      <x:c r="G28" s="19" t="n">
        <x:v>1</x:v>
      </x:c>
      <x:c r="H28" s="19" t="str">
        <x:v>已含条件路线/按实际事件计量</x:v>
      </x:c>
    </x:row>
    <x:row r="29" ht="19" customHeight="1">
      <x:c r="A29" s="19" t="str">
        <x:v>C07-SYN-EQ-02</x:v>
      </x:c>
      <x:c r="B29" s="19" t="n">
        <x:v>7</x:v>
      </x:c>
      <x:c r="C29" s="19" t="str">
        <x:v>白金裁缝·弥雅</x:v>
      </x:c>
      <x:c r="D29" s="19" t="str">
        <x:v>圣雪无火礼衣</x:v>
      </x:c>
      <x:c r="E29" s="19" t="n">
        <x:v>75000000000</x:v>
      </x:c>
      <x:c r="F29" s="19" t="n">
        <x:v>736000000</x:v>
      </x:c>
      <x:c r="G29" s="19" t="n">
        <x:v>1</x:v>
      </x:c>
      <x:c r="H29" s="19" t="str">
        <x:v>已含条件路线/按实际事件计量</x:v>
      </x:c>
    </x:row>
    <x:row r="30" ht="19" customHeight="1">
      <x:c r="A30" s="19" t="str">
        <x:v>C08-SYN-EQ-01</x:v>
      </x:c>
      <x:c r="B30" s="19" t="n">
        <x:v>8</x:v>
      </x:c>
      <x:c r="C30" s="19" t="str">
        <x:v>炉火遗民·冈特</x:v>
      </x:c>
      <x:c r="D30" s="19" t="str">
        <x:v>巨人炉心颈环</x:v>
      </x:c>
      <x:c r="E30" s="19" t="n">
        <x:v>99000000000</x:v>
      </x:c>
      <x:c r="F30" s="19" t="n">
        <x:v>0</x:v>
      </x:c>
      <x:c r="G30" s="19" t="n">
        <x:v>1</x:v>
      </x:c>
      <x:c r="H30" s="19" t="str">
        <x:v>已含条件路线/按实际事件计量</x:v>
      </x:c>
    </x:row>
    <x:row r="31" ht="19" customHeight="1">
      <x:c r="A31" s="19" t="str">
        <x:v>C08-SYN-EQ-02</x:v>
      </x:c>
      <x:c r="B31" s="19" t="n">
        <x:v>8</x:v>
      </x:c>
      <x:c r="C31" s="19" t="str">
        <x:v>炉火遗民·冈特</x:v>
      </x:c>
      <x:c r="D31" s="19" t="str">
        <x:v>吞日霜壁</x:v>
      </x:c>
      <x:c r="E31" s="19" t="n">
        <x:v>99000000000</x:v>
      </x:c>
      <x:c r="F31" s="19" t="n">
        <x:v>0</x:v>
      </x:c>
      <x:c r="G31" s="19" t="n">
        <x:v>1</x:v>
      </x:c>
      <x:c r="H31" s="19" t="str">
        <x:v>已含条件路线/按实际事件计量</x:v>
      </x:c>
    </x:row>
    <x:row r="32" ht="19" customHeight="1">
      <x:c r="A32" s="19" t="str">
        <x:v>C08-SYN-EQ-03</x:v>
      </x:c>
      <x:c r="B32" s="19" t="n">
        <x:v>8</x:v>
      </x:c>
      <x:c r="C32" s="19" t="str">
        <x:v>炉火遗民·冈特</x:v>
      </x:c>
      <x:c r="D32" s="19" t="str">
        <x:v>穹霜炉心秘饰</x:v>
      </x:c>
      <x:c r="E32" s="19" t="n">
        <x:v>91000000000</x:v>
      </x:c>
      <x:c r="F32" s="19" t="n">
        <x:v>779000000</x:v>
      </x:c>
      <x:c r="G32" s="19" t="n">
        <x:v>1</x:v>
      </x:c>
      <x:c r="H32" s="19" t="str">
        <x:v>已含条件路线/按实际事件计量</x:v>
      </x:c>
    </x:row>
    <x:row r="33" ht="19" customHeight="1">
      <x:c r="A33" s="19" t="str">
        <x:v>C09-SYN-EQ-01</x:v>
      </x:c>
      <x:c r="B33" s="19" t="n">
        <x:v>9</x:v>
      </x:c>
      <x:c r="C33" s="19" t="str">
        <x:v>黄金铸师·亚德</x:v>
      </x:c>
      <x:c r="D33" s="19" t="str">
        <x:v>黄金律裁阳刃</x:v>
      </x:c>
      <x:c r="E33" s="19" t="n">
        <x:v>0</x:v>
      </x:c>
      <x:c r="F33" s="19" t="n">
        <x:v>2840000000</x:v>
      </x:c>
      <x:c r="G33" s="19" t="n">
        <x:v>1</x:v>
      </x:c>
      <x:c r="H33" s="19" t="str">
        <x:v>已含条件路线/按实际事件计量</x:v>
      </x:c>
    </x:row>
    <x:row r="34" ht="19" customHeight="1">
      <x:c r="A34" s="19" t="str">
        <x:v>C09-SYN-EQ-02</x:v>
      </x:c>
      <x:c r="B34" s="19" t="n">
        <x:v>9</x:v>
      </x:c>
      <x:c r="C34" s="19" t="str">
        <x:v>黄金铸师·亚德</x:v>
      </x:c>
      <x:c r="D34" s="19" t="str">
        <x:v>鎏日王仪战衣</x:v>
      </x:c>
      <x:c r="E34" s="19" t="n">
        <x:v>0</x:v>
      </x:c>
      <x:c r="F34" s="19" t="n">
        <x:v>3550000000</x:v>
      </x:c>
      <x:c r="G34" s="19" t="n">
        <x:v>1</x:v>
      </x:c>
      <x:c r="H34" s="19" t="str">
        <x:v>已含条件路线/按实际事件计量</x:v>
      </x:c>
    </x:row>
    <x:row r="35" ht="19" customHeight="1">
      <x:c r="A35" s="19" t="str">
        <x:v>C10-SYN-EQ-01</x:v>
      </x:c>
      <x:c r="B35" s="19" t="n">
        <x:v>10</x:v>
      </x:c>
      <x:c r="C35" s="19" t="str">
        <x:v>王宫兵械长·奥德</x:v>
      </x:c>
      <x:c r="D35" s="19" t="str">
        <x:v>王座终裁圣刃</x:v>
      </x:c>
      <x:c r="E35" s="19" t="n">
        <x:v>136000000000</x:v>
      </x:c>
      <x:c r="F35" s="19" t="n">
        <x:v>1620000000</x:v>
      </x:c>
      <x:c r="G35" s="19" t="n">
        <x:v>1</x:v>
      </x:c>
      <x:c r="H35" s="19" t="str">
        <x:v>已含条件路线/按实际事件计量</x:v>
      </x:c>
    </x:row>
    <x:row r="36" ht="19" customHeight="1">
      <x:c r="A36" s="19" t="str">
        <x:v>C10-SYN-EQ-02</x:v>
      </x:c>
      <x:c r="B36" s="19" t="n">
        <x:v>10</x:v>
      </x:c>
      <x:c r="C36" s="19" t="str">
        <x:v>王宫兵械长·奥德</x:v>
      </x:c>
      <x:c r="D36" s="19" t="str">
        <x:v>艾尔登无冕王衣</x:v>
      </x:c>
      <x:c r="E36" s="19" t="n">
        <x:v>170000000000</x:v>
      </x:c>
      <x:c r="F36" s="19" t="n">
        <x:v>2030000000</x:v>
      </x:c>
      <x:c r="G36" s="19" t="n">
        <x:v>1</x:v>
      </x:c>
      <x:c r="H36" s="19" t="str">
        <x:v>已含条件路线/按实际事件计量</x:v>
      </x:c>
    </x:row>
    <x:row r="37" ht="19" customHeight="1">
      <x:c r="A37" s="19" t="str">
        <x:v>C10-SYN-EQ-03</x:v>
      </x:c>
      <x:c r="B37" s="19" t="n">
        <x:v>10</x:v>
      </x:c>
      <x:c r="C37" s="19" t="str">
        <x:v>旧王秘匣师·萨芙</x:v>
      </x:c>
      <x:c r="D37" s="19" t="str">
        <x:v>无上王徽秘饰</x:v>
      </x:c>
      <x:c r="E37" s="19" t="n">
        <x:v>170000000000</x:v>
      </x:c>
      <x:c r="F37" s="19" t="n">
        <x:v>2030000000</x:v>
      </x:c>
      <x:c r="G37" s="19" t="n">
        <x:v>1</x:v>
      </x:c>
      <x:c r="H37" s="19" t="str">
        <x:v>已含条件路线/按实际事件计量</x:v>
      </x:c>
    </x:row>
    <x:row r="38" ht="19" customHeight="1">
      <x:c r="A38" s="19" t="str">
        <x:v>C01-SYN-ZD-01</x:v>
      </x:c>
      <x:c r="B38" s="19" t="n">
        <x:v>2</x:v>
      </x:c>
      <x:c r="C38" s="19" t="str">
        <x:v>拾荒匠·阿砾</x:v>
      </x:c>
      <x:c r="D38" s="19" t="str">
        <x:v>子鼠·潮舱寻金</x:v>
      </x:c>
      <x:c r="E38" s="19" t="n">
        <x:v>1100000000</x:v>
      </x:c>
      <x:c r="F38" s="19" t="n">
        <x:v>0</x:v>
      </x:c>
      <x:c r="G38" s="19" t="n">
        <x:v>1</x:v>
      </x:c>
      <x:c r="H38" s="19" t="str">
        <x:v>已含条件路线/按实际事件计量</x:v>
      </x:c>
    </x:row>
    <x:row r="39" ht="19" customHeight="1">
      <x:c r="A39" s="19" t="str">
        <x:v>C02-SYN-ZD-01</x:v>
      </x:c>
      <x:c r="B39" s="19" t="n">
        <x:v>2</x:v>
      </x:c>
      <x:c r="C39" s="19" t="str">
        <x:v>风暴工匠·洛克</x:v>
      </x:c>
      <x:c r="D39" s="19" t="str">
        <x:v>丑牛·风暴负山</x:v>
      </x:c>
      <x:c r="E39" s="19" t="n">
        <x:v>0</x:v>
      </x:c>
      <x:c r="F39" s="19" t="n">
        <x:v>38000000</x:v>
      </x:c>
      <x:c r="G39" s="19" t="n">
        <x:v>1</x:v>
      </x:c>
      <x:c r="H39" s="19" t="str">
        <x:v>已含条件路线/按实际事件计量</x:v>
      </x:c>
    </x:row>
    <x:row r="40" ht="19" customHeight="1">
      <x:c r="A40" s="19" t="str">
        <x:v>C03-SYN-ZD-01</x:v>
      </x:c>
      <x:c r="B40" s="19" t="n">
        <x:v>3</x:v>
      </x:c>
      <x:c r="C40" s="19" t="str">
        <x:v>断路铁匠·赫恩</x:v>
      </x:c>
      <x:c r="D40" s="19" t="str">
        <x:v>辰龙·荒原逐风</x:v>
      </x:c>
      <x:c r="E40" s="19" t="n">
        <x:v>10500000000</x:v>
      </x:c>
      <x:c r="F40" s="19" t="n">
        <x:v>0</x:v>
      </x:c>
      <x:c r="G40" s="19" t="n">
        <x:v>1</x:v>
      </x:c>
      <x:c r="H40" s="19" t="str">
        <x:v>已含条件路线/按实际事件计量</x:v>
      </x:c>
    </x:row>
    <x:row r="41" ht="19" customHeight="1">
      <x:c r="A41" s="19" t="str">
        <x:v>C04-SYN-ZD-01</x:v>
      </x:c>
      <x:c r="B41" s="19" t="n">
        <x:v>4</x:v>
      </x:c>
      <x:c r="C41" s="19" t="str">
        <x:v>沉潮铸师·伊芙</x:v>
      </x:c>
      <x:c r="D41" s="19" t="str">
        <x:v>巳蛇·沉潮缚月</x:v>
      </x:c>
      <x:c r="E41" s="19" t="n">
        <x:v>7400000000</x:v>
      </x:c>
      <x:c r="F41" s="19" t="n">
        <x:v>64500000</x:v>
      </x:c>
      <x:c r="G41" s="19" t="n">
        <x:v>1</x:v>
      </x:c>
      <x:c r="H41" s="19" t="str">
        <x:v>已含条件路线/按实际事件计量</x:v>
      </x:c>
    </x:row>
    <x:row r="42" ht="19" customHeight="1">
      <x:c r="A42" s="19" t="str">
        <x:v>C05-SYN-ZD-01</x:v>
      </x:c>
      <x:c r="B42" s="19" t="n">
        <x:v>5</x:v>
      </x:c>
      <x:c r="C42" s="19" t="str">
        <x:v>辉石调律师·蕾娜</x:v>
      </x:c>
      <x:c r="D42" s="19" t="str">
        <x:v>卯兔·镜月折辉</x:v>
      </x:c>
      <x:c r="E42" s="19" t="n">
        <x:v>0</x:v>
      </x:c>
      <x:c r="F42" s="19" t="n">
        <x:v>248000000</x:v>
      </x:c>
      <x:c r="G42" s="19" t="n">
        <x:v>1</x:v>
      </x:c>
      <x:c r="H42" s="19" t="str">
        <x:v>已含条件路线/按实际事件计量</x:v>
      </x:c>
    </x:row>
    <x:row r="43" ht="19" customHeight="1">
      <x:c r="A43" s="19" t="str">
        <x:v>C06-SYN-ZD-01</x:v>
      </x:c>
      <x:c r="B43" s="19" t="n">
        <x:v>6</x:v>
      </x:c>
      <x:c r="C43" s="19" t="str">
        <x:v>红狮残匠·伯伦</x:v>
      </x:c>
      <x:c r="D43" s="19" t="str">
        <x:v>寅虎·红狮焚原</x:v>
      </x:c>
      <x:c r="E43" s="19" t="n">
        <x:v>32500000000</x:v>
      </x:c>
      <x:c r="F43" s="19" t="n">
        <x:v>0</x:v>
      </x:c>
      <x:c r="G43" s="19" t="n">
        <x:v>1</x:v>
      </x:c>
      <x:c r="H43" s="19" t="str">
        <x:v>已含条件路线/按实际事件计量</x:v>
      </x:c>
    </x:row>
    <x:row r="44" ht="19" customHeight="1">
      <x:c r="A44" s="19" t="str">
        <x:v>C07-SYN-ZD-01</x:v>
      </x:c>
      <x:c r="B44" s="19" t="n">
        <x:v>7</x:v>
      </x:c>
      <x:c r="C44" s="19" t="str">
        <x:v>白金裁缝·弥雅</x:v>
      </x:c>
      <x:c r="D44" s="19" t="str">
        <x:v>未羊·永霜引路</x:v>
      </x:c>
      <x:c r="E44" s="19" t="n">
        <x:v>30000000000</x:v>
      </x:c>
      <x:c r="F44" s="19" t="n">
        <x:v>295000000</x:v>
      </x:c>
      <x:c r="G44" s="19" t="n">
        <x:v>1</x:v>
      </x:c>
      <x:c r="H44" s="19" t="str">
        <x:v>已含条件路线/按实际事件计量</x:v>
      </x:c>
    </x:row>
    <x:row r="45" ht="19" customHeight="1">
      <x:c r="A45" s="19" t="str">
        <x:v>C08-SYN-ZD-01</x:v>
      </x:c>
      <x:c r="B45" s="19" t="n">
        <x:v>8</x:v>
      </x:c>
      <x:c r="C45" s="19" t="str">
        <x:v>炉火遗民·冈特</x:v>
      </x:c>
      <x:c r="D45" s="19" t="str">
        <x:v>午马·霜脊踏天</x:v>
      </x:c>
      <x:c r="E45" s="19" t="n">
        <x:v>66000000000</x:v>
      </x:c>
      <x:c r="F45" s="19" t="n">
        <x:v>0</x:v>
      </x:c>
      <x:c r="G45" s="19" t="n">
        <x:v>1</x:v>
      </x:c>
      <x:c r="H45" s="19" t="str">
        <x:v>已含条件路线/按实际事件计量</x:v>
      </x:c>
    </x:row>
    <x:row r="46" ht="19" customHeight="1">
      <x:c r="A46" s="19" t="str">
        <x:v>C09-SYN-ZD-01</x:v>
      </x:c>
      <x:c r="B46" s="19" t="n">
        <x:v>9</x:v>
      </x:c>
      <x:c r="C46" s="19" t="str">
        <x:v>黄金铸师·亚德</x:v>
      </x:c>
      <x:c r="D46" s="19" t="str">
        <x:v>酉鸡·鎏日司晨</x:v>
      </x:c>
      <x:c r="E46" s="19" t="n">
        <x:v>0</x:v>
      </x:c>
      <x:c r="F46" s="19" t="n">
        <x:v>1420000000</x:v>
      </x:c>
      <x:c r="G46" s="19" t="n">
        <x:v>1</x:v>
      </x:c>
      <x:c r="H46" s="19" t="str">
        <x:v>已含条件路线/按实际事件计量</x:v>
      </x:c>
    </x:row>
    <x:row r="47" ht="19" customHeight="1">
      <x:c r="A47" s="19" t="str">
        <x:v>C10-SYN-ZD-01</x:v>
      </x:c>
      <x:c r="B47" s="19" t="n">
        <x:v>10</x:v>
      </x:c>
      <x:c r="C47" s="19" t="str">
        <x:v>旧王秘匣师·萨芙</x:v>
      </x:c>
      <x:c r="D47" s="19" t="str">
        <x:v>戌狗·王座守门</x:v>
      </x:c>
      <x:c r="E47" s="19" t="n">
        <x:v>68000000000</x:v>
      </x:c>
      <x:c r="F47" s="19" t="n">
        <x:v>812000000</x:v>
      </x:c>
      <x:c r="G47" s="19" t="n">
        <x:v>1</x:v>
      </x:c>
      <x:c r="H47" s="19" t="str">
        <x:v>已含条件路线/按实际事件计量</x:v>
      </x:c>
    </x:row>
    <x:row r="48" ht="19" customHeight="1">
      <x:c r="A48" s="19" t="str">
        <x:v>C01-SYN-TT-01</x:v>
      </x:c>
      <x:c r="B48" s="19" t="n">
        <x:v>1</x:v>
      </x:c>
      <x:c r="C48" s="19" t="str">
        <x:v>拾荒匠·阿砾</x:v>
      </x:c>
      <x:c r="D48" s="19" t="str">
        <x:v>[称号]海岸初誓</x:v>
      </x:c>
      <x:c r="E48" s="19" t="n">
        <x:v>1200000000</x:v>
      </x:c>
      <x:c r="F48" s="19" t="n">
        <x:v>11500000</x:v>
      </x:c>
      <x:c r="G48" s="19" t="n">
        <x:v>1</x:v>
      </x:c>
      <x:c r="H48" s="19" t="str">
        <x:v>已含条件路线/按实际事件计量</x:v>
      </x:c>
    </x:row>
    <x:row r="49" ht="19" customHeight="1">
      <x:c r="A49" s="19" t="str">
        <x:v>C03-SYN-TT-01</x:v>
      </x:c>
      <x:c r="B49" s="19" t="n">
        <x:v>3</x:v>
      </x:c>
      <x:c r="C49" s="19" t="str">
        <x:v>无籍书记·玛尔</x:v>
      </x:c>
      <x:c r="D49" s="19" t="str">
        <x:v>[称号]西境拓荒者</x:v>
      </x:c>
      <x:c r="E49" s="19" t="n">
        <x:v>21000000000</x:v>
      </x:c>
      <x:c r="F49" s="19" t="n">
        <x:v>0</x:v>
      </x:c>
      <x:c r="G49" s="19" t="n">
        <x:v>1</x:v>
      </x:c>
      <x:c r="H49" s="19" t="str">
        <x:v>已含条件路线/按实际事件计量</x:v>
      </x:c>
    </x:row>
    <x:row r="50" ht="19" customHeight="1">
      <x:c r="A50" s="19" t="str">
        <x:v>C05-SYN-TT-01</x:v>
      </x:c>
      <x:c r="B50" s="19" t="n">
        <x:v>5</x:v>
      </x:c>
      <x:c r="C50" s="19" t="str">
        <x:v>月誓见证人·瑟兰</x:v>
      </x:c>
      <x:c r="D50" s="19" t="str">
        <x:v>[称号]满月见证者</x:v>
      </x:c>
      <x:c r="E50" s="19" t="n">
        <x:v>0</x:v>
      </x:c>
      <x:c r="F50" s="19" t="n">
        <x:v>496000000</x:v>
      </x:c>
      <x:c r="G50" s="19" t="n">
        <x:v>1</x:v>
      </x:c>
      <x:c r="H50" s="19" t="str">
        <x:v>已含条件路线/按实际事件计量</x:v>
      </x:c>
    </x:row>
    <x:row r="51" ht="19" customHeight="1">
      <x:c r="A51" s="19" t="str">
        <x:v>C07-SYN-TT-01</x:v>
      </x:c>
      <x:c r="B51" s="19" t="n">
        <x:v>7</x:v>
      </x:c>
      <x:c r="C51" s="19" t="str">
        <x:v>无火记录官·洛萨</x:v>
      </x:c>
      <x:c r="D51" s="19" t="str">
        <x:v>[称号]永霜朝圣者</x:v>
      </x:c>
      <x:c r="E51" s="19" t="n">
        <x:v>60000000000</x:v>
      </x:c>
      <x:c r="F51" s="19" t="n">
        <x:v>589000000</x:v>
      </x:c>
      <x:c r="G51" s="19" t="n">
        <x:v>1</x:v>
      </x:c>
      <x:c r="H51" s="19" t="str">
        <x:v>已含条件路线/按实际事件计量</x:v>
      </x:c>
    </x:row>
    <x:row r="52" ht="19" customHeight="1">
      <x:c r="A52" s="19" t="str">
        <x:v>C09-SYN-TT-01</x:v>
      </x:c>
      <x:c r="B52" s="19" t="n">
        <x:v>9</x:v>
      </x:c>
      <x:c r="C52" s="19" t="str">
        <x:v>王道见证人·斐洛</x:v>
      </x:c>
      <x:c r="D52" s="19" t="str">
        <x:v>[称号]黄金律见证者</x:v>
      </x:c>
      <x:c r="E52" s="19" t="n">
        <x:v>0</x:v>
      </x:c>
      <x:c r="F52" s="19" t="n">
        <x:v>2840000000</x:v>
      </x:c>
      <x:c r="G52" s="19" t="n">
        <x:v>1</x:v>
      </x:c>
      <x:c r="H52" s="19" t="str">
        <x:v>已含条件路线/按实际事件计量</x:v>
      </x:c>
    </x:row>
    <x:row r="53" ht="19" customHeight="1">
      <x:c r="A53" s="19" t="str">
        <x:v>C10-SYN-TT-01</x:v>
      </x:c>
      <x:c r="B53" s="19" t="n">
        <x:v>10</x:v>
      </x:c>
      <x:c r="C53" s="19" t="str">
        <x:v>无冕司礼官·维安</x:v>
      </x:c>
      <x:c r="D53" s="19" t="str">
        <x:v>[称号]艾尔登之王</x:v>
      </x:c>
      <x:c r="E53" s="19" t="n">
        <x:v>136000000000</x:v>
      </x:c>
      <x:c r="F53" s="19" t="n">
        <x:v>1620000000</x:v>
      </x:c>
      <x:c r="G53" s="19" t="n">
        <x:v>1</x:v>
      </x:c>
      <x:c r="H53" s="19" t="str">
        <x:v>已含条件路线/按实际事件计量</x:v>
      </x:c>
    </x:row>
    <x:row r="54" ht="19" customHeight="1">
      <x:c r="A54" s="19" t="str">
        <x:v>C02-AOE-LV1</x:v>
      </x:c>
      <x:c r="B54" s="19" t="n">
        <x:v>2</x:v>
      </x:c>
      <x:c r="C54" s="19" t="str">
        <x:v>风暴工匠·洛克</x:v>
      </x:c>
      <x:c r="D54" s="19" t="str">
        <x:v>群星之核LV1</x:v>
      </x:c>
      <x:c r="E54" s="19" t="n">
        <x:v>0</x:v>
      </x:c>
      <x:c r="F54" s="19" t="n">
        <x:v>57500000</x:v>
      </x:c>
      <x:c r="G54" s="19" t="n">
        <x:v>1</x:v>
      </x:c>
      <x:c r="H54" s="19" t="str">
        <x:v>已含条件路线/按实际事件计量</x:v>
      </x:c>
    </x:row>
    <x:row r="55" ht="19" customHeight="1">
      <x:c r="A55" s="19" t="str">
        <x:v>C03-AOE-LV2</x:v>
      </x:c>
      <x:c r="B55" s="19" t="n">
        <x:v>3</x:v>
      </x:c>
      <x:c r="C55" s="19" t="str">
        <x:v>星核校准师·西境</x:v>
      </x:c>
      <x:c r="D55" s="19" t="str">
        <x:v>群星之核LV2</x:v>
      </x:c>
      <x:c r="E55" s="19" t="n">
        <x:v>16000000000</x:v>
      </x:c>
      <x:c r="F55" s="19" t="n">
        <x:v>0</x:v>
      </x:c>
      <x:c r="G55" s="19" t="n">
        <x:v>1</x:v>
      </x:c>
      <x:c r="H55" s="19" t="str">
        <x:v>已含条件路线/按实际事件计量</x:v>
      </x:c>
    </x:row>
    <x:row r="56" ht="19" customHeight="1">
      <x:c r="A56" s="19" t="str">
        <x:v>C05-AOE-LV3</x:v>
      </x:c>
      <x:c r="B56" s="19" t="n">
        <x:v>5</x:v>
      </x:c>
      <x:c r="C56" s="19" t="str">
        <x:v>星核校准师·湖月</x:v>
      </x:c>
      <x:c r="D56" s="19" t="str">
        <x:v>群星之核LV3</x:v>
      </x:c>
      <x:c r="E56" s="19" t="n">
        <x:v>0</x:v>
      </x:c>
      <x:c r="F56" s="19" t="n">
        <x:v>372000000</x:v>
      </x:c>
      <x:c r="G56" s="19" t="n">
        <x:v>1</x:v>
      </x:c>
      <x:c r="H56" s="19" t="str">
        <x:v>已含条件路线/按实际事件计量</x:v>
      </x:c>
    </x:row>
    <x:row r="57" ht="19" customHeight="1">
      <x:c r="A57" s="19" t="str">
        <x:v>C07-AOE-LV4</x:v>
      </x:c>
      <x:c r="B57" s="19" t="n">
        <x:v>7</x:v>
      </x:c>
      <x:c r="C57" s="19" t="str">
        <x:v>星核校准师·圣雪</x:v>
      </x:c>
      <x:c r="D57" s="19" t="str">
        <x:v>群星之核LV4</x:v>
      </x:c>
      <x:c r="E57" s="19" t="n">
        <x:v>45000000000</x:v>
      </x:c>
      <x:c r="F57" s="19" t="n">
        <x:v>442000000</x:v>
      </x:c>
      <x:c r="G57" s="19" t="n">
        <x:v>1</x:v>
      </x:c>
      <x:c r="H57" s="19" t="str">
        <x:v>已含条件路线/按实际事件计量</x:v>
      </x:c>
    </x:row>
    <x:row r="58" ht="19" customHeight="1">
      <x:c r="A58" s="19" t="str">
        <x:v>C09-AOE-LV5</x:v>
      </x:c>
      <x:c r="B58" s="19" t="n">
        <x:v>9</x:v>
      </x:c>
      <x:c r="C58" s="19" t="str">
        <x:v>星核校准师·黄金律</x:v>
      </x:c>
      <x:c r="D58" s="19" t="str">
        <x:v>群星之核LV5</x:v>
      </x:c>
      <x:c r="E58" s="19" t="n">
        <x:v>0</x:v>
      </x:c>
      <x:c r="F58" s="19" t="n">
        <x:v>2130000000</x:v>
      </x:c>
      <x:c r="G58" s="19" t="n">
        <x:v>1</x:v>
      </x:c>
      <x:c r="H58" s="19" t="str">
        <x:v>已含条件路线/按实际事件计量</x:v>
      </x:c>
    </x:row>
    <x:row r="59" ht="19" customHeight="1">
      <x:c r="A59" s="19" t="str">
        <x:v>C04-REBIRTH-01</x:v>
      </x:c>
      <x:c r="B59" s="19" t="n">
        <x:v>4</x:v>
      </x:c>
      <x:c r="C59" s="19" t="str">
        <x:v>潮印引渡者·洛弥</x:v>
      </x:c>
      <x:c r="D59" s="19" t="str">
        <x:v>第1转·雾潮初醒</x:v>
      </x:c>
      <x:c r="E59" s="19" t="n">
        <x:v>5500000000</x:v>
      </x:c>
      <x:c r="F59" s="19" t="n">
        <x:v>48000000</x:v>
      </x:c>
      <x:c r="G59" s="19" t="n">
        <x:v>1</x:v>
      </x:c>
      <x:c r="H59" s="19" t="str">
        <x:v>已含条件路线/按实际事件计量</x:v>
      </x:c>
    </x:row>
    <x:row r="60" ht="19" customHeight="1">
      <x:c r="A60" s="19" t="str">
        <x:v>C04-REBIRTH-02</x:v>
      </x:c>
      <x:c r="B60" s="19" t="n">
        <x:v>4</x:v>
      </x:c>
      <x:c r="C60" s="19" t="str">
        <x:v>潮印引渡者·洛弥</x:v>
      </x:c>
      <x:c r="D60" s="19" t="str">
        <x:v>第2转·沉舟回魂</x:v>
      </x:c>
      <x:c r="E60" s="19" t="n">
        <x:v>7400000000</x:v>
      </x:c>
      <x:c r="F60" s="19" t="n">
        <x:v>64500000</x:v>
      </x:c>
      <x:c r="G60" s="19" t="n">
        <x:v>1</x:v>
      </x:c>
      <x:c r="H60" s="19" t="str">
        <x:v>已含条件路线/按实际事件计量</x:v>
      </x:c>
    </x:row>
    <x:row r="61" ht="19" customHeight="1">
      <x:c r="A61" s="19" t="str">
        <x:v>C04-REBIRTH-03</x:v>
      </x:c>
      <x:c r="B61" s="19" t="n">
        <x:v>4</x:v>
      </x:c>
      <x:c r="C61" s="19" t="str">
        <x:v>潮印引渡者·洛弥</x:v>
      </x:c>
      <x:c r="D61" s="19" t="str">
        <x:v>第3转·月水洗身</x:v>
      </x:c>
      <x:c r="E61" s="19" t="n">
        <x:v>9200000000</x:v>
      </x:c>
      <x:c r="F61" s="19" t="n">
        <x:v>80500000</x:v>
      </x:c>
      <x:c r="G61" s="19" t="n">
        <x:v>1</x:v>
      </x:c>
      <x:c r="H61" s="19" t="str">
        <x:v>已含条件路线/按实际事件计量</x:v>
      </x:c>
    </x:row>
    <x:row r="62" ht="19" customHeight="1">
      <x:c r="A62" s="19" t="str">
        <x:v>C04-REBIRTH-04</x:v>
      </x:c>
      <x:c r="B62" s="19" t="n">
        <x:v>4</x:v>
      </x:c>
      <x:c r="C62" s="19" t="str">
        <x:v>潮印引渡者·洛弥</x:v>
      </x:c>
      <x:c r="D62" s="19" t="str">
        <x:v>第4转·湖誓重铸</x:v>
      </x:c>
      <x:c r="E62" s="19" t="n">
        <x:v>11000000000</x:v>
      </x:c>
      <x:c r="F62" s="19" t="n">
        <x:v>96500000</x:v>
      </x:c>
      <x:c r="G62" s="19" t="n">
        <x:v>1</x:v>
      </x:c>
      <x:c r="H62" s="19" t="str">
        <x:v>已含条件路线/按实际事件计量</x:v>
      </x:c>
    </x:row>
    <x:row r="63" ht="19" customHeight="1">
      <x:c r="A63" s="19" t="str">
        <x:v>C04-REBIRTH-05</x:v>
      </x:c>
      <x:c r="B63" s="19" t="n">
        <x:v>4</x:v>
      </x:c>
      <x:c r="C63" s="19" t="str">
        <x:v>潮印引渡者·洛弥</x:v>
      </x:c>
      <x:c r="D63" s="19" t="str">
        <x:v>第5转·闭潮新生</x:v>
      </x:c>
      <x:c r="E63" s="19" t="n">
        <x:v>13000000000</x:v>
      </x:c>
      <x:c r="F63" s="19" t="n">
        <x:v>113000000</x:v>
      </x:c>
      <x:c r="G63" s="19" t="n">
        <x:v>1</x:v>
      </x:c>
      <x:c r="H63" s="19" t="str">
        <x:v>已含条件路线/按实际事件计量</x:v>
      </x:c>
    </x:row>
    <x:row r="64" ht="19" customHeight="1">
      <x:c r="A64" s="19" t="str">
        <x:v>C06-REBIRTH-06</x:v>
      </x:c>
      <x:c r="B64" s="19" t="n">
        <x:v>6</x:v>
      </x:c>
      <x:c r="C64" s="19" t="str">
        <x:v>红狮洗礼官·卡恩</x:v>
      </x:c>
      <x:c r="D64" s="19" t="str">
        <x:v>第6转·灰原灼骨</x:v>
      </x:c>
      <x:c r="E64" s="19" t="n">
        <x:v>24500000000</x:v>
      </x:c>
      <x:c r="F64" s="19" t="n">
        <x:v>0</x:v>
      </x:c>
      <x:c r="G64" s="19" t="n">
        <x:v>1</x:v>
      </x:c>
      <x:c r="H64" s="19" t="str">
        <x:v>已含条件路线/按实际事件计量</x:v>
      </x:c>
    </x:row>
    <x:row r="65" ht="19" customHeight="1">
      <x:c r="A65" s="19" t="str">
        <x:v>C06-REBIRTH-07</x:v>
      </x:c>
      <x:c r="B65" s="19" t="n">
        <x:v>6</x:v>
      </x:c>
      <x:c r="C65" s="19" t="str">
        <x:v>红狮洗礼官·卡恩</x:v>
      </x:c>
      <x:c r="D65" s="19" t="str">
        <x:v>第7转·腐焰炼血</x:v>
      </x:c>
      <x:c r="E65" s="19" t="n">
        <x:v>32500000000</x:v>
      </x:c>
      <x:c r="F65" s="19" t="n">
        <x:v>0</x:v>
      </x:c>
      <x:c r="G65" s="19" t="n">
        <x:v>1</x:v>
      </x:c>
      <x:c r="H65" s="19" t="str">
        <x:v>已含条件路线/按实际事件计量</x:v>
      </x:c>
    </x:row>
    <x:row r="66" ht="19" customHeight="1">
      <x:c r="A66" s="19" t="str">
        <x:v>C06-REBIRTH-08</x:v>
      </x:c>
      <x:c r="B66" s="19" t="n">
        <x:v>6</x:v>
      </x:c>
      <x:c r="C66" s="19" t="str">
        <x:v>红狮洗礼官·卡恩</x:v>
      </x:c>
      <x:c r="D66" s="19" t="str">
        <x:v>第8转·红狮战心</x:v>
      </x:c>
      <x:c r="E66" s="19" t="n">
        <x:v>40500000000</x:v>
      </x:c>
      <x:c r="F66" s="19" t="n">
        <x:v>0</x:v>
      </x:c>
      <x:c r="G66" s="19" t="n">
        <x:v>1</x:v>
      </x:c>
      <x:c r="H66" s="19" t="str">
        <x:v>已含条件路线/按实际事件计量</x:v>
      </x:c>
    </x:row>
    <x:row r="67" ht="19" customHeight="1">
      <x:c r="A67" s="19" t="str">
        <x:v>C06-REBIRTH-09</x:v>
      </x:c>
      <x:c r="B67" s="19" t="n">
        <x:v>6</x:v>
      </x:c>
      <x:c r="C67" s="19" t="str">
        <x:v>红狮洗礼官·卡恩</x:v>
      </x:c>
      <x:c r="D67" s="19" t="str">
        <x:v>第9转·龙火淬魂</x:v>
      </x:c>
      <x:c r="E67" s="19" t="n">
        <x:v>48500000000</x:v>
      </x:c>
      <x:c r="F67" s="19" t="n">
        <x:v>0</x:v>
      </x:c>
      <x:c r="G67" s="19" t="n">
        <x:v>1</x:v>
      </x:c>
      <x:c r="H67" s="19" t="str">
        <x:v>已含条件路线/按实际事件计量</x:v>
      </x:c>
    </x:row>
    <x:row r="68" ht="19" customHeight="1">
      <x:c r="A68" s="19" t="str">
        <x:v>C06-REBIRTH-10</x:v>
      </x:c>
      <x:c r="B68" s="19" t="n">
        <x:v>6</x:v>
      </x:c>
      <x:c r="C68" s="19" t="str">
        <x:v>红狮洗礼官·卡恩</x:v>
      </x:c>
      <x:c r="D68" s="19" t="str">
        <x:v>第10转·碎星再临</x:v>
      </x:c>
      <x:c r="E68" s="19" t="n">
        <x:v>56500000000</x:v>
      </x:c>
      <x:c r="F68" s="19" t="n">
        <x:v>0</x:v>
      </x:c>
      <x:c r="G68" s="19" t="n">
        <x:v>1</x:v>
      </x:c>
      <x:c r="H68" s="19" t="str">
        <x:v>已含条件路线/按实际事件计量</x:v>
      </x:c>
    </x:row>
    <x:row r="69" ht="19" customHeight="1">
      <x:c r="A69" s="19" t="str">
        <x:v>C08-REBIRTH-11</x:v>
      </x:c>
      <x:c r="B69" s="19" t="n">
        <x:v>8</x:v>
      </x:c>
      <x:c r="C69" s="19" t="str">
        <x:v>炉脉引渡者·赫达</x:v>
      </x:c>
      <x:c r="D69" s="19" t="str">
        <x:v>第11转·登霜换骨</x:v>
      </x:c>
      <x:c r="E69" s="19" t="n">
        <x:v>27000000000</x:v>
      </x:c>
      <x:c r="F69" s="19" t="n">
        <x:v>234000000</x:v>
      </x:c>
      <x:c r="G69" s="19" t="n">
        <x:v>1</x:v>
      </x:c>
      <x:c r="H69" s="19" t="str">
        <x:v>已含条件路线/按实际事件计量</x:v>
      </x:c>
    </x:row>
    <x:row r="70" ht="19" customHeight="1">
      <x:c r="A70" s="19" t="str">
        <x:v>C08-REBIRTH-12</x:v>
      </x:c>
      <x:c r="B70" s="19" t="n">
        <x:v>8</x:v>
      </x:c>
      <x:c r="C70" s="19" t="str">
        <x:v>炉脉引渡者·赫达</x:v>
      </x:c>
      <x:c r="D70" s="19" t="str">
        <x:v>第12转·炉火铸心</x:v>
      </x:c>
      <x:c r="E70" s="19" t="n">
        <x:v>36500000000</x:v>
      </x:c>
      <x:c r="F70" s="19" t="n">
        <x:v>311000000</x:v>
      </x:c>
      <x:c r="G70" s="19" t="n">
        <x:v>1</x:v>
      </x:c>
      <x:c r="H70" s="19" t="str">
        <x:v>已含条件路线/按实际事件计量</x:v>
      </x:c>
    </x:row>
    <x:row r="71" ht="19" customHeight="1">
      <x:c r="A71" s="19" t="str">
        <x:v>C08-REBIRTH-13</x:v>
      </x:c>
      <x:c r="B71" s="19" t="n">
        <x:v>8</x:v>
      </x:c>
      <x:c r="C71" s="19" t="str">
        <x:v>炉脉引渡者·赫达</x:v>
      </x:c>
      <x:c r="D71" s="19" t="str">
        <x:v>第13转·巨人燃血</x:v>
      </x:c>
      <x:c r="E71" s="19" t="n">
        <x:v>45500000000</x:v>
      </x:c>
      <x:c r="F71" s="19" t="n">
        <x:v>389000000</x:v>
      </x:c>
      <x:c r="G71" s="19" t="n">
        <x:v>1</x:v>
      </x:c>
      <x:c r="H71" s="19" t="str">
        <x:v>已含条件路线/按实际事件计量</x:v>
      </x:c>
    </x:row>
    <x:row r="72" ht="19" customHeight="1">
      <x:c r="A72" s="19" t="str">
        <x:v>C08-REBIRTH-14</x:v>
      </x:c>
      <x:c r="B72" s="19" t="n">
        <x:v>8</x:v>
      </x:c>
      <x:c r="C72" s="19" t="str">
        <x:v>炉脉引渡者·赫达</x:v>
      </x:c>
      <x:c r="D72" s="19" t="str">
        <x:v>第14转·吞日化躯</x:v>
      </x:c>
      <x:c r="E72" s="19" t="n">
        <x:v>54500000000</x:v>
      </x:c>
      <x:c r="F72" s="19" t="n">
        <x:v>467000000</x:v>
      </x:c>
      <x:c r="G72" s="19" t="n">
        <x:v>1</x:v>
      </x:c>
      <x:c r="H72" s="19" t="str">
        <x:v>已含条件路线/按实际事件计量</x:v>
      </x:c>
    </x:row>
    <x:row r="73" ht="19" customHeight="1">
      <x:c r="A73" s="19" t="str">
        <x:v>C08-REBIRTH-15</x:v>
      </x:c>
      <x:c r="B73" s="19" t="n">
        <x:v>8</x:v>
      </x:c>
      <x:c r="C73" s="19" t="str">
        <x:v>炉脉引渡者·赫达</x:v>
      </x:c>
      <x:c r="D73" s="19" t="str">
        <x:v>第15转·山巅归一</x:v>
      </x:c>
      <x:c r="E73" s="19" t="n">
        <x:v>63500000000</x:v>
      </x:c>
      <x:c r="F73" s="19" t="n">
        <x:v>545000000</x:v>
      </x:c>
      <x:c r="G73" s="19" t="n">
        <x:v>1</x:v>
      </x:c>
      <x:c r="H73" s="19" t="str">
        <x:v>已含条件路线/按实际事件计量</x:v>
      </x:c>
    </x:row>
    <x:row r="74" ht="19" customHeight="1">
      <x:c r="A74" s="19" t="str">
        <x:v>C10-REBIRTH-16</x:v>
      </x:c>
      <x:c r="B74" s="19" t="n">
        <x:v>10</x:v>
      </x:c>
      <x:c r="C74" s="19" t="str">
        <x:v>王律司转·埃伦</x:v>
      </x:c>
      <x:c r="D74" s="19" t="str">
        <x:v>第16转·王律铭身</x:v>
      </x:c>
      <x:c r="E74" s="19" t="n">
        <x:v>51000000000</x:v>
      </x:c>
      <x:c r="F74" s="19" t="n">
        <x:v>609000000</x:v>
      </x:c>
      <x:c r="G74" s="19" t="n">
        <x:v>1</x:v>
      </x:c>
      <x:c r="H74" s="19" t="str">
        <x:v>已含条件路线/按实际事件计量</x:v>
      </x:c>
    </x:row>
    <x:row r="75" ht="19" customHeight="1">
      <x:c r="A75" s="19" t="str">
        <x:v>C10-REBIRTH-17</x:v>
      </x:c>
      <x:c r="B75" s="19" t="n">
        <x:v>10</x:v>
      </x:c>
      <x:c r="C75" s="19" t="str">
        <x:v>王律司转·埃伦</x:v>
      </x:c>
      <x:c r="D75" s="19" t="str">
        <x:v>第17转·金树烙魂</x:v>
      </x:c>
      <x:c r="E75" s="19" t="n">
        <x:v>68000000000</x:v>
      </x:c>
      <x:c r="F75" s="19" t="n">
        <x:v>812000000</x:v>
      </x:c>
      <x:c r="G75" s="19" t="n">
        <x:v>1</x:v>
      </x:c>
      <x:c r="H75" s="19" t="str">
        <x:v>已含条件路线/按实际事件计量</x:v>
      </x:c>
    </x:row>
    <x:row r="76" ht="19" customHeight="1">
      <x:c r="A76" s="19" t="str">
        <x:v>C10-REBIRTH-18</x:v>
      </x:c>
      <x:c r="B76" s="19" t="n">
        <x:v>10</x:v>
      </x:c>
      <x:c r="C76" s="19" t="str">
        <x:v>王律司转·埃伦</x:v>
      </x:c>
      <x:c r="D76" s="19" t="str">
        <x:v>第18转·王座承命</x:v>
      </x:c>
      <x:c r="E76" s="19" t="n">
        <x:v>85000000000</x:v>
      </x:c>
      <x:c r="F76" s="19" t="n">
        <x:v>1010000000</x:v>
      </x:c>
      <x:c r="G76" s="19" t="n">
        <x:v>1</x:v>
      </x:c>
      <x:c r="H76" s="19" t="str">
        <x:v>已含条件路线/按实际事件计量</x:v>
      </x:c>
    </x:row>
    <x:row r="77" ht="19" customHeight="1">
      <x:c r="A77" s="19" t="str">
        <x:v>C10-REBIRTH-19</x:v>
      </x:c>
      <x:c r="B77" s="19" t="n">
        <x:v>10</x:v>
      </x:c>
      <x:c r="C77" s="19" t="str">
        <x:v>王律司转·埃伦</x:v>
      </x:c>
      <x:c r="D77" s="19" t="str">
        <x:v>第19转·无冕登临</x:v>
      </x:c>
      <x:c r="E77" s="19" t="n">
        <x:v>102000000000</x:v>
      </x:c>
      <x:c r="F77" s="19" t="n">
        <x:v>1220000000</x:v>
      </x:c>
      <x:c r="G77" s="19" t="n">
        <x:v>1</x:v>
      </x:c>
      <x:c r="H77" s="19" t="str">
        <x:v>已含条件路线/按实际事件计量</x:v>
      </x:c>
    </x:row>
    <x:row r="78" ht="19" customHeight="1">
      <x:c r="A78" s="19" t="str">
        <x:v>C10-REBIRTH-20</x:v>
      </x:c>
      <x:c r="B78" s="19" t="n">
        <x:v>10</x:v>
      </x:c>
      <x:c r="C78" s="19" t="str">
        <x:v>王律司转·埃伦</x:v>
      </x:c>
      <x:c r="D78" s="19" t="str">
        <x:v>第20转·艾尔登新生</x:v>
      </x:c>
      <x:c r="E78" s="19" t="n">
        <x:v>119000000000</x:v>
      </x:c>
      <x:c r="F78" s="19" t="n">
        <x:v>1420000000</x:v>
      </x:c>
      <x:c r="G78" s="19" t="n">
        <x:v>1</x:v>
      </x:c>
      <x:c r="H78" s="19" t="str">
        <x:v>已含条件路线/按实际事件计量</x:v>
      </x:c>
    </x:row>
    <x:row r="79" ht="19" customHeight="1">
      <x:c r="A79" s="19" t="str">
        <x:v>C01-LONGTITLE</x:v>
      </x:c>
      <x:c r="B79" s="19" t="n">
        <x:v>1</x:v>
      </x:c>
      <x:c r="C79" s="19" t="str">
        <x:v>贯穿式称号晋升NPC</x:v>
      </x:c>
      <x:c r="D79" s="19" t="str">
        <x:v>黄金树下·初王（第一阶段10级合计）</x:v>
      </x:c>
      <x:c r="E79" s="19" t="n">
        <x:v>629000000</x:v>
      </x:c>
      <x:c r="F79" s="19" t="n">
        <x:v>236500</x:v>
      </x:c>
      <x:c r="G79" s="19" t="n">
        <x:v>1</x:v>
      </x:c>
      <x:c r="H79" s="19" t="str">
        <x:v>已含条件路线/按实际事件计量</x:v>
      </x:c>
    </x:row>
    <x:row r="80" ht="19" customHeight="1">
      <x:c r="A80" s="19" t="str">
        <x:v>C02-LONGTITLE</x:v>
      </x:c>
      <x:c r="B80" s="19" t="n">
        <x:v>2</x:v>
      </x:c>
      <x:c r="C80" s="19" t="str">
        <x:v>贯穿式称号晋升NPC</x:v>
      </x:c>
      <x:c r="D80" s="19" t="str">
        <x:v>贯穿式主线称号·第2大陆阶段</x:v>
      </x:c>
      <x:c r="E80" s="19" t="n">
        <x:v>4100000000</x:v>
      </x:c>
      <x:c r="F80" s="19" t="n">
        <x:v>26500000</x:v>
      </x:c>
      <x:c r="G80" s="19" t="n">
        <x:v>1</x:v>
      </x:c>
      <x:c r="H80" s="19" t="str">
        <x:v>已含条件路线/按实际事件计量</x:v>
      </x:c>
    </x:row>
    <x:row r="81" ht="19" customHeight="1">
      <x:c r="A81" s="19" t="str">
        <x:v>C03-LONGTITLE</x:v>
      </x:c>
      <x:c r="B81" s="19" t="n">
        <x:v>3</x:v>
      </x:c>
      <x:c r="C81" s="19" t="str">
        <x:v>贯穿式称号晋升NPC</x:v>
      </x:c>
      <x:c r="D81" s="19" t="str">
        <x:v>贯穿式主线称号·第3大陆阶段</x:v>
      </x:c>
      <x:c r="E81" s="19" t="n">
        <x:v>7300000000</x:v>
      </x:c>
      <x:c r="F81" s="19" t="n">
        <x:v>52000000</x:v>
      </x:c>
      <x:c r="G81" s="19" t="n">
        <x:v>1</x:v>
      </x:c>
      <x:c r="H81" s="19" t="str">
        <x:v>已含条件路线/按实际事件计量</x:v>
      </x:c>
    </x:row>
    <x:row r="82" ht="19" customHeight="1">
      <x:c r="A82" s="19" t="str">
        <x:v>C04-LONGTITLE</x:v>
      </x:c>
      <x:c r="B82" s="19" t="n">
        <x:v>4</x:v>
      </x:c>
      <x:c r="C82" s="19" t="str">
        <x:v>贯穿式称号晋升NPC</x:v>
      </x:c>
      <x:c r="D82" s="19" t="str">
        <x:v>贯穿式主线称号·第4大陆阶段</x:v>
      </x:c>
      <x:c r="E82" s="19" t="n">
        <x:v>9200000000</x:v>
      </x:c>
      <x:c r="F82" s="19" t="n">
        <x:v>80500000</x:v>
      </x:c>
      <x:c r="G82" s="19" t="n">
        <x:v>1</x:v>
      </x:c>
      <x:c r="H82" s="19" t="str">
        <x:v>已含条件路线/按实际事件计量</x:v>
      </x:c>
    </x:row>
    <x:row r="83" ht="19" customHeight="1">
      <x:c r="A83" s="19" t="str">
        <x:v>C05-LONGTITLE</x:v>
      </x:c>
      <x:c r="B83" s="19" t="n">
        <x:v>5</x:v>
      </x:c>
      <x:c r="C83" s="19" t="str">
        <x:v>贯穿式称号晋升NPC</x:v>
      </x:c>
      <x:c r="D83" s="19" t="str">
        <x:v>贯穿式主线称号·第5大陆阶段</x:v>
      </x:c>
      <x:c r="E83" s="19" t="n">
        <x:v>15500000000</x:v>
      </x:c>
      <x:c r="F83" s="19" t="n">
        <x:v>171000000</x:v>
      </x:c>
      <x:c r="G83" s="19" t="n">
        <x:v>1</x:v>
      </x:c>
      <x:c r="H83" s="19" t="str">
        <x:v>已含条件路线/按实际事件计量</x:v>
      </x:c>
    </x:row>
    <x:row r="84" ht="19" customHeight="1">
      <x:c r="A84" s="19" t="str">
        <x:v>C06-LONGTITLE</x:v>
      </x:c>
      <x:c r="B84" s="19" t="n">
        <x:v>6</x:v>
      </x:c>
      <x:c r="C84" s="19" t="str">
        <x:v>贯穿式称号晋升NPC</x:v>
      </x:c>
      <x:c r="D84" s="19" t="str">
        <x:v>贯穿式主线称号·第6大陆阶段</x:v>
      </x:c>
      <x:c r="E84" s="19" t="n">
        <x:v>22500000000</x:v>
      </x:c>
      <x:c r="F84" s="19" t="n">
        <x:v>186000000</x:v>
      </x:c>
      <x:c r="G84" s="19" t="n">
        <x:v>1</x:v>
      </x:c>
      <x:c r="H84" s="19" t="str">
        <x:v>已含条件路线/按实际事件计量</x:v>
      </x:c>
    </x:row>
    <x:row r="85" ht="19" customHeight="1">
      <x:c r="A85" s="19" t="str">
        <x:v>C07-LONGTITLE</x:v>
      </x:c>
      <x:c r="B85" s="19" t="n">
        <x:v>7</x:v>
      </x:c>
      <x:c r="C85" s="19" t="str">
        <x:v>贯穿式称号晋升NPC</x:v>
      </x:c>
      <x:c r="D85" s="19" t="str">
        <x:v>贯穿式主线称号·第7大陆阶段</x:v>
      </x:c>
      <x:c r="E85" s="19" t="n">
        <x:v>37500000000</x:v>
      </x:c>
      <x:c r="F85" s="19" t="n">
        <x:v>368000000</x:v>
      </x:c>
      <x:c r="G85" s="19" t="n">
        <x:v>1</x:v>
      </x:c>
      <x:c r="H85" s="19" t="str">
        <x:v>已含条件路线/按实际事件计量</x:v>
      </x:c>
    </x:row>
    <x:row r="86" ht="19" customHeight="1">
      <x:c r="A86" s="19" t="str">
        <x:v>C08-LONGTITLE</x:v>
      </x:c>
      <x:c r="B86" s="19" t="n">
        <x:v>8</x:v>
      </x:c>
      <x:c r="C86" s="19" t="str">
        <x:v>贯穿式称号晋升NPC</x:v>
      </x:c>
      <x:c r="D86" s="19" t="str">
        <x:v>贯穿式主线称号·第8大陆阶段</x:v>
      </x:c>
      <x:c r="E86" s="19" t="n">
        <x:v>45500000000</x:v>
      </x:c>
      <x:c r="F86" s="19" t="n">
        <x:v>389000000</x:v>
      </x:c>
      <x:c r="G86" s="19" t="n">
        <x:v>1</x:v>
      </x:c>
      <x:c r="H86" s="19" t="str">
        <x:v>已含条件路线/按实际事件计量</x:v>
      </x:c>
    </x:row>
    <x:row r="87" ht="19" customHeight="1">
      <x:c r="A87" s="19" t="str">
        <x:v>C09-LONGTITLE</x:v>
      </x:c>
      <x:c r="B87" s="19" t="n">
        <x:v>9</x:v>
      </x:c>
      <x:c r="C87" s="19" t="str">
        <x:v>贯穿式称号晋升NPC</x:v>
      </x:c>
      <x:c r="D87" s="19" t="str">
        <x:v>贯穿式主线称号·第9大陆阶段</x:v>
      </x:c>
      <x:c r="E87" s="19" t="n">
        <x:v>70500000000</x:v>
      </x:c>
      <x:c r="F87" s="19" t="n">
        <x:v>977000000</x:v>
      </x:c>
      <x:c r="G87" s="19" t="n">
        <x:v>1</x:v>
      </x:c>
      <x:c r="H87" s="19" t="str">
        <x:v>已含条件路线/按实际事件计量</x:v>
      </x:c>
    </x:row>
    <x:row r="88" ht="19" customHeight="1">
      <x:c r="A88" s="19" t="str">
        <x:v>C10-LONGTITLE</x:v>
      </x:c>
      <x:c r="B88" s="19" t="n">
        <x:v>10</x:v>
      </x:c>
      <x:c r="C88" s="19" t="str">
        <x:v>贯穿式称号晋升NPC</x:v>
      </x:c>
      <x:c r="D88" s="19" t="str">
        <x:v>贯穿式主线称号·第10大陆阶段</x:v>
      </x:c>
      <x:c r="E88" s="19" t="n">
        <x:v>85000000000</x:v>
      </x:c>
      <x:c r="F88" s="19" t="n">
        <x:v>1010000000</x:v>
      </x:c>
      <x:c r="G88" s="19" t="n">
        <x:v>1</x:v>
      </x:c>
      <x:c r="H88" s="19" t="str">
        <x:v>已含条件路线/按实际事件计量</x:v>
      </x:c>
    </x:row>
    <x:row r="89" ht="19" customHeight="1">
      <x:c r="A89" s="19" t="str">
        <x:v>C01-SKILL-01</x:v>
      </x:c>
      <x:c r="B89" s="19" t="n">
        <x:v>1</x:v>
      </x:c>
      <x:c r="C89" s="19" t="str">
        <x:v>技能强化页面</x:v>
      </x:c>
      <x:c r="D89" s="19" t="str">
        <x:v>任一基础技能强化至LV1</x:v>
      </x:c>
      <x:c r="E89" s="19" t="n">
        <x:v>0</x:v>
      </x:c>
      <x:c r="F89" s="19" t="n">
        <x:v>1000000</x:v>
      </x:c>
      <x:c r="G89" s="19" t="n">
        <x:v>1</x:v>
      </x:c>
      <x:c r="H89" s="19" t="str">
        <x:v>已含条件路线/按实际事件计量</x:v>
      </x:c>
    </x:row>
    <x:row r="90" ht="19" customHeight="1">
      <x:c r="A90" s="19" t="str">
        <x:v>C01-SKILL-02</x:v>
      </x:c>
      <x:c r="B90" s="19" t="n">
        <x:v>1</x:v>
      </x:c>
      <x:c r="C90" s="19" t="str">
        <x:v>技能强化页面</x:v>
      </x:c>
      <x:c r="D90" s="19" t="str">
        <x:v>任一基础技能强化至LV2</x:v>
      </x:c>
      <x:c r="E90" s="19" t="n">
        <x:v>0</x:v>
      </x:c>
      <x:c r="F90" s="19" t="n">
        <x:v>2000000</x:v>
      </x:c>
      <x:c r="G90" s="19" t="n">
        <x:v>1</x:v>
      </x:c>
      <x:c r="H90" s="19" t="str">
        <x:v>已含条件路线/按实际事件计量</x:v>
      </x:c>
    </x:row>
    <x:row r="91" ht="19" customHeight="1">
      <x:c r="A91" s="19" t="str">
        <x:v>C01-SKILL-03</x:v>
      </x:c>
      <x:c r="B91" s="19" t="n">
        <x:v>1</x:v>
      </x:c>
      <x:c r="C91" s="19" t="str">
        <x:v>技能强化页面</x:v>
      </x:c>
      <x:c r="D91" s="19" t="str">
        <x:v>任一基础技能强化至LV3</x:v>
      </x:c>
      <x:c r="E91" s="19" t="n">
        <x:v>0</x:v>
      </x:c>
      <x:c r="F91" s="19" t="n">
        <x:v>3000000</x:v>
      </x:c>
      <x:c r="G91" s="19" t="n">
        <x:v>1</x:v>
      </x:c>
      <x:c r="H91" s="19" t="str">
        <x:v>已含条件路线/按实际事件计量</x:v>
      </x:c>
    </x:row>
    <x:row r="92" ht="19" customHeight="1">
      <x:c r="A92" s="19" t="str">
        <x:v>C01-SKILL-04</x:v>
      </x:c>
      <x:c r="B92" s="19" t="n">
        <x:v>1</x:v>
      </x:c>
      <x:c r="C92" s="19" t="str">
        <x:v>技能强化页面</x:v>
      </x:c>
      <x:c r="D92" s="19" t="str">
        <x:v>任一基础技能强化至LV4</x:v>
      </x:c>
      <x:c r="E92" s="19" t="n">
        <x:v>0</x:v>
      </x:c>
      <x:c r="F92" s="19" t="n">
        <x:v>4000000</x:v>
      </x:c>
      <x:c r="G92" s="19" t="n">
        <x:v>1</x:v>
      </x:c>
      <x:c r="H92" s="19" t="str">
        <x:v>已含条件路线/按实际事件计量</x:v>
      </x:c>
    </x:row>
    <x:row r="93" ht="19" customHeight="1">
      <x:c r="A93" s="19" t="str">
        <x:v>C01-SKILL-05</x:v>
      </x:c>
      <x:c r="B93" s="19" t="n">
        <x:v>1</x:v>
      </x:c>
      <x:c r="C93" s="19" t="str">
        <x:v>技能强化页面</x:v>
      </x:c>
      <x:c r="D93" s="19" t="str">
        <x:v>任一基础技能强化至LV5</x:v>
      </x:c>
      <x:c r="E93" s="19" t="n">
        <x:v>0</x:v>
      </x:c>
      <x:c r="F93" s="19" t="n">
        <x:v>5000000</x:v>
      </x:c>
      <x:c r="G93" s="19" t="n">
        <x:v>1</x:v>
      </x:c>
      <x:c r="H93" s="19" t="str">
        <x:v>已含条件路线/按实际事件计量</x:v>
      </x:c>
    </x:row>
    <x:row r="94" ht="19" customHeight="1">
      <x:c r="A94" s="19" t="str">
        <x:v>C01-SKILL-06</x:v>
      </x:c>
      <x:c r="B94" s="19" t="n">
        <x:v>1</x:v>
      </x:c>
      <x:c r="C94" s="19" t="str">
        <x:v>技能强化页面</x:v>
      </x:c>
      <x:c r="D94" s="19" t="str">
        <x:v>任一基础技能强化至LV6</x:v>
      </x:c>
      <x:c r="E94" s="19" t="n">
        <x:v>0</x:v>
      </x:c>
      <x:c r="F94" s="19" t="n">
        <x:v>6000000</x:v>
      </x:c>
      <x:c r="G94" s="19" t="n">
        <x:v>1</x:v>
      </x:c>
      <x:c r="H94" s="19" t="str">
        <x:v>已含条件路线/按实际事件计量</x:v>
      </x:c>
    </x:row>
    <x:row r="95" ht="19" customHeight="1">
      <x:c r="A95" s="19" t="str">
        <x:v>C01-SKILL-07</x:v>
      </x:c>
      <x:c r="B95" s="19" t="n">
        <x:v>1</x:v>
      </x:c>
      <x:c r="C95" s="19" t="str">
        <x:v>技能强化页面</x:v>
      </x:c>
      <x:c r="D95" s="19" t="str">
        <x:v>任一基础技能强化至LV7</x:v>
      </x:c>
      <x:c r="E95" s="19" t="n">
        <x:v>0</x:v>
      </x:c>
      <x:c r="F95" s="19" t="n">
        <x:v>7000000</x:v>
      </x:c>
      <x:c r="G95" s="19" t="n">
        <x:v>1</x:v>
      </x:c>
      <x:c r="H95" s="19" t="str">
        <x:v>已含条件路线/按实际事件计量</x:v>
      </x:c>
    </x:row>
    <x:row r="96" ht="19" customHeight="1">
      <x:c r="A96" s="19" t="str">
        <x:v>C01-SKILL-08</x:v>
      </x:c>
      <x:c r="B96" s="19" t="n">
        <x:v>1</x:v>
      </x:c>
      <x:c r="C96" s="19" t="str">
        <x:v>技能强化页面</x:v>
      </x:c>
      <x:c r="D96" s="19" t="str">
        <x:v>任一基础技能强化至LV8</x:v>
      </x:c>
      <x:c r="E96" s="19" t="n">
        <x:v>0</x:v>
      </x:c>
      <x:c r="F96" s="19" t="n">
        <x:v>8000000</x:v>
      </x:c>
      <x:c r="G96" s="19" t="n">
        <x:v>1</x:v>
      </x:c>
      <x:c r="H96" s="19" t="str">
        <x:v>已含条件路线/按实际事件计量</x:v>
      </x:c>
    </x:row>
    <x:row r="97" ht="19" customHeight="1">
      <x:c r="A97" s="19" t="str">
        <x:v>C01-SKILL-09</x:v>
      </x:c>
      <x:c r="B97" s="19" t="n">
        <x:v>1</x:v>
      </x:c>
      <x:c r="C97" s="19" t="str">
        <x:v>技能强化页面</x:v>
      </x:c>
      <x:c r="D97" s="19" t="str">
        <x:v>任一基础技能强化至LV9</x:v>
      </x:c>
      <x:c r="E97" s="19" t="n">
        <x:v>0</x:v>
      </x:c>
      <x:c r="F97" s="19" t="n">
        <x:v>9000000</x:v>
      </x:c>
      <x:c r="G97" s="19" t="n">
        <x:v>1</x:v>
      </x:c>
      <x:c r="H97" s="19" t="str">
        <x:v>已含条件路线/按实际事件计量</x:v>
      </x:c>
    </x:row>
    <x:row r="98" ht="19" customHeight="1">
      <x:c r="A98" s="19" t="str">
        <x:v>C02-ADVSKILL-01</x:v>
      </x:c>
      <x:c r="B98" s="19" t="n">
        <x:v>2</x:v>
      </x:c>
      <x:c r="C98" s="19" t="str">
        <x:v>高级技能领悟页面</x:v>
      </x:c>
      <x:c r="D98" s="19" t="str">
        <x:v>基本剑术→开天斩</x:v>
      </x:c>
      <x:c r="E98" s="19" t="n">
        <x:v>500000000</x:v>
      </x:c>
      <x:c r="F98" s="19" t="n">
        <x:v>50000000</x:v>
      </x:c>
      <x:c r="G98" s="19" t="n">
        <x:v>1</x:v>
      </x:c>
      <x:c r="H98" s="19" t="str">
        <x:v>已含条件路线/按实际事件计量</x:v>
      </x:c>
    </x:row>
    <x:row r="99" ht="19" customHeight="1">
      <x:c r="A99" s="19" t="str">
        <x:v>C02-ADVSKILL-02</x:v>
      </x:c>
      <x:c r="B99" s="19" t="n">
        <x:v>2</x:v>
      </x:c>
      <x:c r="C99" s="19" t="str">
        <x:v>高级技能领悟页面</x:v>
      </x:c>
      <x:c r="D99" s="19" t="str">
        <x:v>攻杀剑术→逐日剑法</x:v>
      </x:c>
      <x:c r="E99" s="19" t="n">
        <x:v>500000000</x:v>
      </x:c>
      <x:c r="F99" s="19" t="n">
        <x:v>50000000</x:v>
      </x:c>
      <x:c r="G99" s="19" t="n">
        <x:v>1</x:v>
      </x:c>
      <x:c r="H99" s="19" t="str">
        <x:v>已含条件路线/按实际事件计量</x:v>
      </x:c>
    </x:row>
    <x:row r="100" ht="19" customHeight="1">
      <x:c r="A100" s="19" t="str">
        <x:v>C02-ADVSKILL-03</x:v>
      </x:c>
      <x:c r="B100" s="19" t="n">
        <x:v>2</x:v>
      </x:c>
      <x:c r="C100" s="19" t="str">
        <x:v>高级技能领悟页面</x:v>
      </x:c>
      <x:c r="D100" s="19" t="str">
        <x:v>半月弯刀→抱月刀</x:v>
      </x:c>
      <x:c r="E100" s="19" t="n">
        <x:v>500000000</x:v>
      </x:c>
      <x:c r="F100" s="19" t="n">
        <x:v>50000000</x:v>
      </x:c>
      <x:c r="G100" s="19" t="n">
        <x:v>1</x:v>
      </x:c>
      <x:c r="H100" s="19" t="str">
        <x:v>已含条件路线/按实际事件计量</x:v>
      </x:c>
    </x:row>
    <x:row r="101" ht="19" customHeight="1">
      <x:c r="A101" s="19" t="str">
        <x:v>C02-ADVSKILL-04</x:v>
      </x:c>
      <x:c r="B101" s="19" t="n">
        <x:v>2</x:v>
      </x:c>
      <x:c r="C101" s="19" t="str">
        <x:v>高级技能领悟页面</x:v>
      </x:c>
      <x:c r="D101" s="19" t="str">
        <x:v>野蛮冲撞→十步一杀</x:v>
      </x:c>
      <x:c r="E101" s="19" t="n">
        <x:v>500000000</x:v>
      </x:c>
      <x:c r="F101" s="19" t="n">
        <x:v>50000000</x:v>
      </x:c>
      <x:c r="G101" s="19" t="n">
        <x:v>1</x:v>
      </x:c>
      <x:c r="H101" s="19" t="str">
        <x:v>已含条件路线/按实际事件计量</x:v>
      </x:c>
    </x:row>
    <x:row r="102" ht="19" customHeight="1">
      <x:c r="A102" s="19" t="str">
        <x:v>C02-ADVSKILL-05</x:v>
      </x:c>
      <x:c r="B102" s="19" t="n">
        <x:v>2</x:v>
      </x:c>
      <x:c r="C102" s="19" t="str">
        <x:v>高级技能领悟页面</x:v>
      </x:c>
      <x:c r="D102" s="19" t="str">
        <x:v>护体神盾→魔法盾</x:v>
      </x:c>
      <x:c r="E102" s="19" t="n">
        <x:v>500000000</x:v>
      </x:c>
      <x:c r="F102" s="19" t="n">
        <x:v>50000000</x:v>
      </x:c>
      <x:c r="G102" s="19" t="n">
        <x:v>1</x:v>
      </x:c>
      <x:c r="H102" s="19" t="str">
        <x:v>已含条件路线/按实际事件计量</x:v>
      </x:c>
    </x:row>
    <x:row r="103" ht="19" customHeight="1">
      <x:c r="A103" s="19" t="str">
        <x:v>C02-ADVSKILL-06</x:v>
      </x:c>
      <x:c r="B103" s="19" t="n">
        <x:v>2</x:v>
      </x:c>
      <x:c r="C103" s="19" t="str">
        <x:v>高级技能领悟页面</x:v>
      </x:c>
      <x:c r="D103" s="19" t="str">
        <x:v>施毒术→群体施毒／嘲讽</x:v>
      </x:c>
      <x:c r="E103" s="19" t="n">
        <x:v>500000000</x:v>
      </x:c>
      <x:c r="F103" s="19" t="n">
        <x:v>50000000</x:v>
      </x:c>
      <x:c r="G103" s="19" t="n">
        <x:v>1</x:v>
      </x:c>
      <x:c r="H103" s="19" t="str">
        <x:v>已含条件路线/按实际事件计量</x:v>
      </x:c>
    </x:row>
    <x:row r="104" ht="19" customHeight="1">
      <x:c r="A104" s="19" t="str">
        <x:v>C02-WASH</x:v>
      </x:c>
      <x:c r="B104" s="19" t="n">
        <x:v>2</x:v>
      </x:c>
      <x:c r="C104" s="19" t="str">
        <x:v>普通洗练入口</x:v>
      </x:c>
      <x:c r="D104" s="19" t="str">
        <x:v>单件装备随机重洗</x:v>
      </x:c>
      <x:c r="E104" s="19" t="n">
        <x:v>0</x:v>
      </x:c>
      <x:c r="F104" s="19" t="n">
        <x:v>1000000</x:v>
      </x:c>
      <x:c r="G104" s="19" t="n">
        <x:v>120</x:v>
      </x:c>
      <x:c r="H104" s="19" t="str">
        <x:v>PVP旁账，不计主线产消</x:v>
      </x:c>
    </x:row>
    <x:row r="105" ht="19" customHeight="1">
      <x:c r="A105" s="19" t="str">
        <x:v>C02-OPEN</x:v>
      </x:c>
      <x:c r="B105" s="19" t="n">
        <x:v>2</x:v>
      </x:c>
      <x:c r="C105" s="19" t="str">
        <x:v>装备开光入口</x:v>
      </x:c>
      <x:c r="D105" s="19" t="str">
        <x:v>7/8词条装备固定条数后重洗</x:v>
      </x:c>
      <x:c r="E105" s="19" t="n">
        <x:v>0</x:v>
      </x:c>
      <x:c r="F105" s="19" t="n">
        <x:v>5000000</x:v>
      </x:c>
      <x:c r="G105" s="19" t="n">
        <x:v>5</x:v>
      </x:c>
      <x:c r="H105" s="19" t="str">
        <x:v>已含条件路线/按实际事件计量</x:v>
      </x:c>
    </x:row>
    <x:row r="106" ht="19" customHeight="1">
      <x:c r="A106" s="19" t="str">
        <x:v>C03-WASH</x:v>
      </x:c>
      <x:c r="B106" s="19" t="n">
        <x:v>3</x:v>
      </x:c>
      <x:c r="C106" s="19" t="str">
        <x:v>普通洗练入口</x:v>
      </x:c>
      <x:c r="D106" s="19" t="str">
        <x:v>单件装备随机重洗</x:v>
      </x:c>
      <x:c r="E106" s="19" t="n">
        <x:v>0</x:v>
      </x:c>
      <x:c r="F106" s="19" t="n">
        <x:v>1900000</x:v>
      </x:c>
      <x:c r="G106" s="19" t="n">
        <x:v>160</x:v>
      </x:c>
      <x:c r="H106" s="19" t="str">
        <x:v>PVP旁账，不计主线产消</x:v>
      </x:c>
    </x:row>
    <x:row r="107" ht="19" customHeight="1">
      <x:c r="A107" s="19" t="str">
        <x:v>C03-OPEN</x:v>
      </x:c>
      <x:c r="B107" s="19" t="n">
        <x:v>3</x:v>
      </x:c>
      <x:c r="C107" s="19" t="str">
        <x:v>装备开光入口</x:v>
      </x:c>
      <x:c r="D107" s="19" t="str">
        <x:v>7/8词条装备固定条数后重洗</x:v>
      </x:c>
      <x:c r="E107" s="19" t="n">
        <x:v>0</x:v>
      </x:c>
      <x:c r="F107" s="19" t="n">
        <x:v>9500000</x:v>
      </x:c>
      <x:c r="G107" s="19" t="n">
        <x:v>8</x:v>
      </x:c>
      <x:c r="H107" s="19" t="str">
        <x:v>已含条件路线/按实际事件计量</x:v>
      </x:c>
    </x:row>
    <x:row r="108" ht="19" customHeight="1">
      <x:c r="A108" s="19" t="str">
        <x:v>C04-WASH</x:v>
      </x:c>
      <x:c r="B108" s="19" t="n">
        <x:v>4</x:v>
      </x:c>
      <x:c r="C108" s="19" t="str">
        <x:v>普通洗练入口</x:v>
      </x:c>
      <x:c r="D108" s="19" t="str">
        <x:v>单件装备随机重洗</x:v>
      </x:c>
      <x:c r="E108" s="19" t="n">
        <x:v>0</x:v>
      </x:c>
      <x:c r="F108" s="19" t="n">
        <x:v>2900000</x:v>
      </x:c>
      <x:c r="G108" s="19" t="n">
        <x:v>200</x:v>
      </x:c>
      <x:c r="H108" s="19" t="str">
        <x:v>PVP旁账，不计主线产消</x:v>
      </x:c>
    </x:row>
    <x:row r="109" ht="19" customHeight="1">
      <x:c r="A109" s="19" t="str">
        <x:v>C04-OPEN</x:v>
      </x:c>
      <x:c r="B109" s="19" t="n">
        <x:v>4</x:v>
      </x:c>
      <x:c r="C109" s="19" t="str">
        <x:v>装备开光入口</x:v>
      </x:c>
      <x:c r="D109" s="19" t="str">
        <x:v>7/8词条装备固定条数后重洗</x:v>
      </x:c>
      <x:c r="E109" s="19" t="n">
        <x:v>0</x:v>
      </x:c>
      <x:c r="F109" s="19" t="n">
        <x:v>14500000</x:v>
      </x:c>
      <x:c r="G109" s="19" t="n">
        <x:v>10</x:v>
      </x:c>
      <x:c r="H109" s="19" t="str">
        <x:v>已含条件路线/按实际事件计量</x:v>
      </x:c>
    </x:row>
    <x:row r="110" ht="19" customHeight="1">
      <x:c r="A110" s="19" t="str">
        <x:v>C05-WASH</x:v>
      </x:c>
      <x:c r="B110" s="19" t="n">
        <x:v>5</x:v>
      </x:c>
      <x:c r="C110" s="19" t="str">
        <x:v>普通洗练入口</x:v>
      </x:c>
      <x:c r="D110" s="19" t="str">
        <x:v>单件装备随机重洗</x:v>
      </x:c>
      <x:c r="E110" s="19" t="n">
        <x:v>0</x:v>
      </x:c>
      <x:c r="F110" s="19" t="n">
        <x:v>6200000</x:v>
      </x:c>
      <x:c r="G110" s="19" t="n">
        <x:v>240</x:v>
      </x:c>
      <x:c r="H110" s="19" t="str">
        <x:v>PVP旁账，不计主线产消</x:v>
      </x:c>
    </x:row>
    <x:row r="111" ht="19" customHeight="1">
      <x:c r="A111" s="19" t="str">
        <x:v>C05-OPEN</x:v>
      </x:c>
      <x:c r="B111" s="19" t="n">
        <x:v>5</x:v>
      </x:c>
      <x:c r="C111" s="19" t="str">
        <x:v>装备开光入口</x:v>
      </x:c>
      <x:c r="D111" s="19" t="str">
        <x:v>7/8词条装备固定条数后重洗</x:v>
      </x:c>
      <x:c r="E111" s="19" t="n">
        <x:v>0</x:v>
      </x:c>
      <x:c r="F111" s="19" t="n">
        <x:v>31000000</x:v>
      </x:c>
      <x:c r="G111" s="19" t="n">
        <x:v>12</x:v>
      </x:c>
      <x:c r="H111" s="19" t="str">
        <x:v>已含条件路线/按实际事件计量</x:v>
      </x:c>
    </x:row>
    <x:row r="112" ht="19" customHeight="1">
      <x:c r="A112" s="19" t="str">
        <x:v>C06-WASH</x:v>
      </x:c>
      <x:c r="B112" s="19" t="n">
        <x:v>6</x:v>
      </x:c>
      <x:c r="C112" s="19" t="str">
        <x:v>普通洗练入口</x:v>
      </x:c>
      <x:c r="D112" s="19" t="str">
        <x:v>单件装备随机重洗</x:v>
      </x:c>
      <x:c r="E112" s="19" t="n">
        <x:v>0</x:v>
      </x:c>
      <x:c r="F112" s="19" t="n">
        <x:v>6800000</x:v>
      </x:c>
      <x:c r="G112" s="19" t="n">
        <x:v>280</x:v>
      </x:c>
      <x:c r="H112" s="19" t="str">
        <x:v>PVP旁账，不计主线产消</x:v>
      </x:c>
    </x:row>
    <x:row r="113" ht="19" customHeight="1">
      <x:c r="A113" s="19" t="str">
        <x:v>C06-OPEN</x:v>
      </x:c>
      <x:c r="B113" s="19" t="n">
        <x:v>6</x:v>
      </x:c>
      <x:c r="C113" s="19" t="str">
        <x:v>装备开光入口</x:v>
      </x:c>
      <x:c r="D113" s="19" t="str">
        <x:v>7/8词条装备固定条数后重洗</x:v>
      </x:c>
      <x:c r="E113" s="19" t="n">
        <x:v>0</x:v>
      </x:c>
      <x:c r="F113" s="19" t="n">
        <x:v>34000000</x:v>
      </x:c>
      <x:c r="G113" s="19" t="n">
        <x:v>14</x:v>
      </x:c>
      <x:c r="H113" s="19" t="str">
        <x:v>已含条件路线/按实际事件计量</x:v>
      </x:c>
    </x:row>
    <x:row r="114" ht="19" customHeight="1">
      <x:c r="A114" s="19" t="str">
        <x:v>C07-WASH</x:v>
      </x:c>
      <x:c r="B114" s="19" t="n">
        <x:v>7</x:v>
      </x:c>
      <x:c r="C114" s="19" t="str">
        <x:v>普通洗练入口</x:v>
      </x:c>
      <x:c r="D114" s="19" t="str">
        <x:v>单件装备随机重洗</x:v>
      </x:c>
      <x:c r="E114" s="19" t="n">
        <x:v>0</x:v>
      </x:c>
      <x:c r="F114" s="19" t="n">
        <x:v>13500000</x:v>
      </x:c>
      <x:c r="G114" s="19" t="n">
        <x:v>320</x:v>
      </x:c>
      <x:c r="H114" s="19" t="str">
        <x:v>PVP旁账，不计主线产消</x:v>
      </x:c>
    </x:row>
    <x:row r="115" ht="19" customHeight="1">
      <x:c r="A115" s="19" t="str">
        <x:v>C07-OPEN</x:v>
      </x:c>
      <x:c r="B115" s="19" t="n">
        <x:v>7</x:v>
      </x:c>
      <x:c r="C115" s="19" t="str">
        <x:v>装备开光入口</x:v>
      </x:c>
      <x:c r="D115" s="19" t="str">
        <x:v>7/8词条装备固定条数后重洗</x:v>
      </x:c>
      <x:c r="E115" s="19" t="n">
        <x:v>0</x:v>
      </x:c>
      <x:c r="F115" s="19" t="n">
        <x:v>67000000</x:v>
      </x:c>
      <x:c r="G115" s="19" t="n">
        <x:v>16</x:v>
      </x:c>
      <x:c r="H115" s="19" t="str">
        <x:v>已含条件路线/按实际事件计量</x:v>
      </x:c>
    </x:row>
    <x:row r="116" ht="19" customHeight="1">
      <x:c r="A116" s="19" t="str">
        <x:v>C08-WASH</x:v>
      </x:c>
      <x:c r="B116" s="19" t="n">
        <x:v>8</x:v>
      </x:c>
      <x:c r="C116" s="19" t="str">
        <x:v>普通洗练入口</x:v>
      </x:c>
      <x:c r="D116" s="19" t="str">
        <x:v>单件装备随机重洗</x:v>
      </x:c>
      <x:c r="E116" s="19" t="n">
        <x:v>0</x:v>
      </x:c>
      <x:c r="F116" s="19" t="n">
        <x:v>14000000</x:v>
      </x:c>
      <x:c r="G116" s="19" t="n">
        <x:v>360</x:v>
      </x:c>
      <x:c r="H116" s="19" t="str">
        <x:v>PVP旁账，不计主线产消</x:v>
      </x:c>
    </x:row>
    <x:row r="117" ht="19" customHeight="1">
      <x:c r="A117" s="19" t="str">
        <x:v>C08-OPEN</x:v>
      </x:c>
      <x:c r="B117" s="19" t="n">
        <x:v>8</x:v>
      </x:c>
      <x:c r="C117" s="19" t="str">
        <x:v>装备开光入口</x:v>
      </x:c>
      <x:c r="D117" s="19" t="str">
        <x:v>7/8词条装备固定条数后重洗</x:v>
      </x:c>
      <x:c r="E117" s="19" t="n">
        <x:v>0</x:v>
      </x:c>
      <x:c r="F117" s="19" t="n">
        <x:v>71000000</x:v>
      </x:c>
      <x:c r="G117" s="19" t="n">
        <x:v>18</x:v>
      </x:c>
      <x:c r="H117" s="19" t="str">
        <x:v>已含条件路线/按实际事件计量</x:v>
      </x:c>
    </x:row>
    <x:row r="118" ht="19" customHeight="1">
      <x:c r="A118" s="19" t="str">
        <x:v>C09-WASH</x:v>
      </x:c>
      <x:c r="B118" s="19" t="n">
        <x:v>9</x:v>
      </x:c>
      <x:c r="C118" s="19" t="str">
        <x:v>普通洗练入口</x:v>
      </x:c>
      <x:c r="D118" s="19" t="str">
        <x:v>单件装备随机重洗</x:v>
      </x:c>
      <x:c r="E118" s="19" t="n">
        <x:v>0</x:v>
      </x:c>
      <x:c r="F118" s="19" t="n">
        <x:v>35500000</x:v>
      </x:c>
      <x:c r="G118" s="19" t="n">
        <x:v>400</x:v>
      </x:c>
      <x:c r="H118" s="19" t="str">
        <x:v>PVP旁账，不计主线产消</x:v>
      </x:c>
    </x:row>
    <x:row r="119" ht="19" customHeight="1">
      <x:c r="A119" s="19" t="str">
        <x:v>C09-OPEN</x:v>
      </x:c>
      <x:c r="B119" s="19" t="n">
        <x:v>9</x:v>
      </x:c>
      <x:c r="C119" s="19" t="str">
        <x:v>装备开光入口</x:v>
      </x:c>
      <x:c r="D119" s="19" t="str">
        <x:v>7/8词条装备固定条数后重洗</x:v>
      </x:c>
      <x:c r="E119" s="19" t="n">
        <x:v>0</x:v>
      </x:c>
      <x:c r="F119" s="19" t="n">
        <x:v>178000000</x:v>
      </x:c>
      <x:c r="G119" s="19" t="n">
        <x:v>20</x:v>
      </x:c>
      <x:c r="H119" s="19" t="str">
        <x:v>已含条件路线/按实际事件计量</x:v>
      </x:c>
    </x:row>
    <x:row r="120" ht="19" customHeight="1">
      <x:c r="A120" s="19" t="str">
        <x:v>C10-WASH</x:v>
      </x:c>
      <x:c r="B120" s="19" t="n">
        <x:v>10</x:v>
      </x:c>
      <x:c r="C120" s="19" t="str">
        <x:v>普通洗练入口</x:v>
      </x:c>
      <x:c r="D120" s="19" t="str">
        <x:v>单件装备随机重洗</x:v>
      </x:c>
      <x:c r="E120" s="19" t="n">
        <x:v>0</x:v>
      </x:c>
      <x:c r="F120" s="19" t="n">
        <x:v>37000000</x:v>
      </x:c>
      <x:c r="G120" s="19" t="n">
        <x:v>450</x:v>
      </x:c>
      <x:c r="H120" s="19" t="str">
        <x:v>PVP旁账，不计主线产消</x:v>
      </x:c>
    </x:row>
    <x:row r="121" ht="19" customHeight="1">
      <x:c r="A121" s="19" t="str">
        <x:v>C10-OPEN</x:v>
      </x:c>
      <x:c r="B121" s="19" t="n">
        <x:v>10</x:v>
      </x:c>
      <x:c r="C121" s="19" t="str">
        <x:v>装备开光入口</x:v>
      </x:c>
      <x:c r="D121" s="19" t="str">
        <x:v>7/8词条装备固定条数后重洗</x:v>
      </x:c>
      <x:c r="E121" s="19" t="n">
        <x:v>0</x:v>
      </x:c>
      <x:c r="F121" s="19" t="n">
        <x:v>184000000</x:v>
      </x:c>
      <x:c r="G121" s="19" t="n">
        <x:v>24</x:v>
      </x:c>
      <x:c r="H121" s="19" t="str">
        <x:v>已含条件路线/按实际事件计量</x:v>
      </x:c>
    </x:row>
    <x:row r="122" ht="19" customHeight="1">
      <x:c r="A122" s="19" t="str">
        <x:v>C02-NECKLUCK</x:v>
      </x:c>
      <x:c r="B122" s="19" t="n">
        <x:v>2</x:v>
      </x:c>
      <x:c r="C122" s="19" t="str">
        <x:v>项链幸运入口</x:v>
      </x:c>
      <x:c r="D122" s="19" t="str">
        <x:v>项链幸运升满平均包</x:v>
      </x:c>
      <x:c r="E122" s="19" t="n">
        <x:v>0</x:v>
      </x:c>
      <x:c r="F122" s="19" t="n">
        <x:v>1000000</x:v>
      </x:c>
      <x:c r="G122" s="19" t="n">
        <x:v>250</x:v>
      </x:c>
      <x:c r="H122" s="19" t="str">
        <x:v>已含条件路线/按实际事件计量</x:v>
      </x:c>
    </x:row>
    <x:row r="123" ht="19" customHeight="1">
      <x:c r="A123" s="19" t="str">
        <x:v>C02-BODY-1-50</x:v>
      </x:c>
      <x:c r="B123" s="19" t="n">
        <x:v>2</x:v>
      </x:c>
      <x:c r="C123" s="19" t="str">
        <x:v>神印修行／锻体入口</x:v>
      </x:c>
      <x:c r="D123" s="19" t="str">
        <x:v>第1—50档</x:v>
      </x:c>
      <x:c r="E123" s="19" t="n">
        <x:v>0</x:v>
      </x:c>
      <x:c r="F123" s="19" t="n">
        <x:v>0</x:v>
      </x:c>
      <x:c r="G123" s="19" t="n">
        <x:v>50</x:v>
      </x:c>
      <x:c r="H123" s="19" t="str">
        <x:v>既有脚本/灵符价格保留；0不是免费，不虚构兑换关系</x:v>
      </x:c>
    </x:row>
    <x:row r="124" ht="19" customHeight="1">
      <x:c r="A124" s="19" t="str">
        <x:v>C03-BODY-51-80</x:v>
      </x:c>
      <x:c r="B124" s="19" t="n">
        <x:v>3</x:v>
      </x:c>
      <x:c r="C124" s="19" t="str">
        <x:v>神印修行／锻体入口</x:v>
      </x:c>
      <x:c r="D124" s="19" t="str">
        <x:v>第51—80档</x:v>
      </x:c>
      <x:c r="E124" s="19" t="n">
        <x:v>0</x:v>
      </x:c>
      <x:c r="F124" s="19" t="n">
        <x:v>0</x:v>
      </x:c>
      <x:c r="G124" s="19" t="n">
        <x:v>30</x:v>
      </x:c>
      <x:c r="H124" s="19" t="str">
        <x:v>既有脚本/灵符价格保留；0不是免费，不虚构兑换关系</x:v>
      </x:c>
    </x:row>
    <x:row r="125" ht="19" customHeight="1">
      <x:c r="A125" s="19" t="str">
        <x:v>C04-BODY-81-110</x:v>
      </x:c>
      <x:c r="B125" s="19" t="n">
        <x:v>4</x:v>
      </x:c>
      <x:c r="C125" s="19" t="str">
        <x:v>神印修行／锻体入口</x:v>
      </x:c>
      <x:c r="D125" s="19" t="str">
        <x:v>第81—110档</x:v>
      </x:c>
      <x:c r="E125" s="19" t="n">
        <x:v>0</x:v>
      </x:c>
      <x:c r="F125" s="19" t="n">
        <x:v>0</x:v>
      </x:c>
      <x:c r="G125" s="19" t="n">
        <x:v>30</x:v>
      </x:c>
      <x:c r="H125" s="19" t="str">
        <x:v>既有脚本/灵符价格保留；0不是免费，不虚构兑换关系</x:v>
      </x:c>
    </x:row>
    <x:row r="126" ht="19" customHeight="1">
      <x:c r="A126" s="19" t="str">
        <x:v>C05-BODY-111-140</x:v>
      </x:c>
      <x:c r="B126" s="19" t="n">
        <x:v>5</x:v>
      </x:c>
      <x:c r="C126" s="19" t="str">
        <x:v>神印修行／锻体入口</x:v>
      </x:c>
      <x:c r="D126" s="19" t="str">
        <x:v>第111—140档</x:v>
      </x:c>
      <x:c r="E126" s="19" t="n">
        <x:v>0</x:v>
      </x:c>
      <x:c r="F126" s="19" t="n">
        <x:v>0</x:v>
      </x:c>
      <x:c r="G126" s="19" t="n">
        <x:v>30</x:v>
      </x:c>
      <x:c r="H126" s="19" t="str">
        <x:v>既有脚本/灵符价格保留；0不是免费，不虚构兑换关系</x:v>
      </x:c>
    </x:row>
    <x:row r="127" ht="19" customHeight="1">
      <x:c r="A127" s="19" t="str">
        <x:v>C06-BODY-141-170</x:v>
      </x:c>
      <x:c r="B127" s="19" t="n">
        <x:v>6</x:v>
      </x:c>
      <x:c r="C127" s="19" t="str">
        <x:v>神印修行／锻体入口</x:v>
      </x:c>
      <x:c r="D127" s="19" t="str">
        <x:v>第141—170档</x:v>
      </x:c>
      <x:c r="E127" s="19" t="n">
        <x:v>0</x:v>
      </x:c>
      <x:c r="F127" s="19" t="n">
        <x:v>0</x:v>
      </x:c>
      <x:c r="G127" s="19" t="n">
        <x:v>30</x:v>
      </x:c>
      <x:c r="H127" s="19" t="str">
        <x:v>既有脚本/灵符价格保留；0不是免费，不虚构兑换关系</x:v>
      </x:c>
    </x:row>
    <x:row r="128" ht="19" customHeight="1">
      <x:c r="A128" s="19" t="str">
        <x:v>C07-BODY-171-195</x:v>
      </x:c>
      <x:c r="B128" s="19" t="n">
        <x:v>7</x:v>
      </x:c>
      <x:c r="C128" s="19" t="str">
        <x:v>神印修行／锻体入口</x:v>
      </x:c>
      <x:c r="D128" s="19" t="str">
        <x:v>第171—195档</x:v>
      </x:c>
      <x:c r="E128" s="19" t="n">
        <x:v>0</x:v>
      </x:c>
      <x:c r="F128" s="19" t="n">
        <x:v>0</x:v>
      </x:c>
      <x:c r="G128" s="19" t="n">
        <x:v>25</x:v>
      </x:c>
      <x:c r="H128" s="19" t="str">
        <x:v>既有脚本/灵符价格保留；0不是免费，不虚构兑换关系</x:v>
      </x:c>
    </x:row>
    <x:row r="129" ht="19" customHeight="1">
      <x:c r="A129" s="19" t="str">
        <x:v>C08-BODY-196-220</x:v>
      </x:c>
      <x:c r="B129" s="19" t="n">
        <x:v>8</x:v>
      </x:c>
      <x:c r="C129" s="19" t="str">
        <x:v>神印修行／锻体入口</x:v>
      </x:c>
      <x:c r="D129" s="19" t="str">
        <x:v>第196—220档</x:v>
      </x:c>
      <x:c r="E129" s="19" t="n">
        <x:v>0</x:v>
      </x:c>
      <x:c r="F129" s="19" t="n">
        <x:v>0</x:v>
      </x:c>
      <x:c r="G129" s="19" t="n">
        <x:v>25</x:v>
      </x:c>
      <x:c r="H129" s="19" t="str">
        <x:v>既有脚本/灵符价格保留；0不是免费，不虚构兑换关系</x:v>
      </x:c>
    </x:row>
    <x:row r="130" ht="19" customHeight="1">
      <x:c r="A130" s="19" t="str">
        <x:v>C09-BODY-221-240</x:v>
      </x:c>
      <x:c r="B130" s="19" t="n">
        <x:v>9</x:v>
      </x:c>
      <x:c r="C130" s="19" t="str">
        <x:v>神印修行／锻体入口</x:v>
      </x:c>
      <x:c r="D130" s="19" t="str">
        <x:v>第221—240档</x:v>
      </x:c>
      <x:c r="E130" s="19" t="n">
        <x:v>0</x:v>
      </x:c>
      <x:c r="F130" s="19" t="n">
        <x:v>0</x:v>
      </x:c>
      <x:c r="G130" s="19" t="n">
        <x:v>20</x:v>
      </x:c>
      <x:c r="H130" s="19" t="str">
        <x:v>既有脚本/灵符价格保留；0不是免费，不虚构兑换关系</x:v>
      </x:c>
    </x:row>
    <x:row r="131" ht="19" customHeight="1">
      <x:c r="A131" s="19" t="str">
        <x:v>C10-BODY-241-255</x:v>
      </x:c>
      <x:c r="B131" s="19" t="n">
        <x:v>10</x:v>
      </x:c>
      <x:c r="C131" s="19" t="str">
        <x:v>神印修行／锻体入口</x:v>
      </x:c>
      <x:c r="D131" s="19" t="str">
        <x:v>第241—255档</x:v>
      </x:c>
      <x:c r="E131" s="19" t="n">
        <x:v>0</x:v>
      </x:c>
      <x:c r="F131" s="19" t="n">
        <x:v>0</x:v>
      </x:c>
      <x:c r="G131" s="19" t="n">
        <x:v>15</x:v>
      </x:c>
      <x:c r="H131" s="19" t="str">
        <x:v>既有脚本/灵符价格保留；0不是免费，不虚构兑换关系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573e728469146a2"/>
  </x:tableParts>
</x:worksheet>
</file>